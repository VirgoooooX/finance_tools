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205" tabRatio="915" activeTab="7"/>
  </bookViews>
  <sheets>
    <sheet name="基本信息" sheetId="1" r:id="rId1"/>
    <sheet name="利润表-新材料+快速" sheetId="29" state="hidden" r:id="rId2"/>
    <sheet name="资产负债表-合并(原）" sheetId="17" state="hidden" r:id="rId3"/>
    <sheet name="BS-合并" sheetId="30" r:id="rId4"/>
    <sheet name="利润表-合并" sheetId="18" state="hidden" r:id="rId5"/>
    <sheet name="PL-合并" sheetId="32" r:id="rId6"/>
    <sheet name="资产负债表-合并 (2)" sheetId="27" state="hidden" r:id="rId7"/>
    <sheet name="CF-合并" sheetId="19" r:id="rId8"/>
    <sheet name="PL-3D板块" sheetId="40" r:id="rId9"/>
    <sheet name="资产负债表-M" sheetId="22" r:id="rId10"/>
    <sheet name="利润表-M" sheetId="23" r:id="rId11"/>
    <sheet name="现流表-M" sheetId="24" r:id="rId12"/>
    <sheet name="合并试算平衡表" sheetId="2" r:id="rId13"/>
    <sheet name="合并调整抵消分录" sheetId="3" r:id="rId14"/>
    <sheet name="抵消分析" sheetId="41" state="hidden" r:id="rId15"/>
    <sheet name="长期投资" sheetId="4" r:id="rId16"/>
    <sheet name="转让新材料固定资产" sheetId="20" r:id="rId17"/>
    <sheet name="资产转移" sheetId="28" r:id="rId18"/>
    <sheet name="关联交易-利润表-25.11月" sheetId="12" r:id="rId19"/>
    <sheet name="内部交易和往来" sheetId="10" r:id="rId20"/>
    <sheet name="少数股权验算" sheetId="5" state="hidden" r:id="rId21"/>
    <sheet name="精铸BS新" sheetId="31" r:id="rId22"/>
    <sheet name="精铸PL新" sheetId="33" r:id="rId23"/>
    <sheet name="精铸BS" sheetId="6" state="hidden" r:id="rId24"/>
    <sheet name="精铸PL" sheetId="7" state="hidden" r:id="rId25"/>
    <sheet name="新材料BS新" sheetId="36" r:id="rId26"/>
    <sheet name="新材料PL新" sheetId="37" r:id="rId27"/>
    <sheet name="新材料BS" sheetId="8" state="hidden" r:id="rId28"/>
    <sheet name="新材料PL" sheetId="9" state="hidden" r:id="rId29"/>
    <sheet name="快速BS新" sheetId="34" r:id="rId30"/>
    <sheet name="快速PL新" sheetId="35" r:id="rId31"/>
    <sheet name="快速BS" sheetId="13" state="hidden" r:id="rId32"/>
    <sheet name="快速PL" sheetId="14" state="hidden" r:id="rId33"/>
    <sheet name="热等静压BS" sheetId="25" state="hidden" r:id="rId34"/>
    <sheet name="热等静压PL" sheetId="26" state="hidden" r:id="rId35"/>
    <sheet name="热等静压BS新" sheetId="38" r:id="rId36"/>
    <sheet name="热等静压PL新" sheetId="39" r:id="rId37"/>
    <sheet name="合并资产负债表" sheetId="15" state="hidden" r:id="rId38"/>
    <sheet name="合并利润表" sheetId="16" state="hidden" r:id="rId39"/>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xlnm._FilterDatabase" localSheetId="2" hidden="1">'资产负债表-合并(原）'!$A$5:$R$49</definedName>
    <definedName name="_xlnm._FilterDatabase" localSheetId="3" hidden="1">'BS-合并'!$A$7:$J$55</definedName>
    <definedName name="_xlnm._FilterDatabase" localSheetId="6" hidden="1">'资产负债表-合并 (2)'!$A$5:$R$48</definedName>
    <definedName name="_xlnm._FilterDatabase" localSheetId="7" hidden="1">'CF-合并'!$A$5:$J$33</definedName>
    <definedName name="_xlnm._FilterDatabase" localSheetId="18" hidden="1">'关联交易-利润表-25.11月'!$A$3:$X$180</definedName>
    <definedName name="_xlnm._FilterDatabase" localSheetId="19" hidden="1">内部交易和往来!$A$94:$AX$105</definedName>
    <definedName name="_xlnm._FilterDatabase" localSheetId="13" hidden="1">合并调整抵消分录!$A$134:$Y$231</definedName>
    <definedName name="AS2DocOpenMode" localSheetId="15" hidden="1">"AS2DocumentEdit"</definedName>
    <definedName name="AS2DocOpenMode" hidden="1">"AS2DocumentBrowse"</definedName>
    <definedName name="Database" localSheetId="19">#REF!</definedName>
    <definedName name="Database">#REF!</definedName>
    <definedName name="dxn">[1]dxnsjtempsheet!$A$1:$G$65536</definedName>
    <definedName name="fzxm">'[2]披露表(上市)'!$D$12:$D$23</definedName>
    <definedName name="fzxm_qt">'[3]披露表(国资)'!$C$48:$C$65</definedName>
    <definedName name="fzxm_xj">'[3]披露表(国资)'!$C$10:$C$27</definedName>
    <definedName name="fzxm_yc">'[3]披露表(国资)'!$C$29:$C$46</definedName>
    <definedName name="fzxmxj">'[4]披露表(上市)'!$C$11:$C$14</definedName>
    <definedName name="fzxmyh">'[4]披露表(上市)'!$C$16:$C$19</definedName>
    <definedName name="gzfzxm">'[5]披露表(国资)'!$C$10:$C$11</definedName>
    <definedName name="hkd">1.0611</definedName>
    <definedName name="KMDM" localSheetId="19">#REF!</definedName>
    <definedName name="KMDM" localSheetId="15">#REF!</definedName>
    <definedName name="KMDM">#REF!</definedName>
    <definedName name="_xlnm.Print_Area" localSheetId="18">'关联交易-利润表-25.11月'!$B$199:$R$207</definedName>
    <definedName name="_xlnm.Print_Area" localSheetId="38">合并利润表!$A$1:$E$31</definedName>
    <definedName name="_xlnm.Print_Area" localSheetId="37">合并资产负债表!$A$1:$F$49</definedName>
    <definedName name="_xlnm.Print_Area" localSheetId="24">精铸PL!$A$1:$C$28</definedName>
    <definedName name="_xlnm.Print_Area" localSheetId="23">精铸BS!$A$1:$F$47</definedName>
    <definedName name="_xlnm.Print_Area" localSheetId="32">快速PL!$A$1:$D$33</definedName>
    <definedName name="_xlnm.Print_Area" localSheetId="31">快速BS!$A$1:$H$47</definedName>
    <definedName name="_xlnm.Print_Area" localSheetId="4">'利润表-合并'!$A$1:$C$33</definedName>
    <definedName name="_xlnm.Print_Area" localSheetId="19">#REF!</definedName>
    <definedName name="_xlnm.Print_Area" localSheetId="7">'CF-合并'!$A$1:$H$33</definedName>
    <definedName name="_xlnm.Print_Area" localSheetId="28">新材料PL!$A$1:$E$30</definedName>
    <definedName name="_xlnm.Print_Area" localSheetId="27">新材料BS!$A$1:$H$47</definedName>
    <definedName name="_xlnm.Print_Area" localSheetId="2">'资产负债表-合并(原）'!$A$1:$G$48</definedName>
    <definedName name="_xlnm.Print_Area">#REF!</definedName>
    <definedName name="SAPBEXrevision" hidden="1">1</definedName>
    <definedName name="SAPBEXsysID" hidden="1">"PE4"</definedName>
    <definedName name="SAPBEXwbID" hidden="1">"3Q4R7W3VD66V3CXTGQHGIRCBE"</definedName>
    <definedName name="usd">8.2773</definedName>
    <definedName name="附注" localSheetId="19">#REF!</definedName>
    <definedName name="附注">#REF!</definedName>
    <definedName name="固定资产清单" localSheetId="19">#REF!</definedName>
    <definedName name="固定资产清单">#REF!</definedName>
    <definedName name="应付帐款" localSheetId="19">#REF!</definedName>
    <definedName name="应付帐款" localSheetId="15">#REF!</definedName>
    <definedName name="应付帐款">#REF!</definedName>
    <definedName name="应收帐款" localSheetId="19">#REF!</definedName>
    <definedName name="应收帐款" localSheetId="15">#REF!</definedName>
    <definedName name="应收帐款">#REF!</definedName>
    <definedName name="_xlnm.Print_Area" localSheetId="9">'资产负债表-M'!$A$1:$D$106</definedName>
    <definedName name="_xlnm.Print_Area" localSheetId="10">'利润表-M'!$A$1:$D$35</definedName>
    <definedName name="_xlnm.Print_Area" localSheetId="33">热等静压BS!$A$1:$F$47</definedName>
    <definedName name="_xlnm.Print_Area" localSheetId="34">热等静压PL!$A$1:$C$31</definedName>
    <definedName name="_xlnm.Print_Area" localSheetId="6">'资产负债表-合并 (2)'!$A$1:$G$48</definedName>
    <definedName name="_xlnm.Print_Area" localSheetId="1">'利润表-新材料+快速'!$A$1:$C$33</definedName>
    <definedName name="Database" localSheetId="25">#REF!</definedName>
    <definedName name="KMDM" localSheetId="25">#REF!</definedName>
    <definedName name="附注" localSheetId="25">#REF!</definedName>
    <definedName name="固定资产清单" localSheetId="25">#REF!</definedName>
    <definedName name="应付帐款" localSheetId="25">#REF!</definedName>
    <definedName name="应收帐款" localSheetId="25">#REF!</definedName>
    <definedName name="_xlnm.Print_Area" localSheetId="25">新材料BS新!$A$1:$F$50</definedName>
    <definedName name="Database" localSheetId="26">#REF!</definedName>
    <definedName name="KMDM" localSheetId="26">#REF!</definedName>
    <definedName name="附注" localSheetId="26">#REF!</definedName>
    <definedName name="固定资产清单" localSheetId="26">#REF!</definedName>
    <definedName name="应付帐款" localSheetId="26">#REF!</definedName>
    <definedName name="应收帐款" localSheetId="26">#REF!</definedName>
    <definedName name="_xlnm.Print_Area" localSheetId="26">新材料PL新!$A$1:$D$38</definedName>
    <definedName name="Database" localSheetId="35">#REF!</definedName>
    <definedName name="KMDM" localSheetId="35">#REF!</definedName>
    <definedName name="附注" localSheetId="35">#REF!</definedName>
    <definedName name="固定资产清单" localSheetId="35">#REF!</definedName>
    <definedName name="应付帐款" localSheetId="35">#REF!</definedName>
    <definedName name="应收帐款" localSheetId="35">#REF!</definedName>
    <definedName name="_xlnm.Print_Area" localSheetId="35">热等静压BS新!$A$1:$F$51</definedName>
    <definedName name="Database" localSheetId="36">#REF!</definedName>
    <definedName name="KMDM" localSheetId="36">#REF!</definedName>
    <definedName name="附注" localSheetId="36">#REF!</definedName>
    <definedName name="固定资产清单" localSheetId="36">#REF!</definedName>
    <definedName name="应付帐款" localSheetId="36">#REF!</definedName>
    <definedName name="应收帐款" localSheetId="36">#REF!</definedName>
    <definedName name="_xlnm.Print_Area" localSheetId="36">热等静压PL新!$A$1:$D$38</definedName>
    <definedName name="_xlnm.Print_Area" localSheetId="3">'BS-合并'!$A$1:$F$54</definedName>
    <definedName name="_xlnm._FilterDatabase" localSheetId="5" hidden="1">'PL-合并'!$A$8:$D$63</definedName>
  </definedNames>
  <calcPr calcId="191029"/>
  <pivotCaches>
    <pivotCache cacheId="0" r:id="rId4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xin.wang</author>
  </authors>
  <commentList>
    <comment ref="V4" authorId="0">
      <text>
        <r>
          <rPr>
            <b/>
            <sz val="9"/>
            <rFont val="宋体"/>
            <charset val="134"/>
          </rPr>
          <t>xin.wang:</t>
        </r>
        <r>
          <rPr>
            <sz val="9"/>
            <rFont val="宋体"/>
            <charset val="134"/>
          </rPr>
          <t xml:space="preserve">
还原快速、新材料收入（热、精成本）
还原热、精收入（快新成本；热、精收入已经全额扣减，不还原的话，少一块被抵消的收入成本）</t>
        </r>
      </text>
    </comment>
    <comment ref="V6" authorId="0">
      <text>
        <r>
          <rPr>
            <b/>
            <sz val="9"/>
            <rFont val="宋体"/>
            <charset val="134"/>
          </rPr>
          <t>xin.wang:</t>
        </r>
        <r>
          <rPr>
            <sz val="9"/>
            <rFont val="宋体"/>
            <charset val="134"/>
          </rPr>
          <t xml:space="preserve">
条件1：C列选主营业务收入+B列选快速、新材料+G列选热等静压、精铸
条件2：C列选主营业务收入+B列选热等静压、精铸+G列选快速、新材料
两数相加</t>
        </r>
      </text>
    </comment>
    <comment ref="V7" authorId="0">
      <text>
        <r>
          <rPr>
            <b/>
            <sz val="9"/>
            <rFont val="宋体"/>
            <charset val="134"/>
          </rPr>
          <t>xin.wang:</t>
        </r>
        <r>
          <rPr>
            <sz val="9"/>
            <rFont val="宋体"/>
            <charset val="134"/>
          </rPr>
          <t xml:space="preserve">
条件1：C列选其他业务收入+B列选快速、新材料+G列选热等静压、精铸
条件2：C列选其他业务收入+B列选热等静压、精铸+G列选快速、新材料
两数相加</t>
        </r>
      </text>
    </comment>
    <comment ref="V13" authorId="0">
      <text>
        <r>
          <rPr>
            <b/>
            <sz val="9"/>
            <rFont val="宋体"/>
            <charset val="134"/>
          </rPr>
          <t>xin.wang:</t>
        </r>
        <r>
          <rPr>
            <sz val="9"/>
            <rFont val="宋体"/>
            <charset val="134"/>
          </rPr>
          <t xml:space="preserve">
快速-热压管理费</t>
        </r>
      </text>
    </comment>
  </commentList>
</comments>
</file>

<file path=xl/comments2.xml><?xml version="1.0" encoding="utf-8"?>
<comments xmlns="http://schemas.openxmlformats.org/spreadsheetml/2006/main">
  <authors>
    <author>xin.wang</author>
  </authors>
  <commentList>
    <comment ref="B28" authorId="0">
      <text>
        <r>
          <rPr>
            <b/>
            <sz val="9"/>
            <rFont val="宋体"/>
            <charset val="134"/>
          </rPr>
          <t>xin.wang:</t>
        </r>
        <r>
          <rPr>
            <sz val="9"/>
            <rFont val="宋体"/>
            <charset val="134"/>
          </rPr>
          <t xml:space="preserve">
期初审定报表资产负债差异0.01噶在此处</t>
        </r>
      </text>
    </comment>
  </commentList>
</comments>
</file>

<file path=xl/comments3.xml><?xml version="1.0" encoding="utf-8"?>
<comments xmlns="http://schemas.openxmlformats.org/spreadsheetml/2006/main">
  <authors>
    <author>xin.wang</author>
  </authors>
  <commentList>
    <comment ref="A46" authorId="0">
      <text>
        <r>
          <rPr>
            <b/>
            <sz val="9"/>
            <rFont val="宋体"/>
            <charset val="134"/>
          </rPr>
          <t>xin.wang:</t>
        </r>
        <r>
          <rPr>
            <sz val="9"/>
            <rFont val="宋体"/>
            <charset val="134"/>
          </rPr>
          <t xml:space="preserve">
含其他非流动金融资产
</t>
        </r>
      </text>
    </comment>
  </commentList>
</comments>
</file>

<file path=xl/comments4.xml><?xml version="1.0" encoding="utf-8"?>
<comments xmlns="http://schemas.openxmlformats.org/spreadsheetml/2006/main">
  <authors>
    <author>xin.wang</author>
  </authors>
  <commentList>
    <comment ref="P10" authorId="0">
      <text>
        <r>
          <rPr>
            <b/>
            <sz val="9"/>
            <rFont val="宋体"/>
            <charset val="134"/>
          </rPr>
          <t>xin.wang:</t>
        </r>
        <r>
          <rPr>
            <sz val="9"/>
            <rFont val="宋体"/>
            <charset val="134"/>
          </rPr>
          <t xml:space="preserve">
条件1：C列选主营业务收入+B列选快速、新材料+G列选热等静压、精铸
条件2：C列选主营业务收入+B列选热等静压、精铸+G列选快速、新材料
两数相加</t>
        </r>
      </text>
    </comment>
    <comment ref="P11" authorId="0">
      <text>
        <r>
          <rPr>
            <b/>
            <sz val="9"/>
            <rFont val="宋体"/>
            <charset val="134"/>
          </rPr>
          <t>xin.wang:</t>
        </r>
        <r>
          <rPr>
            <sz val="9"/>
            <rFont val="宋体"/>
            <charset val="134"/>
          </rPr>
          <t xml:space="preserve">
条件1：C列选其他业务收入+B列选快速、新材料+G列选热等静压、精铸
条件2：C列选其他业务收入+B列选热等静压、精铸+G列选快速、新材料
两数相加</t>
        </r>
      </text>
    </comment>
    <comment ref="P16" authorId="0">
      <text>
        <r>
          <rPr>
            <b/>
            <sz val="9"/>
            <rFont val="宋体"/>
            <charset val="134"/>
          </rPr>
          <t>xin.wang:</t>
        </r>
        <r>
          <rPr>
            <sz val="9"/>
            <rFont val="宋体"/>
            <charset val="134"/>
          </rPr>
          <t xml:space="preserve">
热等静压技术服务费</t>
        </r>
      </text>
    </comment>
  </commentList>
</comments>
</file>

<file path=xl/comments5.xml><?xml version="1.0" encoding="utf-8"?>
<comments xmlns="http://schemas.openxmlformats.org/spreadsheetml/2006/main">
  <authors>
    <author>xin.wang</author>
    <author>lhx</author>
    <author>李丹丹</author>
  </authors>
  <commentList>
    <comment ref="C192" authorId="0">
      <text>
        <r>
          <rPr>
            <b/>
            <sz val="9"/>
            <rFont val="宋体"/>
            <charset val="134"/>
          </rPr>
          <t>xin.wang:</t>
        </r>
        <r>
          <rPr>
            <sz val="9"/>
            <rFont val="宋体"/>
            <charset val="134"/>
          </rPr>
          <t xml:space="preserve">
抵消数去掉远熙启热（26年开始）</t>
        </r>
      </text>
    </comment>
    <comment ref="F196" authorId="0">
      <text>
        <r>
          <rPr>
            <b/>
            <sz val="9"/>
            <rFont val="宋体"/>
            <charset val="134"/>
          </rPr>
          <t>xin.wang:</t>
        </r>
        <r>
          <rPr>
            <sz val="9"/>
            <rFont val="宋体"/>
            <charset val="134"/>
          </rPr>
          <t xml:space="preserve">
8-12月热等静压房屋租赁成本，逐月结转进其他业务成本；每月修改</t>
        </r>
      </text>
    </comment>
    <comment ref="B210" authorId="0">
      <text>
        <r>
          <rPr>
            <b/>
            <sz val="9"/>
            <rFont val="宋体"/>
            <charset val="134"/>
          </rPr>
          <t>:</t>
        </r>
        <r>
          <rPr>
            <sz val="9"/>
            <rFont val="宋体"/>
            <charset val="134"/>
          </rPr>
          <t xml:space="preserve">
</t>
        </r>
      </text>
    </comment>
    <comment ref="L261" authorId="1">
      <text>
        <r>
          <rPr>
            <b/>
            <sz val="9"/>
            <rFont val="宋体"/>
            <charset val="134"/>
          </rPr>
          <t>lhx:</t>
        </r>
        <r>
          <rPr>
            <sz val="9"/>
            <rFont val="宋体"/>
            <charset val="134"/>
          </rPr>
          <t xml:space="preserve">
本期无锡全部确认收入，调整实现的内部毛利</t>
        </r>
      </text>
    </comment>
    <comment ref="L272" authorId="1">
      <text>
        <r>
          <rPr>
            <b/>
            <sz val="9"/>
            <rFont val="宋体"/>
            <charset val="134"/>
          </rPr>
          <t>lhx:</t>
        </r>
        <r>
          <rPr>
            <sz val="9"/>
            <rFont val="宋体"/>
            <charset val="134"/>
          </rPr>
          <t xml:space="preserve">
本期无锡全部确认收入，调整实现的内部毛利</t>
        </r>
      </text>
    </comment>
    <comment ref="C405" authorId="2">
      <text>
        <r>
          <rPr>
            <b/>
            <sz val="9"/>
            <rFont val="宋体"/>
            <charset val="134"/>
          </rPr>
          <t>李丹丹:</t>
        </r>
        <r>
          <rPr>
            <sz val="9"/>
            <rFont val="宋体"/>
            <charset val="134"/>
          </rPr>
          <t xml:space="preserve">
合并的所得税需要调增</t>
        </r>
      </text>
    </comment>
  </commentList>
</comments>
</file>

<file path=xl/comments6.xml><?xml version="1.0" encoding="utf-8"?>
<comments xmlns="http://schemas.openxmlformats.org/spreadsheetml/2006/main">
  <authors>
    <author>xin.wang</author>
  </authors>
  <commentList>
    <comment ref="D40" authorId="0">
      <text>
        <r>
          <rPr>
            <b/>
            <sz val="9"/>
            <rFont val="宋体"/>
            <charset val="134"/>
          </rPr>
          <t>xin.wang:</t>
        </r>
        <r>
          <rPr>
            <sz val="9"/>
            <rFont val="宋体"/>
            <charset val="134"/>
          </rPr>
          <t xml:space="preserve">
18年731原始净资产*持股比例</t>
        </r>
      </text>
    </comment>
    <comment ref="D42" authorId="0">
      <text>
        <r>
          <rPr>
            <b/>
            <sz val="9"/>
            <rFont val="宋体"/>
            <charset val="134"/>
          </rPr>
          <t>xin.wang:</t>
        </r>
        <r>
          <rPr>
            <sz val="9"/>
            <rFont val="宋体"/>
            <charset val="134"/>
          </rPr>
          <t xml:space="preserve">
-907607.93系精铸23年审定净利润</t>
        </r>
      </text>
    </comment>
  </commentList>
</comments>
</file>

<file path=xl/comments7.xml><?xml version="1.0" encoding="utf-8"?>
<comments xmlns="http://schemas.openxmlformats.org/spreadsheetml/2006/main">
  <authors>
    <author>作者</author>
    <author/>
  </authors>
  <commentList>
    <comment ref="D1" authorId="0">
      <text>
        <r>
          <rPr>
            <sz val="9"/>
            <rFont val="宋体"/>
            <charset val="134"/>
          </rPr>
          <t>[Microsoft JET Created Table]0201010101010101010101010101010101010101010</t>
        </r>
      </text>
    </comment>
    <comment ref="B9" authorId="1">
      <text>
        <r>
          <rPr>
            <sz val="9"/>
            <rFont val="宋体"/>
            <charset val="134"/>
          </rPr>
          <t>[Microsoft JET Created Table]00710100707070707</t>
        </r>
      </text>
    </comment>
  </commentList>
</comments>
</file>

<file path=xl/comments8.xml><?xml version="1.0" encoding="utf-8"?>
<comments xmlns="http://schemas.openxmlformats.org/spreadsheetml/2006/main">
  <authors>
    <author>xin.wang</author>
  </authors>
  <commentList>
    <comment ref="H12" authorId="0">
      <text>
        <r>
          <rPr>
            <b/>
            <sz val="9"/>
            <rFont val="宋体"/>
            <charset val="134"/>
          </rPr>
          <t>xin.wang:</t>
        </r>
        <r>
          <rPr>
            <sz val="9"/>
            <rFont val="宋体"/>
            <charset val="134"/>
          </rPr>
          <t xml:space="preserve">
（背靠背）</t>
        </r>
      </text>
    </comment>
  </commentList>
</comments>
</file>

<file path=xl/comments9.xml><?xml version="1.0" encoding="utf-8"?>
<comments xmlns="http://schemas.openxmlformats.org/spreadsheetml/2006/main">
  <authors>
    <author>刘明</author>
  </authors>
  <commentList>
    <comment ref="AC15" authorId="0">
      <text>
        <r>
          <rPr>
            <b/>
            <sz val="9"/>
            <rFont val="宋体"/>
            <charset val="134"/>
          </rPr>
          <t>刘明:</t>
        </r>
        <r>
          <rPr>
            <sz val="9"/>
            <rFont val="宋体"/>
            <charset val="134"/>
          </rPr>
          <t xml:space="preserve">
成本金额：1396.66</t>
        </r>
      </text>
    </comment>
  </commentList>
</comments>
</file>

<file path=xl/comments10.xml><?xml version="1.0" encoding="utf-8"?>
<comments xmlns="http://schemas.openxmlformats.org/spreadsheetml/2006/main">
  <authors>
    <author>xin.wang</author>
  </authors>
  <commentList>
    <comment ref="A10" authorId="0">
      <text>
        <r>
          <rPr>
            <b/>
            <sz val="9"/>
            <rFont val="宋体"/>
            <charset val="134"/>
          </rPr>
          <t>xin.wang:</t>
        </r>
        <r>
          <rPr>
            <sz val="9"/>
            <rFont val="宋体"/>
            <charset val="134"/>
          </rPr>
          <t xml:space="preserve">
含应收款项融资</t>
        </r>
      </text>
    </comment>
  </commentList>
</comments>
</file>

<file path=xl/comments11.xml><?xml version="1.0" encoding="utf-8"?>
<comments xmlns="http://schemas.openxmlformats.org/spreadsheetml/2006/main">
  <authors>
    <author>xin.wang</author>
  </authors>
  <commentList>
    <comment ref="D24" authorId="0">
      <text>
        <r>
          <rPr>
            <b/>
            <sz val="9"/>
            <rFont val="宋体"/>
            <charset val="134"/>
          </rPr>
          <t>xin.wang:</t>
        </r>
        <r>
          <rPr>
            <sz val="9"/>
            <rFont val="宋体"/>
            <charset val="134"/>
          </rPr>
          <t xml:space="preserve">
待摊费用</t>
        </r>
      </text>
    </comment>
  </commentList>
</comments>
</file>

<file path=xl/comments12.xml><?xml version="1.0" encoding="utf-8"?>
<comments xmlns="http://schemas.openxmlformats.org/spreadsheetml/2006/main">
  <authors>
    <author>xin.wang</author>
  </authors>
  <commentList>
    <comment ref="B17" authorId="0">
      <text>
        <r>
          <rPr>
            <b/>
            <sz val="9"/>
            <rFont val="宋体"/>
            <charset val="134"/>
          </rPr>
          <t>xin.wang:</t>
        </r>
        <r>
          <rPr>
            <sz val="9"/>
            <rFont val="宋体"/>
            <charset val="134"/>
          </rPr>
          <t xml:space="preserve">
(损失以"－"填列)</t>
        </r>
      </text>
    </comment>
  </commentList>
</comments>
</file>

<file path=xl/comments13.xml><?xml version="1.0" encoding="utf-8"?>
<comments xmlns="http://schemas.openxmlformats.org/spreadsheetml/2006/main">
  <authors>
    <author>xin.wang</author>
  </authors>
  <commentList>
    <comment ref="L19" authorId="0">
      <text>
        <r>
          <rPr>
            <b/>
            <sz val="9"/>
            <rFont val="宋体"/>
            <charset val="134"/>
          </rPr>
          <t>xin.wang:</t>
        </r>
        <r>
          <rPr>
            <sz val="9"/>
            <rFont val="宋体"/>
            <charset val="134"/>
          </rPr>
          <t xml:space="preserve">
扣掉转移资产的收入
</t>
        </r>
      </text>
    </comment>
    <comment ref="D24" authorId="0">
      <text>
        <r>
          <rPr>
            <b/>
            <sz val="9"/>
            <rFont val="宋体"/>
            <charset val="134"/>
          </rPr>
          <t>xin.wang:</t>
        </r>
        <r>
          <rPr>
            <sz val="9"/>
            <rFont val="宋体"/>
            <charset val="134"/>
          </rPr>
          <t xml:space="preserve">
待摊费用</t>
        </r>
      </text>
    </comment>
  </commentList>
</comments>
</file>

<file path=xl/sharedStrings.xml><?xml version="1.0" encoding="utf-8"?>
<sst xmlns="http://schemas.openxmlformats.org/spreadsheetml/2006/main" count="5520" uniqueCount="1669">
  <si>
    <t>公司名称</t>
  </si>
  <si>
    <t>简称</t>
  </si>
  <si>
    <t>股权结构图：</t>
  </si>
  <si>
    <t>母公司</t>
  </si>
  <si>
    <t>飞而康快速制造科技有限责任公司</t>
  </si>
  <si>
    <t>飞而康快速</t>
  </si>
  <si>
    <t>子公司1</t>
  </si>
  <si>
    <t>飞而康新材料</t>
  </si>
  <si>
    <t>子公司2</t>
  </si>
  <si>
    <t>飞而康精铸</t>
  </si>
  <si>
    <t>子公司3</t>
  </si>
  <si>
    <t>飞而康热等静压</t>
  </si>
  <si>
    <t>待更新</t>
  </si>
  <si>
    <t>子公司4</t>
  </si>
  <si>
    <t>子公司5</t>
  </si>
  <si>
    <t>截止日</t>
  </si>
  <si>
    <t>会计年度</t>
  </si>
  <si>
    <t>第一期</t>
  </si>
  <si>
    <t>2022年度</t>
  </si>
  <si>
    <t>第二期</t>
  </si>
  <si>
    <t>2023年度</t>
  </si>
  <si>
    <t>第三期</t>
  </si>
  <si>
    <t>2024年度</t>
  </si>
  <si>
    <t>第四期</t>
  </si>
  <si>
    <t>2025年度</t>
  </si>
  <si>
    <t>签名</t>
  </si>
  <si>
    <t>日期：</t>
  </si>
  <si>
    <t>编制人：</t>
  </si>
  <si>
    <t>复核人：</t>
  </si>
  <si>
    <r>
      <rPr>
        <b/>
        <sz val="22"/>
        <rFont val="宋体"/>
        <charset val="134"/>
      </rPr>
      <t>利</t>
    </r>
    <r>
      <rPr>
        <b/>
        <sz val="22"/>
        <rFont val="Times New Roman"/>
        <charset val="134"/>
      </rPr>
      <t xml:space="preserve">  </t>
    </r>
    <r>
      <rPr>
        <b/>
        <sz val="22"/>
        <rFont val="宋体"/>
        <charset val="134"/>
      </rPr>
      <t>润</t>
    </r>
    <r>
      <rPr>
        <b/>
        <sz val="22"/>
        <rFont val="Times New Roman"/>
        <charset val="134"/>
      </rPr>
      <t xml:space="preserve">  </t>
    </r>
    <r>
      <rPr>
        <b/>
        <sz val="22"/>
        <rFont val="宋体"/>
        <charset val="134"/>
      </rPr>
      <t>表</t>
    </r>
    <r>
      <rPr>
        <b/>
        <sz val="22"/>
        <rFont val="Times New Roman"/>
        <charset val="134"/>
      </rPr>
      <t>-</t>
    </r>
    <r>
      <rPr>
        <b/>
        <sz val="22"/>
        <rFont val="宋体"/>
        <charset val="134"/>
      </rPr>
      <t>合并报表</t>
    </r>
  </si>
  <si>
    <r>
      <rPr>
        <sz val="10"/>
        <rFont val="Times New Roman"/>
        <charset val="134"/>
      </rPr>
      <t xml:space="preserve">  </t>
    </r>
    <r>
      <rPr>
        <sz val="10"/>
        <rFont val="宋体"/>
        <charset val="134"/>
      </rPr>
      <t>会企</t>
    </r>
    <r>
      <rPr>
        <sz val="10"/>
        <rFont val="Times New Roman"/>
        <charset val="134"/>
      </rPr>
      <t>02</t>
    </r>
    <r>
      <rPr>
        <sz val="10"/>
        <rFont val="宋体"/>
        <charset val="134"/>
      </rPr>
      <t>表</t>
    </r>
  </si>
  <si>
    <r>
      <rPr>
        <sz val="11"/>
        <rFont val="宋体"/>
        <charset val="134"/>
      </rPr>
      <t>单位名称：飞而康快速制造科技有限责任公司</t>
    </r>
  </si>
  <si>
    <r>
      <rPr>
        <sz val="10"/>
        <rFont val="Times New Roman"/>
        <charset val="134"/>
      </rPr>
      <t xml:space="preserve">  </t>
    </r>
    <r>
      <rPr>
        <sz val="10"/>
        <rFont val="宋体"/>
        <charset val="134"/>
      </rPr>
      <t>单位：元</t>
    </r>
  </si>
  <si>
    <t>注意修改！！！</t>
  </si>
  <si>
    <t>差异系精铸管理费嘎差</t>
  </si>
  <si>
    <r>
      <rPr>
        <b/>
        <sz val="12"/>
        <rFont val="宋体"/>
        <charset val="134"/>
      </rPr>
      <t>项</t>
    </r>
    <r>
      <rPr>
        <b/>
        <sz val="12"/>
        <rFont val="Times New Roman"/>
        <charset val="134"/>
      </rPr>
      <t xml:space="preserve">       </t>
    </r>
    <r>
      <rPr>
        <b/>
        <sz val="12"/>
        <rFont val="宋体"/>
        <charset val="134"/>
      </rPr>
      <t>目</t>
    </r>
  </si>
  <si>
    <t>合并口径本期金额</t>
  </si>
  <si>
    <t>合并口径本年累计金额</t>
  </si>
  <si>
    <r>
      <rPr>
        <b/>
        <sz val="10"/>
        <rFont val="Times New Roman"/>
        <charset val="134"/>
      </rPr>
      <t>2410</t>
    </r>
    <r>
      <rPr>
        <b/>
        <sz val="10"/>
        <rFont val="宋体"/>
        <charset val="134"/>
      </rPr>
      <t>月金额</t>
    </r>
  </si>
  <si>
    <r>
      <rPr>
        <b/>
        <sz val="10"/>
        <rFont val="Times New Roman"/>
        <charset val="134"/>
      </rPr>
      <t>2410</t>
    </r>
    <r>
      <rPr>
        <b/>
        <sz val="10"/>
        <rFont val="宋体"/>
        <charset val="134"/>
      </rPr>
      <t>月累计金额</t>
    </r>
  </si>
  <si>
    <r>
      <rPr>
        <sz val="11"/>
        <rFont val="Times New Roman"/>
        <charset val="134"/>
      </rPr>
      <t>2306</t>
    </r>
    <r>
      <rPr>
        <sz val="11"/>
        <rFont val="宋体"/>
        <charset val="134"/>
      </rPr>
      <t>数据</t>
    </r>
  </si>
  <si>
    <r>
      <rPr>
        <sz val="11"/>
        <rFont val="Times New Roman"/>
        <charset val="134"/>
      </rPr>
      <t>2306</t>
    </r>
    <r>
      <rPr>
        <sz val="11"/>
        <rFont val="宋体"/>
        <charset val="134"/>
      </rPr>
      <t>合计</t>
    </r>
  </si>
  <si>
    <r>
      <rPr>
        <sz val="11"/>
        <rFont val="宋体"/>
        <charset val="134"/>
      </rPr>
      <t>差异</t>
    </r>
    <r>
      <rPr>
        <sz val="11"/>
        <rFont val="Times New Roman"/>
        <charset val="134"/>
      </rPr>
      <t>1</t>
    </r>
  </si>
  <si>
    <r>
      <rPr>
        <sz val="11"/>
        <rFont val="宋体"/>
        <charset val="134"/>
      </rPr>
      <t>差异</t>
    </r>
    <r>
      <rPr>
        <sz val="11"/>
        <rFont val="Times New Roman"/>
        <charset val="134"/>
      </rPr>
      <t>2</t>
    </r>
  </si>
  <si>
    <t>精铸本月</t>
  </si>
  <si>
    <t>精铸累计</t>
  </si>
  <si>
    <t>热等静压本月</t>
  </si>
  <si>
    <t>热等静压累计</t>
  </si>
  <si>
    <t>合并抵消还原本月</t>
  </si>
  <si>
    <t>合并抵消还原累计</t>
  </si>
  <si>
    <r>
      <rPr>
        <sz val="8"/>
        <rFont val="宋体"/>
        <charset val="134"/>
      </rPr>
      <t>快速</t>
    </r>
    <r>
      <rPr>
        <sz val="8"/>
        <rFont val="Times New Roman"/>
        <charset val="134"/>
      </rPr>
      <t>+</t>
    </r>
    <r>
      <rPr>
        <sz val="8"/>
        <rFont val="宋体"/>
        <charset val="134"/>
      </rPr>
      <t>新材料本期金额</t>
    </r>
  </si>
  <si>
    <t>快速+新材料本年累计金额</t>
  </si>
  <si>
    <r>
      <rPr>
        <sz val="11"/>
        <rFont val="宋体"/>
        <charset val="134"/>
      </rPr>
      <t>一、营业收入</t>
    </r>
  </si>
  <si>
    <r>
      <rPr>
        <sz val="11"/>
        <rFont val="Times New Roman"/>
        <charset val="134"/>
      </rPr>
      <t xml:space="preserve">     </t>
    </r>
    <r>
      <rPr>
        <sz val="11"/>
        <rFont val="宋体"/>
        <charset val="134"/>
      </rPr>
      <t>其中：主营业务收入</t>
    </r>
  </si>
  <si>
    <r>
      <rPr>
        <sz val="11"/>
        <rFont val="Times New Roman"/>
        <charset val="134"/>
      </rPr>
      <t xml:space="preserve">          </t>
    </r>
    <r>
      <rPr>
        <sz val="11"/>
        <rFont val="宋体"/>
        <charset val="134"/>
      </rPr>
      <t>其他业务收入</t>
    </r>
  </si>
  <si>
    <r>
      <rPr>
        <sz val="11"/>
        <rFont val="Times New Roman"/>
        <charset val="134"/>
      </rPr>
      <t xml:space="preserve">    </t>
    </r>
    <r>
      <rPr>
        <sz val="11"/>
        <rFont val="宋体"/>
        <charset val="134"/>
      </rPr>
      <t>减：营业成本</t>
    </r>
  </si>
  <si>
    <r>
      <rPr>
        <sz val="11"/>
        <rFont val="Times New Roman"/>
        <charset val="134"/>
      </rPr>
      <t xml:space="preserve">     </t>
    </r>
    <r>
      <rPr>
        <sz val="11"/>
        <rFont val="宋体"/>
        <charset val="134"/>
      </rPr>
      <t>其中：主营业务成本</t>
    </r>
  </si>
  <si>
    <r>
      <rPr>
        <sz val="11"/>
        <rFont val="Times New Roman"/>
        <charset val="134"/>
      </rPr>
      <t xml:space="preserve">           </t>
    </r>
    <r>
      <rPr>
        <sz val="11"/>
        <rFont val="宋体"/>
        <charset val="134"/>
      </rPr>
      <t>其他业务成本</t>
    </r>
  </si>
  <si>
    <r>
      <rPr>
        <sz val="11"/>
        <rFont val="Times New Roman"/>
        <charset val="134"/>
      </rPr>
      <t xml:space="preserve">        </t>
    </r>
    <r>
      <rPr>
        <sz val="11"/>
        <rFont val="宋体"/>
        <charset val="134"/>
      </rPr>
      <t>营业税金及附加</t>
    </r>
  </si>
  <si>
    <r>
      <rPr>
        <sz val="9"/>
        <rFont val="宋体"/>
        <charset val="134"/>
      </rPr>
      <t>快速资产转移新材料</t>
    </r>
    <r>
      <rPr>
        <sz val="9"/>
        <rFont val="Times New Roman"/>
        <charset val="134"/>
      </rPr>
      <t>4</t>
    </r>
    <r>
      <rPr>
        <sz val="9"/>
        <rFont val="宋体"/>
        <charset val="134"/>
      </rPr>
      <t>月份开票确认收入</t>
    </r>
    <r>
      <rPr>
        <sz val="9"/>
        <rFont val="Times New Roman"/>
        <charset val="134"/>
      </rPr>
      <t>6227.38</t>
    </r>
    <r>
      <rPr>
        <sz val="9"/>
        <rFont val="宋体"/>
        <charset val="134"/>
      </rPr>
      <t>形成增值税</t>
    </r>
    <r>
      <rPr>
        <sz val="9"/>
        <rFont val="Times New Roman"/>
        <charset val="134"/>
      </rPr>
      <t xml:space="preserve"> 809.56 </t>
    </r>
    <r>
      <rPr>
        <sz val="9"/>
        <rFont val="宋体"/>
        <charset val="134"/>
      </rPr>
      <t>及附加税</t>
    </r>
    <r>
      <rPr>
        <sz val="9"/>
        <rFont val="Times New Roman"/>
        <charset val="134"/>
      </rPr>
      <t>97.15</t>
    </r>
    <r>
      <rPr>
        <sz val="9"/>
        <rFont val="宋体"/>
        <charset val="134"/>
      </rPr>
      <t>万元</t>
    </r>
  </si>
  <si>
    <r>
      <rPr>
        <sz val="11"/>
        <rFont val="Times New Roman"/>
        <charset val="134"/>
      </rPr>
      <t xml:space="preserve">        </t>
    </r>
    <r>
      <rPr>
        <sz val="11"/>
        <rFont val="宋体"/>
        <charset val="134"/>
      </rPr>
      <t>销售费用</t>
    </r>
  </si>
  <si>
    <t>营业收入增长，销售费用略有增长相对合理</t>
  </si>
  <si>
    <r>
      <rPr>
        <sz val="11"/>
        <rFont val="Times New Roman"/>
        <charset val="134"/>
      </rPr>
      <t xml:space="preserve">        </t>
    </r>
    <r>
      <rPr>
        <sz val="11"/>
        <rFont val="宋体"/>
        <charset val="134"/>
      </rPr>
      <t>管理费用</t>
    </r>
  </si>
  <si>
    <r>
      <rPr>
        <sz val="9"/>
        <rFont val="宋体"/>
        <charset val="134"/>
      </rPr>
      <t>上年同期因审计调整，红冲当月费用</t>
    </r>
    <r>
      <rPr>
        <sz val="9"/>
        <rFont val="Times New Roman"/>
        <charset val="134"/>
      </rPr>
      <t>26.20</t>
    </r>
    <r>
      <rPr>
        <sz val="9"/>
        <rFont val="宋体"/>
        <charset val="134"/>
      </rPr>
      <t>万元</t>
    </r>
  </si>
  <si>
    <r>
      <rPr>
        <sz val="11"/>
        <rFont val="Times New Roman"/>
        <charset val="134"/>
      </rPr>
      <t xml:space="preserve">        </t>
    </r>
    <r>
      <rPr>
        <sz val="11"/>
        <rFont val="宋体"/>
        <charset val="134"/>
      </rPr>
      <t>研发费用</t>
    </r>
  </si>
  <si>
    <r>
      <rPr>
        <sz val="9"/>
        <rFont val="宋体"/>
        <charset val="134"/>
      </rPr>
      <t>上年同期将</t>
    </r>
    <r>
      <rPr>
        <sz val="9"/>
        <rFont val="Times New Roman"/>
        <charset val="134"/>
      </rPr>
      <t>1-3</t>
    </r>
    <r>
      <rPr>
        <sz val="9"/>
        <rFont val="宋体"/>
        <charset val="134"/>
      </rPr>
      <t>月部分误入</t>
    </r>
    <r>
      <rPr>
        <sz val="9"/>
        <rFont val="Times New Roman"/>
        <charset val="134"/>
      </rPr>
      <t>3D</t>
    </r>
    <r>
      <rPr>
        <sz val="9"/>
        <rFont val="宋体"/>
        <charset val="134"/>
      </rPr>
      <t>生产成本的研发费用调整调回研发费用-直接投入</t>
    </r>
  </si>
  <si>
    <r>
      <rPr>
        <sz val="11"/>
        <rFont val="Times New Roman"/>
        <charset val="134"/>
      </rPr>
      <t xml:space="preserve">        </t>
    </r>
    <r>
      <rPr>
        <sz val="11"/>
        <rFont val="宋体"/>
        <charset val="134"/>
      </rPr>
      <t>财务费用</t>
    </r>
  </si>
  <si>
    <r>
      <rPr>
        <sz val="9"/>
        <rFont val="宋体"/>
        <charset val="134"/>
      </rPr>
      <t>跟产业集团借款</t>
    </r>
    <r>
      <rPr>
        <sz val="9"/>
        <rFont val="Times New Roman"/>
        <charset val="134"/>
      </rPr>
      <t>3000</t>
    </r>
    <r>
      <rPr>
        <sz val="9"/>
        <rFont val="宋体"/>
        <charset val="134"/>
      </rPr>
      <t>万元，每月约增加15万财务费用</t>
    </r>
  </si>
  <si>
    <r>
      <rPr>
        <sz val="11"/>
        <rFont val="Times New Roman"/>
        <charset val="134"/>
      </rPr>
      <t xml:space="preserve">        </t>
    </r>
    <r>
      <rPr>
        <sz val="11"/>
        <rFont val="宋体"/>
        <charset val="134"/>
      </rPr>
      <t>资产减值损失</t>
    </r>
  </si>
  <si>
    <r>
      <rPr>
        <sz val="11"/>
        <rFont val="Times New Roman"/>
        <charset val="134"/>
      </rPr>
      <t xml:space="preserve">        </t>
    </r>
    <r>
      <rPr>
        <sz val="11"/>
        <rFont val="宋体"/>
        <charset val="134"/>
      </rPr>
      <t>信用减值损失</t>
    </r>
  </si>
  <si>
    <r>
      <rPr>
        <sz val="11"/>
        <rFont val="Times New Roman"/>
        <charset val="134"/>
      </rPr>
      <t xml:space="preserve">     </t>
    </r>
    <r>
      <rPr>
        <sz val="11"/>
        <rFont val="宋体"/>
        <charset val="134"/>
      </rPr>
      <t>加：公允价值变动收益（损失以</t>
    </r>
    <r>
      <rPr>
        <sz val="11"/>
        <rFont val="Times New Roman"/>
        <charset val="134"/>
      </rPr>
      <t>"-"</t>
    </r>
    <r>
      <rPr>
        <sz val="11"/>
        <rFont val="宋体"/>
        <charset val="134"/>
      </rPr>
      <t>填列）</t>
    </r>
  </si>
  <si>
    <r>
      <rPr>
        <sz val="11"/>
        <rFont val="Times New Roman"/>
        <charset val="134"/>
      </rPr>
      <t xml:space="preserve">         </t>
    </r>
    <r>
      <rPr>
        <sz val="11"/>
        <rFont val="宋体"/>
        <charset val="134"/>
      </rPr>
      <t>投资收益（损失以</t>
    </r>
    <r>
      <rPr>
        <sz val="11"/>
        <rFont val="Times New Roman"/>
        <charset val="134"/>
      </rPr>
      <t>"-"</t>
    </r>
    <r>
      <rPr>
        <sz val="11"/>
        <rFont val="宋体"/>
        <charset val="134"/>
      </rPr>
      <t>填列）</t>
    </r>
  </si>
  <si>
    <r>
      <rPr>
        <sz val="11"/>
        <rFont val="Times New Roman"/>
        <charset val="134"/>
      </rPr>
      <t xml:space="preserve">         </t>
    </r>
    <r>
      <rPr>
        <sz val="11"/>
        <rFont val="宋体"/>
        <charset val="134"/>
      </rPr>
      <t>其中：对联营企业和合营企业的投资收益</t>
    </r>
  </si>
  <si>
    <r>
      <rPr>
        <sz val="11"/>
        <rFont val="宋体"/>
        <charset val="134"/>
      </rPr>
      <t>新材料</t>
    </r>
    <r>
      <rPr>
        <sz val="11"/>
        <rFont val="Times New Roman"/>
        <charset val="134"/>
      </rPr>
      <t>-</t>
    </r>
    <r>
      <rPr>
        <sz val="11"/>
        <rFont val="宋体"/>
        <charset val="134"/>
      </rPr>
      <t>热压背靠背收入</t>
    </r>
  </si>
  <si>
    <r>
      <rPr>
        <sz val="11"/>
        <rFont val="宋体"/>
        <charset val="134"/>
      </rPr>
      <t>其他收益</t>
    </r>
  </si>
  <si>
    <t>3D</t>
  </si>
  <si>
    <r>
      <rPr>
        <b/>
        <sz val="11"/>
        <rFont val="宋体"/>
        <charset val="134"/>
      </rPr>
      <t>二、营业利润（亏损以</t>
    </r>
    <r>
      <rPr>
        <b/>
        <sz val="11"/>
        <rFont val="Times New Roman"/>
        <charset val="134"/>
      </rPr>
      <t>"</t>
    </r>
    <r>
      <rPr>
        <b/>
        <sz val="11"/>
        <rFont val="宋体"/>
        <charset val="134"/>
      </rPr>
      <t>－</t>
    </r>
    <r>
      <rPr>
        <b/>
        <sz val="11"/>
        <rFont val="Times New Roman"/>
        <charset val="134"/>
      </rPr>
      <t>"</t>
    </r>
    <r>
      <rPr>
        <b/>
        <sz val="11"/>
        <rFont val="宋体"/>
        <charset val="134"/>
      </rPr>
      <t>号填列）</t>
    </r>
  </si>
  <si>
    <t>合计</t>
  </si>
  <si>
    <r>
      <rPr>
        <sz val="11"/>
        <rFont val="Times New Roman"/>
        <charset val="134"/>
      </rPr>
      <t xml:space="preserve">    </t>
    </r>
    <r>
      <rPr>
        <sz val="11"/>
        <rFont val="宋体"/>
        <charset val="134"/>
      </rPr>
      <t>加：营业外收入</t>
    </r>
  </si>
  <si>
    <t>check</t>
  </si>
  <si>
    <r>
      <rPr>
        <sz val="11"/>
        <rFont val="Times New Roman"/>
        <charset val="134"/>
      </rPr>
      <t xml:space="preserve">    </t>
    </r>
    <r>
      <rPr>
        <sz val="11"/>
        <rFont val="宋体"/>
        <charset val="134"/>
      </rPr>
      <t>减：营业外支出</t>
    </r>
  </si>
  <si>
    <r>
      <rPr>
        <sz val="11"/>
        <rFont val="Times New Roman"/>
        <charset val="134"/>
      </rPr>
      <t xml:space="preserve">    </t>
    </r>
    <r>
      <rPr>
        <sz val="11"/>
        <rFont val="宋体"/>
        <charset val="134"/>
      </rPr>
      <t>其中：非流动资产处置损失</t>
    </r>
  </si>
  <si>
    <r>
      <rPr>
        <b/>
        <sz val="11"/>
        <rFont val="宋体"/>
        <charset val="134"/>
      </rPr>
      <t>三、利润总额（亏损总额以</t>
    </r>
    <r>
      <rPr>
        <b/>
        <sz val="11"/>
        <rFont val="Times New Roman"/>
        <charset val="134"/>
      </rPr>
      <t>"</t>
    </r>
    <r>
      <rPr>
        <b/>
        <sz val="11"/>
        <rFont val="宋体"/>
        <charset val="134"/>
      </rPr>
      <t>－</t>
    </r>
    <r>
      <rPr>
        <b/>
        <sz val="11"/>
        <rFont val="Times New Roman"/>
        <charset val="134"/>
      </rPr>
      <t>"</t>
    </r>
    <r>
      <rPr>
        <b/>
        <sz val="11"/>
        <rFont val="宋体"/>
        <charset val="134"/>
      </rPr>
      <t>号填列）</t>
    </r>
  </si>
  <si>
    <r>
      <rPr>
        <sz val="11"/>
        <rFont val="Times New Roman"/>
        <charset val="134"/>
      </rPr>
      <t xml:space="preserve">    </t>
    </r>
    <r>
      <rPr>
        <sz val="11"/>
        <rFont val="宋体"/>
        <charset val="134"/>
      </rPr>
      <t>减：所得税费用</t>
    </r>
  </si>
  <si>
    <t>3D实际开票</t>
  </si>
  <si>
    <r>
      <rPr>
        <b/>
        <sz val="11"/>
        <rFont val="宋体"/>
        <charset val="134"/>
      </rPr>
      <t>四、净利润（净亏损以</t>
    </r>
    <r>
      <rPr>
        <b/>
        <sz val="11"/>
        <rFont val="Times New Roman"/>
        <charset val="134"/>
      </rPr>
      <t>"</t>
    </r>
    <r>
      <rPr>
        <b/>
        <sz val="11"/>
        <rFont val="宋体"/>
        <charset val="134"/>
      </rPr>
      <t>－</t>
    </r>
    <r>
      <rPr>
        <b/>
        <sz val="11"/>
        <rFont val="Times New Roman"/>
        <charset val="134"/>
      </rPr>
      <t>"</t>
    </r>
    <r>
      <rPr>
        <b/>
        <sz val="11"/>
        <rFont val="宋体"/>
        <charset val="134"/>
      </rPr>
      <t>号填列）</t>
    </r>
  </si>
  <si>
    <t>其中账面进收入</t>
  </si>
  <si>
    <r>
      <rPr>
        <sz val="11"/>
        <rFont val="宋体"/>
        <charset val="134"/>
      </rPr>
      <t>少数股东损益</t>
    </r>
  </si>
  <si>
    <t>合同负债</t>
  </si>
  <si>
    <r>
      <rPr>
        <sz val="11"/>
        <rFont val="宋体"/>
        <charset val="134"/>
      </rPr>
      <t>归属于母公司所有者的净利润</t>
    </r>
  </si>
  <si>
    <t>其余月份合同资产转收入</t>
  </si>
  <si>
    <r>
      <rPr>
        <sz val="11"/>
        <rFont val="宋体"/>
        <charset val="134"/>
      </rPr>
      <t>五、每股收益：</t>
    </r>
  </si>
  <si>
    <t>快速</t>
  </si>
  <si>
    <r>
      <rPr>
        <sz val="11"/>
        <rFont val="宋体"/>
        <charset val="134"/>
      </rPr>
      <t>（一）基本每股收益</t>
    </r>
  </si>
  <si>
    <t>新材料</t>
  </si>
  <si>
    <r>
      <rPr>
        <sz val="11"/>
        <rFont val="宋体"/>
        <charset val="134"/>
      </rPr>
      <t>（二）稀释每股收益</t>
    </r>
  </si>
  <si>
    <t>资产负债表-合并报表</t>
  </si>
  <si>
    <t>会企01表</t>
  </si>
  <si>
    <t>单位名称：飞而康快速制造科技有限责任公司</t>
  </si>
  <si>
    <t>单位：元</t>
  </si>
  <si>
    <t>资产</t>
  </si>
  <si>
    <t>年初余额</t>
  </si>
  <si>
    <t>期末余额</t>
  </si>
  <si>
    <t>负债及所有者权益（或股东权益）</t>
  </si>
  <si>
    <t>流动资产：</t>
  </si>
  <si>
    <t>流动负债：</t>
  </si>
  <si>
    <t>货币资金</t>
  </si>
  <si>
    <t>短期借款</t>
  </si>
  <si>
    <t>其中：银行存款</t>
  </si>
  <si>
    <t>交易性金融负债</t>
  </si>
  <si>
    <t>其他货币资金</t>
  </si>
  <si>
    <t>应付票据</t>
  </si>
  <si>
    <t>交易性金融资产</t>
  </si>
  <si>
    <t>应付账款</t>
  </si>
  <si>
    <t>应收票据</t>
  </si>
  <si>
    <t>预收款项</t>
  </si>
  <si>
    <t>应收账款</t>
  </si>
  <si>
    <t>预付款项</t>
  </si>
  <si>
    <t>应付职工薪酬</t>
  </si>
  <si>
    <t>应收利息</t>
  </si>
  <si>
    <t>应交税费</t>
  </si>
  <si>
    <t>应收股利</t>
  </si>
  <si>
    <t>应付利息</t>
  </si>
  <si>
    <t>其他应收款</t>
  </si>
  <si>
    <t>应付股利</t>
  </si>
  <si>
    <t>存货</t>
  </si>
  <si>
    <t>其他应付款</t>
  </si>
  <si>
    <t>其中：库存材料</t>
  </si>
  <si>
    <t>一年内到期的非流动负债</t>
  </si>
  <si>
    <t>合并报表</t>
  </si>
  <si>
    <t>精铸</t>
  </si>
  <si>
    <t>快速准</t>
  </si>
  <si>
    <t>在产品及自制半成品</t>
  </si>
  <si>
    <t>在产品产值</t>
  </si>
  <si>
    <t>产成品（库存商品）</t>
  </si>
  <si>
    <t>产成品产值</t>
  </si>
  <si>
    <t>周转材料</t>
  </si>
  <si>
    <t>总产值</t>
  </si>
  <si>
    <t>待摊费用</t>
  </si>
  <si>
    <t>合同资产</t>
  </si>
  <si>
    <t>一年内到期的非流动资产</t>
  </si>
  <si>
    <t>其他流动资产</t>
  </si>
  <si>
    <t>流动负债合计</t>
  </si>
  <si>
    <t>流动资产合计</t>
  </si>
  <si>
    <t>非流动负债：</t>
  </si>
  <si>
    <t>工业销售产值</t>
  </si>
  <si>
    <t>非流动资产：</t>
  </si>
  <si>
    <t>长期借款</t>
  </si>
  <si>
    <t>可供出售金融资产</t>
  </si>
  <si>
    <t>应付债券</t>
  </si>
  <si>
    <t>持有至到期投资</t>
  </si>
  <si>
    <t>长期应付款</t>
  </si>
  <si>
    <t>长期应收款</t>
  </si>
  <si>
    <t>专项应付款</t>
  </si>
  <si>
    <t>长期股权投资</t>
  </si>
  <si>
    <t>预计负债</t>
  </si>
  <si>
    <t>投资性房地产</t>
  </si>
  <si>
    <t>递延收益</t>
  </si>
  <si>
    <t>固定资产原价</t>
  </si>
  <si>
    <t>递延所得税负债</t>
  </si>
  <si>
    <t>固定资产当年增加</t>
  </si>
  <si>
    <t>减：累计折旧</t>
  </si>
  <si>
    <t>其他非流动负债</t>
  </si>
  <si>
    <t>当年累计折旧</t>
  </si>
  <si>
    <t>固定资产净值</t>
  </si>
  <si>
    <t>非流动负债合计</t>
  </si>
  <si>
    <t>在建工程</t>
  </si>
  <si>
    <t>负债合计</t>
  </si>
  <si>
    <t>工程物资</t>
  </si>
  <si>
    <t>所有者权益（或股东权益）：</t>
  </si>
  <si>
    <t>固定资产清理</t>
  </si>
  <si>
    <t>实收资本（或股本）</t>
  </si>
  <si>
    <t>生产性生物资产</t>
  </si>
  <si>
    <t>资本公积</t>
  </si>
  <si>
    <t>油气资产</t>
  </si>
  <si>
    <t>减：库存股</t>
  </si>
  <si>
    <t>无形资产</t>
  </si>
  <si>
    <t>盈余公积</t>
  </si>
  <si>
    <t>开发支出</t>
  </si>
  <si>
    <t>未分配利润</t>
  </si>
  <si>
    <t>商誉</t>
  </si>
  <si>
    <t>归属母公司所有者权益</t>
  </si>
  <si>
    <t>长期待摊费用</t>
  </si>
  <si>
    <t>少数股东权益</t>
  </si>
  <si>
    <t>递延所得税资产</t>
  </si>
  <si>
    <t>所有者权益（或股东权益）合计</t>
  </si>
  <si>
    <t>其他非流动资产</t>
  </si>
  <si>
    <t>非流动资产合计</t>
  </si>
  <si>
    <t>资产总计</t>
  </si>
  <si>
    <t>负债和所有者权益（或股东权益）总计</t>
  </si>
  <si>
    <t>营业收入</t>
  </si>
  <si>
    <t>净利润</t>
  </si>
  <si>
    <t>资产负债率</t>
  </si>
  <si>
    <t>资产负债表-合并</t>
  </si>
  <si>
    <t>制表单位:飞而康快速制造科技有限责任公司</t>
  </si>
  <si>
    <t>报表期间：</t>
  </si>
  <si>
    <t>单位:</t>
  </si>
  <si>
    <t>人民币元</t>
  </si>
  <si>
    <t>负债及所有者权益</t>
  </si>
  <si>
    <t xml:space="preserve">  货币资金</t>
  </si>
  <si>
    <t xml:space="preserve">  短期借款</t>
  </si>
  <si>
    <t xml:space="preserve">  其中：银行存款</t>
  </si>
  <si>
    <t xml:space="preserve">  交易性金融负债</t>
  </si>
  <si>
    <t xml:space="preserve">  其他货币资金</t>
  </si>
  <si>
    <t xml:space="preserve">  应付票据</t>
  </si>
  <si>
    <t xml:space="preserve">  交易性金融资产</t>
  </si>
  <si>
    <t xml:space="preserve">  应付账款</t>
  </si>
  <si>
    <t xml:space="preserve">  应收票据</t>
  </si>
  <si>
    <t xml:space="preserve">  预收账款</t>
  </si>
  <si>
    <t xml:space="preserve">  应收账款</t>
  </si>
  <si>
    <t xml:space="preserve">  合同负债</t>
  </si>
  <si>
    <t xml:space="preserve">  应收款项融资</t>
  </si>
  <si>
    <t xml:space="preserve">  应付职工薪酬</t>
  </si>
  <si>
    <t xml:space="preserve">  预付款项</t>
  </si>
  <si>
    <t xml:space="preserve">  应交税费</t>
  </si>
  <si>
    <t xml:space="preserve">  应收利息</t>
  </si>
  <si>
    <t xml:space="preserve">  应付利息</t>
  </si>
  <si>
    <t xml:space="preserve">  应收股利</t>
  </si>
  <si>
    <t xml:space="preserve">  应付股利</t>
  </si>
  <si>
    <t xml:space="preserve">  其他应收款</t>
  </si>
  <si>
    <t xml:space="preserve">  其他应付款</t>
  </si>
  <si>
    <t xml:space="preserve">  存货</t>
  </si>
  <si>
    <t xml:space="preserve">  一年内到期的非流动负债</t>
  </si>
  <si>
    <t xml:space="preserve">  其中:库存材料</t>
  </si>
  <si>
    <t xml:space="preserve">  其他流动负债</t>
  </si>
  <si>
    <t xml:space="preserve">  在产品及自制半成品</t>
  </si>
  <si>
    <t xml:space="preserve">  产成品(库存商品)</t>
  </si>
  <si>
    <t xml:space="preserve">  周转材料</t>
  </si>
  <si>
    <t xml:space="preserve">  待摊费用</t>
  </si>
  <si>
    <t xml:space="preserve">    流动负债合计</t>
  </si>
  <si>
    <t xml:space="preserve">  合同资产</t>
  </si>
  <si>
    <t>——</t>
  </si>
  <si>
    <t xml:space="preserve">  一年内到期的非流动资产</t>
  </si>
  <si>
    <t xml:space="preserve">  长期借款</t>
  </si>
  <si>
    <t xml:space="preserve">  其他流动资产</t>
  </si>
  <si>
    <t xml:space="preserve">  应付债券</t>
  </si>
  <si>
    <t xml:space="preserve">    流动资产合计</t>
  </si>
  <si>
    <t xml:space="preserve">  长期应付款</t>
  </si>
  <si>
    <t xml:space="preserve">  专项应付款</t>
  </si>
  <si>
    <t xml:space="preserve">  预计负债</t>
  </si>
  <si>
    <t xml:space="preserve">  递延收益</t>
  </si>
  <si>
    <t xml:space="preserve">  递延所得税负债</t>
  </si>
  <si>
    <t xml:space="preserve">  可供出售金融资产</t>
  </si>
  <si>
    <t xml:space="preserve">  其他非流动负债</t>
  </si>
  <si>
    <t xml:space="preserve">  持有至到期投资</t>
  </si>
  <si>
    <t xml:space="preserve">    非流动负债合计</t>
  </si>
  <si>
    <t xml:space="preserve">  长期应收款</t>
  </si>
  <si>
    <t xml:space="preserve">    负债合计</t>
  </si>
  <si>
    <t xml:space="preserve">  长期股权投资</t>
  </si>
  <si>
    <t xml:space="preserve">  其他非流动金融资产</t>
  </si>
  <si>
    <t xml:space="preserve">  投资性房地产</t>
  </si>
  <si>
    <t xml:space="preserve">  固定资产</t>
  </si>
  <si>
    <t xml:space="preserve">  实收资本（或股本）</t>
  </si>
  <si>
    <t xml:space="preserve">  减:累计折旧</t>
  </si>
  <si>
    <t xml:space="preserve">  资本公积</t>
  </si>
  <si>
    <t xml:space="preserve">  固定资产净值</t>
  </si>
  <si>
    <t xml:space="preserve">  减：库存股</t>
  </si>
  <si>
    <t xml:space="preserve">  在建工程</t>
  </si>
  <si>
    <t xml:space="preserve">  盈余公积</t>
  </si>
  <si>
    <t xml:space="preserve">  固定资产清理</t>
  </si>
  <si>
    <t xml:space="preserve">  未分配利润</t>
  </si>
  <si>
    <t xml:space="preserve">  生产性生物资产</t>
  </si>
  <si>
    <t xml:space="preserve">  归属母公司所有者权益</t>
  </si>
  <si>
    <t xml:space="preserve">  油气资产</t>
  </si>
  <si>
    <t xml:space="preserve">  少数股东权益</t>
  </si>
  <si>
    <t xml:space="preserve">  无形资产</t>
  </si>
  <si>
    <t xml:space="preserve">    所有者权益（或股东权益）合计</t>
  </si>
  <si>
    <t xml:space="preserve">  开发支出</t>
  </si>
  <si>
    <t xml:space="preserve">  商誉</t>
  </si>
  <si>
    <t xml:space="preserve">  长期待摊费用</t>
  </si>
  <si>
    <t xml:space="preserve">  递延所得税资产</t>
  </si>
  <si>
    <t xml:space="preserve">  其他非流动资产</t>
  </si>
  <si>
    <t xml:space="preserve">    非流动资产合计</t>
  </si>
  <si>
    <t xml:space="preserve">    资产总计</t>
  </si>
  <si>
    <t xml:space="preserve">    负债和所有者权益（或股东权益）总计</t>
  </si>
  <si>
    <r>
      <rPr>
        <b/>
        <sz val="12"/>
        <rFont val="宋体"/>
        <charset val="134"/>
      </rPr>
      <t>本期金额</t>
    </r>
  </si>
  <si>
    <r>
      <rPr>
        <b/>
        <sz val="12"/>
        <rFont val="宋体"/>
        <charset val="134"/>
      </rPr>
      <t>本年累计金额</t>
    </r>
  </si>
  <si>
    <t>11月修改取数逻辑</t>
  </si>
  <si>
    <t>11月修改取数公式</t>
  </si>
  <si>
    <t>利润表-合并</t>
  </si>
  <si>
    <t>会企02表</t>
  </si>
  <si>
    <t>报表期间:</t>
  </si>
  <si>
    <t>单位：人民币元</t>
  </si>
  <si>
    <t>账簿:快速主账簿</t>
  </si>
  <si>
    <t>项目</t>
  </si>
  <si>
    <t>行次</t>
  </si>
  <si>
    <t>本期金额</t>
  </si>
  <si>
    <t>本年累计金额</t>
  </si>
  <si>
    <t>2510月金额</t>
  </si>
  <si>
    <t>2510月累计金额</t>
  </si>
  <si>
    <t>合并</t>
  </si>
  <si>
    <t xml:space="preserve">    一、营业收入</t>
  </si>
  <si>
    <t>1</t>
  </si>
  <si>
    <t>累计收入</t>
  </si>
  <si>
    <t xml:space="preserve">  其中：主营业务收入</t>
  </si>
  <si>
    <t>2</t>
  </si>
  <si>
    <t xml:space="preserve">  其他业务收入</t>
  </si>
  <si>
    <t>3</t>
  </si>
  <si>
    <t xml:space="preserve">    减：营业成本</t>
  </si>
  <si>
    <t>4</t>
  </si>
  <si>
    <t xml:space="preserve">  其中：主营业务成本</t>
  </si>
  <si>
    <t>5</t>
  </si>
  <si>
    <t xml:space="preserve">  其他业务成本</t>
  </si>
  <si>
    <t>6</t>
  </si>
  <si>
    <t xml:space="preserve">  税金及附加</t>
  </si>
  <si>
    <t>7</t>
  </si>
  <si>
    <t xml:space="preserve">  销售费用</t>
  </si>
  <si>
    <t>8</t>
  </si>
  <si>
    <t xml:space="preserve">  管理费用</t>
  </si>
  <si>
    <t>9</t>
  </si>
  <si>
    <t xml:space="preserve">  研发费用</t>
  </si>
  <si>
    <t>10</t>
  </si>
  <si>
    <t xml:space="preserve">  财务费用</t>
  </si>
  <si>
    <t>11</t>
  </si>
  <si>
    <t xml:space="preserve">    其中：利息费用</t>
  </si>
  <si>
    <t>12</t>
  </si>
  <si>
    <t xml:space="preserve">    利息收入</t>
  </si>
  <si>
    <t>13</t>
  </si>
  <si>
    <t xml:space="preserve">  加：其他收益</t>
  </si>
  <si>
    <t>14</t>
  </si>
  <si>
    <t xml:space="preserve">  投资收益（损失以“-”号填列）</t>
  </si>
  <si>
    <t>15</t>
  </si>
  <si>
    <t xml:space="preserve">    其中：对联营企业和合营企业的投资收益</t>
  </si>
  <si>
    <t>16</t>
  </si>
  <si>
    <t xml:space="preserve">    以摊余成本计量的金融资产终止确认收益（损失以“-”号填列）</t>
  </si>
  <si>
    <t>17</t>
  </si>
  <si>
    <t xml:space="preserve">  净敞口套期收益（损失以“-”号填列）</t>
  </si>
  <si>
    <t>18</t>
  </si>
  <si>
    <t xml:space="preserve">  公允价值变动收益（损失以“-”填列）</t>
  </si>
  <si>
    <t>19</t>
  </si>
  <si>
    <t xml:space="preserve">  信用减值损失（损失以“-”填列）</t>
  </si>
  <si>
    <t>20</t>
  </si>
  <si>
    <t xml:space="preserve">  资产减值损失（损失以“-”填列）</t>
  </si>
  <si>
    <t>21</t>
  </si>
  <si>
    <t xml:space="preserve">  资产处置收益（损失以“-”填列）</t>
  </si>
  <si>
    <t>22</t>
  </si>
  <si>
    <t>二、营业利润（亏损以“－”号填列）</t>
  </si>
  <si>
    <t>23</t>
  </si>
  <si>
    <t xml:space="preserve">  加：营业外收入</t>
  </si>
  <si>
    <t>24</t>
  </si>
  <si>
    <t xml:space="preserve">  减：营业外支出</t>
  </si>
  <si>
    <t>25</t>
  </si>
  <si>
    <t>三、利润总额（亏损以“－”号填列）</t>
  </si>
  <si>
    <t>26</t>
  </si>
  <si>
    <t xml:space="preserve">  减：所得税费用</t>
  </si>
  <si>
    <t>27</t>
  </si>
  <si>
    <t>四、净利润（净亏损以“－”号填列）</t>
  </si>
  <si>
    <t>28</t>
  </si>
  <si>
    <t xml:space="preserve"> 少数股东损益</t>
  </si>
  <si>
    <t>29</t>
  </si>
  <si>
    <t xml:space="preserve"> 归属于母公司所有者的净利润</t>
  </si>
  <si>
    <t>30</t>
  </si>
  <si>
    <t>五、其他综合收益的税后净额</t>
  </si>
  <si>
    <t>31</t>
  </si>
  <si>
    <t xml:space="preserve">  （一）不能重分类进损益的其他综合收益</t>
  </si>
  <si>
    <t>32</t>
  </si>
  <si>
    <t xml:space="preserve">  1、重新计量设定受益计划变动额</t>
  </si>
  <si>
    <t>33</t>
  </si>
  <si>
    <t xml:space="preserve">  2、权益法下不能转损益的其他综合收益</t>
  </si>
  <si>
    <t>34</t>
  </si>
  <si>
    <t xml:space="preserve">  3、其他权益工具投资公允价值变动</t>
  </si>
  <si>
    <t>35</t>
  </si>
  <si>
    <t xml:space="preserve">  4、企业自身信用风险公允价值变动</t>
  </si>
  <si>
    <t>36</t>
  </si>
  <si>
    <t xml:space="preserve">  （二）将重分类进损益的其他综合收益</t>
  </si>
  <si>
    <t>37</t>
  </si>
  <si>
    <t xml:space="preserve">  1、权益法下可转损益的其他综合收益</t>
  </si>
  <si>
    <t>38</t>
  </si>
  <si>
    <t xml:space="preserve">  2、其他债权投资公允价值变动</t>
  </si>
  <si>
    <t>39</t>
  </si>
  <si>
    <t xml:space="preserve">  3、金融资产重分类计入其他综合收益的金额</t>
  </si>
  <si>
    <t>40</t>
  </si>
  <si>
    <t xml:space="preserve">  4、其他债权投资信用减值准备</t>
  </si>
  <si>
    <t>41</t>
  </si>
  <si>
    <t xml:space="preserve">  5、现金流量套期储备</t>
  </si>
  <si>
    <t>42</t>
  </si>
  <si>
    <t xml:space="preserve">  6、外币财务报表折算差额</t>
  </si>
  <si>
    <t>43</t>
  </si>
  <si>
    <t>六、综合收益总额</t>
  </si>
  <si>
    <t>44</t>
  </si>
  <si>
    <t>七、每股收益</t>
  </si>
  <si>
    <t>45</t>
  </si>
  <si>
    <t xml:space="preserve">  （一）基本每股收益</t>
  </si>
  <si>
    <t>46</t>
  </si>
  <si>
    <t xml:space="preserve">  （二）稀释每股收益</t>
  </si>
  <si>
    <t>47</t>
  </si>
  <si>
    <t>补充资料：</t>
  </si>
  <si>
    <t xml:space="preserve">  1、出售、处置部门或被投资单位所得收益</t>
  </si>
  <si>
    <t xml:space="preserve">  2、自然灾害发生的损失</t>
  </si>
  <si>
    <t xml:space="preserve">  3、会计政策变更增加（或减少）利润总额</t>
  </si>
  <si>
    <t xml:space="preserve">  4、会计估计变更增加（或减少）利润总额</t>
  </si>
  <si>
    <t xml:space="preserve">  5、债务重组损失</t>
  </si>
  <si>
    <t xml:space="preserve">  6、其他</t>
  </si>
  <si>
    <r>
      <rPr>
        <b/>
        <sz val="20"/>
        <rFont val="宋体"/>
        <charset val="134"/>
      </rPr>
      <t>资产负债表</t>
    </r>
    <r>
      <rPr>
        <b/>
        <sz val="20"/>
        <rFont val="Times New Roman"/>
        <charset val="134"/>
      </rPr>
      <t>-</t>
    </r>
    <r>
      <rPr>
        <b/>
        <sz val="20"/>
        <rFont val="宋体"/>
        <charset val="134"/>
      </rPr>
      <t>合并报表</t>
    </r>
  </si>
  <si>
    <r>
      <rPr>
        <sz val="11"/>
        <rFont val="宋体"/>
        <charset val="134"/>
      </rPr>
      <t>会企</t>
    </r>
    <r>
      <rPr>
        <sz val="11"/>
        <rFont val="Times New Roman"/>
        <charset val="134"/>
      </rPr>
      <t>01</t>
    </r>
    <r>
      <rPr>
        <sz val="11"/>
        <rFont val="宋体"/>
        <charset val="134"/>
      </rPr>
      <t>表</t>
    </r>
  </si>
  <si>
    <r>
      <rPr>
        <sz val="11"/>
        <rFont val="宋体"/>
        <charset val="134"/>
      </rPr>
      <t>单位：元</t>
    </r>
  </si>
  <si>
    <r>
      <rPr>
        <b/>
        <sz val="12"/>
        <rFont val="黑体"/>
        <charset val="134"/>
      </rPr>
      <t>资产</t>
    </r>
  </si>
  <si>
    <r>
      <rPr>
        <b/>
        <sz val="12"/>
        <rFont val="黑体"/>
        <charset val="134"/>
      </rPr>
      <t>年初余额</t>
    </r>
  </si>
  <si>
    <r>
      <rPr>
        <b/>
        <sz val="12"/>
        <rFont val="黑体"/>
        <charset val="134"/>
      </rPr>
      <t>期末余额</t>
    </r>
  </si>
  <si>
    <r>
      <rPr>
        <b/>
        <sz val="12"/>
        <rFont val="黑体"/>
        <charset val="134"/>
      </rPr>
      <t>负债及所有者权益（或股东权益）</t>
    </r>
  </si>
  <si>
    <r>
      <rPr>
        <sz val="10"/>
        <rFont val="宋体"/>
        <charset val="134"/>
      </rPr>
      <t>流动资产：</t>
    </r>
  </si>
  <si>
    <r>
      <rPr>
        <sz val="10"/>
        <rFont val="宋体"/>
        <charset val="134"/>
      </rPr>
      <t>流动负债：</t>
    </r>
  </si>
  <si>
    <r>
      <rPr>
        <sz val="10"/>
        <rFont val="宋体"/>
        <charset val="134"/>
      </rPr>
      <t>货币资金</t>
    </r>
  </si>
  <si>
    <r>
      <rPr>
        <sz val="10"/>
        <rFont val="宋体"/>
        <charset val="134"/>
      </rPr>
      <t>短期借款</t>
    </r>
  </si>
  <si>
    <r>
      <rPr>
        <sz val="10"/>
        <rFont val="宋体"/>
        <charset val="134"/>
      </rPr>
      <t>其中：银行存款</t>
    </r>
  </si>
  <si>
    <r>
      <rPr>
        <sz val="10"/>
        <rFont val="宋体"/>
        <charset val="134"/>
      </rPr>
      <t>交易性金融负债</t>
    </r>
  </si>
  <si>
    <r>
      <rPr>
        <sz val="10"/>
        <rFont val="宋体"/>
        <charset val="134"/>
      </rPr>
      <t>其他货币资金</t>
    </r>
  </si>
  <si>
    <r>
      <rPr>
        <sz val="10"/>
        <rFont val="宋体"/>
        <charset val="134"/>
      </rPr>
      <t>应付票据</t>
    </r>
  </si>
  <si>
    <r>
      <rPr>
        <sz val="10"/>
        <rFont val="宋体"/>
        <charset val="134"/>
      </rPr>
      <t>交易性金融资产</t>
    </r>
  </si>
  <si>
    <r>
      <rPr>
        <sz val="10"/>
        <rFont val="宋体"/>
        <charset val="134"/>
      </rPr>
      <t>应付账款</t>
    </r>
  </si>
  <si>
    <r>
      <rPr>
        <sz val="10"/>
        <rFont val="宋体"/>
        <charset val="134"/>
      </rPr>
      <t>应收票据</t>
    </r>
  </si>
  <si>
    <r>
      <rPr>
        <sz val="10"/>
        <rFont val="宋体"/>
        <charset val="134"/>
      </rPr>
      <t>预收款项</t>
    </r>
  </si>
  <si>
    <r>
      <rPr>
        <sz val="10"/>
        <rFont val="宋体"/>
        <charset val="134"/>
      </rPr>
      <t>应收账款</t>
    </r>
  </si>
  <si>
    <r>
      <rPr>
        <sz val="10"/>
        <rFont val="宋体"/>
        <charset val="134"/>
      </rPr>
      <t>合同负债</t>
    </r>
  </si>
  <si>
    <r>
      <rPr>
        <sz val="10"/>
        <rFont val="宋体"/>
        <charset val="134"/>
      </rPr>
      <t>预付款项</t>
    </r>
  </si>
  <si>
    <r>
      <rPr>
        <sz val="10"/>
        <rFont val="宋体"/>
        <charset val="134"/>
      </rPr>
      <t>应付职工薪酬</t>
    </r>
  </si>
  <si>
    <r>
      <rPr>
        <sz val="10"/>
        <rFont val="宋体"/>
        <charset val="134"/>
      </rPr>
      <t>应收利息</t>
    </r>
  </si>
  <si>
    <r>
      <rPr>
        <sz val="10"/>
        <rFont val="宋体"/>
        <charset val="134"/>
      </rPr>
      <t>应交税费</t>
    </r>
  </si>
  <si>
    <r>
      <rPr>
        <sz val="10"/>
        <rFont val="宋体"/>
        <charset val="134"/>
      </rPr>
      <t>应收股利</t>
    </r>
  </si>
  <si>
    <r>
      <rPr>
        <sz val="10"/>
        <rFont val="宋体"/>
        <charset val="134"/>
      </rPr>
      <t>应付利息</t>
    </r>
  </si>
  <si>
    <r>
      <rPr>
        <sz val="10"/>
        <rFont val="宋体"/>
        <charset val="134"/>
      </rPr>
      <t>其他应收款</t>
    </r>
  </si>
  <si>
    <r>
      <rPr>
        <sz val="10"/>
        <rFont val="宋体"/>
        <charset val="134"/>
      </rPr>
      <t>应付股利</t>
    </r>
  </si>
  <si>
    <r>
      <rPr>
        <sz val="10"/>
        <rFont val="宋体"/>
        <charset val="134"/>
      </rPr>
      <t>存货</t>
    </r>
  </si>
  <si>
    <r>
      <rPr>
        <sz val="10"/>
        <rFont val="宋体"/>
        <charset val="134"/>
      </rPr>
      <t>其他应付款</t>
    </r>
  </si>
  <si>
    <r>
      <rPr>
        <sz val="10"/>
        <rFont val="宋体"/>
        <charset val="134"/>
      </rPr>
      <t>其中：库存材料</t>
    </r>
  </si>
  <si>
    <r>
      <rPr>
        <sz val="10"/>
        <rFont val="宋体"/>
        <charset val="134"/>
      </rPr>
      <t>一年内到期的非流动负债</t>
    </r>
  </si>
  <si>
    <r>
      <rPr>
        <sz val="10"/>
        <rFont val="Times New Roman"/>
        <charset val="134"/>
      </rPr>
      <t>2410</t>
    </r>
    <r>
      <rPr>
        <sz val="10"/>
        <rFont val="宋体"/>
        <charset val="134"/>
      </rPr>
      <t>长期借款</t>
    </r>
  </si>
  <si>
    <r>
      <rPr>
        <sz val="11"/>
        <rFont val="等线"/>
        <charset val="134"/>
      </rPr>
      <t>合并报表</t>
    </r>
  </si>
  <si>
    <r>
      <rPr>
        <b/>
        <sz val="11"/>
        <rFont val="等线"/>
        <charset val="134"/>
      </rPr>
      <t>精铸</t>
    </r>
  </si>
  <si>
    <r>
      <rPr>
        <b/>
        <sz val="11"/>
        <rFont val="等线"/>
        <charset val="134"/>
      </rPr>
      <t>新材料</t>
    </r>
  </si>
  <si>
    <r>
      <rPr>
        <b/>
        <sz val="11"/>
        <rFont val="等线"/>
        <charset val="134"/>
      </rPr>
      <t>快速准</t>
    </r>
  </si>
  <si>
    <r>
      <rPr>
        <sz val="11"/>
        <rFont val="等线"/>
        <charset val="134"/>
      </rPr>
      <t>快速</t>
    </r>
  </si>
  <si>
    <r>
      <rPr>
        <sz val="10"/>
        <rFont val="宋体"/>
        <charset val="134"/>
      </rPr>
      <t>在产品及自制半成品</t>
    </r>
  </si>
  <si>
    <t>其他流动负债</t>
  </si>
  <si>
    <t>一年内到期长期借款</t>
  </si>
  <si>
    <r>
      <rPr>
        <sz val="11"/>
        <rFont val="等线"/>
        <charset val="134"/>
      </rPr>
      <t>在产品产值</t>
    </r>
  </si>
  <si>
    <r>
      <rPr>
        <sz val="10"/>
        <rFont val="宋体"/>
        <charset val="134"/>
      </rPr>
      <t>产成品（库存商品）</t>
    </r>
  </si>
  <si>
    <t>一年内到期长期应付</t>
  </si>
  <si>
    <r>
      <rPr>
        <sz val="11"/>
        <rFont val="等线"/>
        <charset val="134"/>
      </rPr>
      <t>产成品产值</t>
    </r>
  </si>
  <si>
    <r>
      <rPr>
        <sz val="10"/>
        <rFont val="宋体"/>
        <charset val="134"/>
      </rPr>
      <t>周转材料</t>
    </r>
  </si>
  <si>
    <r>
      <rPr>
        <sz val="11"/>
        <rFont val="等线"/>
        <charset val="134"/>
      </rPr>
      <t>总产值</t>
    </r>
  </si>
  <si>
    <r>
      <rPr>
        <sz val="10"/>
        <rFont val="宋体"/>
        <charset val="134"/>
      </rPr>
      <t>待摊费用</t>
    </r>
  </si>
  <si>
    <r>
      <rPr>
        <sz val="10"/>
        <rFont val="宋体"/>
        <charset val="134"/>
      </rPr>
      <t>合同资产</t>
    </r>
  </si>
  <si>
    <r>
      <rPr>
        <sz val="10"/>
        <rFont val="宋体"/>
        <charset val="134"/>
      </rPr>
      <t>一年内到期的非流动资产</t>
    </r>
  </si>
  <si>
    <r>
      <rPr>
        <sz val="10"/>
        <rFont val="宋体"/>
        <charset val="134"/>
      </rPr>
      <t>其他流动资产</t>
    </r>
  </si>
  <si>
    <r>
      <rPr>
        <sz val="10"/>
        <rFont val="宋体"/>
        <charset val="134"/>
      </rPr>
      <t>非流动负债：</t>
    </r>
  </si>
  <si>
    <r>
      <rPr>
        <sz val="11"/>
        <rFont val="等线"/>
        <charset val="134"/>
      </rPr>
      <t>工业销售产值</t>
    </r>
  </si>
  <si>
    <r>
      <rPr>
        <sz val="10"/>
        <rFont val="宋体"/>
        <charset val="134"/>
      </rPr>
      <t>非流动资产：</t>
    </r>
  </si>
  <si>
    <r>
      <rPr>
        <sz val="10"/>
        <rFont val="宋体"/>
        <charset val="134"/>
      </rPr>
      <t>长期借款</t>
    </r>
  </si>
  <si>
    <r>
      <rPr>
        <sz val="10"/>
        <rFont val="宋体"/>
        <charset val="134"/>
      </rPr>
      <t>可供出售金融资产</t>
    </r>
  </si>
  <si>
    <r>
      <rPr>
        <sz val="10"/>
        <rFont val="宋体"/>
        <charset val="134"/>
      </rPr>
      <t>应付债券</t>
    </r>
  </si>
  <si>
    <r>
      <rPr>
        <sz val="10"/>
        <rFont val="宋体"/>
        <charset val="134"/>
      </rPr>
      <t>持有至到期投资</t>
    </r>
  </si>
  <si>
    <r>
      <rPr>
        <sz val="10"/>
        <rFont val="宋体"/>
        <charset val="134"/>
      </rPr>
      <t>长期应付款</t>
    </r>
  </si>
  <si>
    <r>
      <rPr>
        <sz val="10"/>
        <rFont val="宋体"/>
        <charset val="134"/>
      </rPr>
      <t>长期应收款</t>
    </r>
  </si>
  <si>
    <r>
      <rPr>
        <sz val="10"/>
        <rFont val="宋体"/>
        <charset val="134"/>
      </rPr>
      <t>专项应付款</t>
    </r>
  </si>
  <si>
    <r>
      <rPr>
        <sz val="10"/>
        <rFont val="宋体"/>
        <charset val="134"/>
      </rPr>
      <t>长期股权投资</t>
    </r>
  </si>
  <si>
    <r>
      <rPr>
        <sz val="10"/>
        <rFont val="宋体"/>
        <charset val="134"/>
      </rPr>
      <t>预计负债</t>
    </r>
  </si>
  <si>
    <r>
      <rPr>
        <sz val="10"/>
        <rFont val="宋体"/>
        <charset val="134"/>
      </rPr>
      <t>投资性房地产</t>
    </r>
  </si>
  <si>
    <r>
      <rPr>
        <sz val="10"/>
        <rFont val="宋体"/>
        <charset val="134"/>
      </rPr>
      <t>递延收益</t>
    </r>
  </si>
  <si>
    <r>
      <rPr>
        <sz val="10"/>
        <rFont val="宋体"/>
        <charset val="134"/>
      </rPr>
      <t>固定资产原价</t>
    </r>
  </si>
  <si>
    <r>
      <rPr>
        <sz val="10"/>
        <rFont val="宋体"/>
        <charset val="134"/>
      </rPr>
      <t>递延所得税负债</t>
    </r>
  </si>
  <si>
    <r>
      <rPr>
        <sz val="11"/>
        <rFont val="等线"/>
        <charset val="134"/>
      </rPr>
      <t>固定资产当年增加</t>
    </r>
  </si>
  <si>
    <r>
      <rPr>
        <sz val="10"/>
        <rFont val="宋体"/>
        <charset val="134"/>
      </rPr>
      <t>减：累计折旧</t>
    </r>
  </si>
  <si>
    <r>
      <rPr>
        <sz val="10"/>
        <rFont val="宋体"/>
        <charset val="134"/>
      </rPr>
      <t>其他非流动负债</t>
    </r>
  </si>
  <si>
    <r>
      <rPr>
        <sz val="11"/>
        <rFont val="等线"/>
        <charset val="134"/>
      </rPr>
      <t>当年累计折旧</t>
    </r>
  </si>
  <si>
    <r>
      <rPr>
        <sz val="10"/>
        <rFont val="宋体"/>
        <charset val="134"/>
      </rPr>
      <t>固定资产净值</t>
    </r>
  </si>
  <si>
    <t>存货跌价</t>
  </si>
  <si>
    <r>
      <rPr>
        <sz val="10"/>
        <rFont val="宋体"/>
        <charset val="134"/>
      </rPr>
      <t>在建工程</t>
    </r>
  </si>
  <si>
    <r>
      <rPr>
        <sz val="10"/>
        <rFont val="宋体"/>
        <charset val="134"/>
      </rPr>
      <t>工程物资</t>
    </r>
  </si>
  <si>
    <r>
      <rPr>
        <sz val="10"/>
        <rFont val="宋体"/>
        <charset val="134"/>
      </rPr>
      <t>所有者权益（或股东权益）：</t>
    </r>
  </si>
  <si>
    <r>
      <rPr>
        <sz val="10"/>
        <rFont val="宋体"/>
        <charset val="134"/>
      </rPr>
      <t>固定资产清理</t>
    </r>
  </si>
  <si>
    <r>
      <rPr>
        <sz val="10"/>
        <rFont val="宋体"/>
        <charset val="134"/>
      </rPr>
      <t>实收资本（或股本）</t>
    </r>
  </si>
  <si>
    <r>
      <rPr>
        <sz val="10"/>
        <rFont val="宋体"/>
        <charset val="134"/>
      </rPr>
      <t>生产性生物资产</t>
    </r>
  </si>
  <si>
    <r>
      <rPr>
        <sz val="10"/>
        <rFont val="宋体"/>
        <charset val="134"/>
      </rPr>
      <t>资本公积</t>
    </r>
  </si>
  <si>
    <r>
      <rPr>
        <sz val="10"/>
        <rFont val="宋体"/>
        <charset val="134"/>
      </rPr>
      <t>油气资产</t>
    </r>
  </si>
  <si>
    <r>
      <rPr>
        <sz val="10"/>
        <rFont val="宋体"/>
        <charset val="134"/>
      </rPr>
      <t>减：库存股</t>
    </r>
  </si>
  <si>
    <r>
      <rPr>
        <sz val="10"/>
        <rFont val="宋体"/>
        <charset val="134"/>
      </rPr>
      <t>无形资产</t>
    </r>
  </si>
  <si>
    <r>
      <rPr>
        <sz val="10"/>
        <rFont val="宋体"/>
        <charset val="134"/>
      </rPr>
      <t>盈余公积</t>
    </r>
  </si>
  <si>
    <r>
      <rPr>
        <sz val="10"/>
        <rFont val="宋体"/>
        <charset val="134"/>
      </rPr>
      <t>开发支出</t>
    </r>
  </si>
  <si>
    <r>
      <rPr>
        <sz val="10"/>
        <rFont val="宋体"/>
        <charset val="134"/>
      </rPr>
      <t>未分配利润</t>
    </r>
  </si>
  <si>
    <r>
      <rPr>
        <sz val="10"/>
        <rFont val="宋体"/>
        <charset val="134"/>
      </rPr>
      <t>商誉</t>
    </r>
  </si>
  <si>
    <r>
      <rPr>
        <sz val="10"/>
        <rFont val="宋体"/>
        <charset val="134"/>
      </rPr>
      <t>长期待摊费用</t>
    </r>
  </si>
  <si>
    <r>
      <rPr>
        <sz val="10"/>
        <rFont val="宋体"/>
        <charset val="134"/>
      </rPr>
      <t>少数股东权益</t>
    </r>
  </si>
  <si>
    <r>
      <rPr>
        <sz val="10"/>
        <rFont val="宋体"/>
        <charset val="134"/>
      </rPr>
      <t>递延所得税资产</t>
    </r>
  </si>
  <si>
    <r>
      <rPr>
        <sz val="10"/>
        <rFont val="宋体"/>
        <charset val="134"/>
      </rPr>
      <t>其他非流动资产</t>
    </r>
  </si>
  <si>
    <t>新进借款</t>
  </si>
  <si>
    <t>融资</t>
  </si>
  <si>
    <t>还项目贷</t>
  </si>
  <si>
    <r>
      <rPr>
        <sz val="11"/>
        <rFont val="等线"/>
        <charset val="134"/>
      </rPr>
      <t>营业收入</t>
    </r>
  </si>
  <si>
    <r>
      <rPr>
        <sz val="11"/>
        <rFont val="等线"/>
        <charset val="134"/>
      </rPr>
      <t>净利润</t>
    </r>
  </si>
  <si>
    <r>
      <rPr>
        <sz val="11"/>
        <rFont val="等线"/>
        <charset val="134"/>
      </rPr>
      <t>资产负债率</t>
    </r>
  </si>
  <si>
    <t/>
  </si>
  <si>
    <t>合并现金流量表</t>
  </si>
  <si>
    <t>财会年企03表</t>
  </si>
  <si>
    <t>单位:飞而康快速制造科技有限责任公司</t>
  </si>
  <si>
    <t>金额单位：元</t>
  </si>
  <si>
    <t>项              目</t>
  </si>
  <si>
    <t>本年累计</t>
  </si>
  <si>
    <t>项            目</t>
  </si>
  <si>
    <t>一、经营活动产生的现金流量：</t>
  </si>
  <si>
    <t>—</t>
  </si>
  <si>
    <t xml:space="preserve">    处置固定资产、无形资产和其他长期资产所收回的现金净额</t>
  </si>
  <si>
    <t xml:space="preserve">    销售商品、提供劳务收到的现金</t>
  </si>
  <si>
    <t xml:space="preserve">    处置子公司及其他营业单位收回的现金净额</t>
  </si>
  <si>
    <t xml:space="preserve">    客户存款和同业存放款项净增加额</t>
  </si>
  <si>
    <t xml:space="preserve">    收到其他与投资活动有关的现金</t>
  </si>
  <si>
    <t xml:space="preserve">    向中央银行借款净增加额</t>
  </si>
  <si>
    <t>投资活动现金流入小计</t>
  </si>
  <si>
    <t xml:space="preserve">    向其他金融机构拆入资金净增加额</t>
  </si>
  <si>
    <t xml:space="preserve">    购建固定资产、无形资产和其他长期资产所支付的现金</t>
  </si>
  <si>
    <t xml:space="preserve">    收到原保险合同保费取得的现金</t>
  </si>
  <si>
    <t xml:space="preserve">    投资支付的现金</t>
  </si>
  <si>
    <t xml:space="preserve">    收到再保险业务现金净额</t>
  </si>
  <si>
    <t xml:space="preserve">    质押贷款净增加额</t>
  </si>
  <si>
    <t xml:space="preserve">    保户储金及投资款净增加额</t>
  </si>
  <si>
    <t xml:space="preserve">    取得子公司及其他营业单位支付的现金净额</t>
  </si>
  <si>
    <t xml:space="preserve">    处置交易性金融资产净增加额</t>
  </si>
  <si>
    <t xml:space="preserve">    支付其他与投资活动有关的现金</t>
  </si>
  <si>
    <t xml:space="preserve">    收取利息、手续费及佣金的现金</t>
  </si>
  <si>
    <t>投资活动现金流出小计</t>
  </si>
  <si>
    <t xml:space="preserve">    拆入资金净增加额</t>
  </si>
  <si>
    <t>投资活动产生的现金流量净额</t>
  </si>
  <si>
    <t xml:space="preserve">    回购业务资金净增加额</t>
  </si>
  <si>
    <t>三、筹资活动产生的现金流量：</t>
  </si>
  <si>
    <t xml:space="preserve">    收到的税费返还</t>
  </si>
  <si>
    <t xml:space="preserve">    吸收投资收到的现金</t>
  </si>
  <si>
    <t xml:space="preserve">    收到其他与经营活动有关的现金</t>
  </si>
  <si>
    <t xml:space="preserve">        其中：子公司吸收少数股东投资收到的现金</t>
  </si>
  <si>
    <t>经营活动现金流入小计</t>
  </si>
  <si>
    <t xml:space="preserve">    取得借款所收到的现金</t>
  </si>
  <si>
    <t xml:space="preserve">    购买商品、接收劳务支付的现金</t>
  </si>
  <si>
    <t xml:space="preserve">    发行债券收到的现金</t>
  </si>
  <si>
    <t xml:space="preserve">    客户贷款及垫款净增加额</t>
  </si>
  <si>
    <t xml:space="preserve">    收到其他与筹资活动有关的现金</t>
  </si>
  <si>
    <t xml:space="preserve">    存放中央银行和同业款项净增加额</t>
  </si>
  <si>
    <t>筹资活动现金流入小计</t>
  </si>
  <si>
    <t xml:space="preserve">    支付原保险合同赔付款项的现金</t>
  </si>
  <si>
    <t xml:space="preserve">    偿还债务所支付的现金</t>
  </si>
  <si>
    <t>48</t>
  </si>
  <si>
    <t xml:space="preserve">    支付利息、手续费及佣金的现金</t>
  </si>
  <si>
    <t xml:space="preserve">    分配股利、利润或偿付利息所支付的现金</t>
  </si>
  <si>
    <t>49</t>
  </si>
  <si>
    <t xml:space="preserve">    支付保单红利的现金</t>
  </si>
  <si>
    <t xml:space="preserve">        其中：子公司支付给少数股东的股利、利润</t>
  </si>
  <si>
    <t>50</t>
  </si>
  <si>
    <t xml:space="preserve">    支付给职工以及为职工支付的现金</t>
  </si>
  <si>
    <t xml:space="preserve">    支付其他与筹资活动有关的现金</t>
  </si>
  <si>
    <t>51</t>
  </si>
  <si>
    <t xml:space="preserve">    支付的各项税费</t>
  </si>
  <si>
    <t>筹资活动现金流出小计</t>
  </si>
  <si>
    <t>52</t>
  </si>
  <si>
    <t xml:space="preserve">    支付其他与经营活动有关的现金</t>
  </si>
  <si>
    <t>筹资活动产生的现金流量净额</t>
  </si>
  <si>
    <t>53</t>
  </si>
  <si>
    <t>经营活动现金流出小计</t>
  </si>
  <si>
    <t>四、汇率变动对现金及现金等价物的影响</t>
  </si>
  <si>
    <t>54</t>
  </si>
  <si>
    <t>经营活动产生的现金流量净额</t>
  </si>
  <si>
    <t>五、现金及现金等价物净增加额</t>
  </si>
  <si>
    <t>55</t>
  </si>
  <si>
    <t>二、投资活动产生的现金流量：</t>
  </si>
  <si>
    <t xml:space="preserve">    加：期初现金及现金等价物余额</t>
  </si>
  <si>
    <t>56</t>
  </si>
  <si>
    <t xml:space="preserve">    收回投资收到的现金</t>
  </si>
  <si>
    <t>六、期末现金及现金等价物余额</t>
  </si>
  <si>
    <t>57</t>
  </si>
  <si>
    <t xml:space="preserve">    取得投资收益收到的现金</t>
  </si>
  <si>
    <t>现金</t>
  </si>
  <si>
    <t>银行存款</t>
  </si>
  <si>
    <t>利润表-3D板块合并</t>
  </si>
  <si>
    <t>压块本月</t>
  </si>
  <si>
    <t>压块累计</t>
  </si>
  <si>
    <r>
      <rPr>
        <sz val="6"/>
        <rFont val="宋体"/>
        <charset val="134"/>
      </rPr>
      <t>快速</t>
    </r>
    <r>
      <rPr>
        <sz val="6"/>
        <rFont val="Times New Roman"/>
        <charset val="134"/>
      </rPr>
      <t>+</t>
    </r>
    <r>
      <rPr>
        <sz val="6"/>
        <rFont val="宋体"/>
        <charset val="134"/>
      </rPr>
      <t>新材料本期金额</t>
    </r>
  </si>
  <si>
    <t>新材料-精铸背靠背收入</t>
  </si>
  <si>
    <r>
      <rPr>
        <sz val="6"/>
        <rFont val="宋体"/>
        <charset val="134"/>
      </rPr>
      <t>新材料</t>
    </r>
    <r>
      <rPr>
        <sz val="6"/>
        <rFont val="Times New Roman"/>
        <charset val="134"/>
      </rPr>
      <t>-</t>
    </r>
    <r>
      <rPr>
        <sz val="6"/>
        <rFont val="宋体"/>
        <charset val="134"/>
      </rPr>
      <t>热压背靠背收入</t>
    </r>
  </si>
  <si>
    <t>资产负债表</t>
  </si>
  <si>
    <t>编制单位：飞而康快速制造科技有限责任公司</t>
  </si>
  <si>
    <t>金额单位：人民币元</t>
  </si>
  <si>
    <t>资        产</t>
  </si>
  <si>
    <t>附注</t>
  </si>
  <si>
    <t xml:space="preserve">  以公允价值计量且其变动计入当期损益的金融资产</t>
  </si>
  <si>
    <t xml:space="preserve">  衍生金融资产</t>
  </si>
  <si>
    <t xml:space="preserve">  持有待售资产</t>
  </si>
  <si>
    <t xml:space="preserve">  债权投资</t>
  </si>
  <si>
    <t xml:space="preserve">  其他债权投资</t>
  </si>
  <si>
    <t xml:space="preserve">  其他权益工具投资 </t>
  </si>
  <si>
    <t xml:space="preserve">  其他非流动金融资产 </t>
  </si>
  <si>
    <t xml:space="preserve">  使用权资产 </t>
  </si>
  <si>
    <t>资产负债表（续）</t>
  </si>
  <si>
    <t>负债和所有者权益（或股东权益）</t>
  </si>
  <si>
    <t xml:space="preserve">  以公允价值计量且其变动计入当期损益的金融负债</t>
  </si>
  <si>
    <t xml:space="preserve">  衍生金融负债</t>
  </si>
  <si>
    <t xml:space="preserve">  预收款项</t>
  </si>
  <si>
    <t xml:space="preserve">  持有待售负债</t>
  </si>
  <si>
    <t xml:space="preserve">    其中：优先股</t>
  </si>
  <si>
    <t xml:space="preserve">          永续债</t>
  </si>
  <si>
    <t xml:space="preserve">  租赁负债</t>
  </si>
  <si>
    <t xml:space="preserve">  长期应付职工薪酬</t>
  </si>
  <si>
    <t xml:space="preserve">      非流动负债合计</t>
  </si>
  <si>
    <t>所有者权益：</t>
  </si>
  <si>
    <t xml:space="preserve">  实收资本（或股本)</t>
  </si>
  <si>
    <t xml:space="preserve">  其他权益工具</t>
  </si>
  <si>
    <t xml:space="preserve">    其中:优先股</t>
  </si>
  <si>
    <t xml:space="preserve">         永续债</t>
  </si>
  <si>
    <t xml:space="preserve">  其他综合收益</t>
  </si>
  <si>
    <t xml:space="preserve">  专项储备</t>
  </si>
  <si>
    <t>归属于母公司所有者权益合计</t>
  </si>
  <si>
    <t>所有者权益合计</t>
  </si>
  <si>
    <t>负债和所有者权益总计</t>
  </si>
  <si>
    <t>利润表</t>
  </si>
  <si>
    <t>项       目</t>
  </si>
  <si>
    <t>本期</t>
  </si>
  <si>
    <t>一、营业收入</t>
  </si>
  <si>
    <t>减：营业成本</t>
  </si>
  <si>
    <t xml:space="preserve">    税金及附加</t>
  </si>
  <si>
    <t xml:space="preserve">    销售费用</t>
  </si>
  <si>
    <t xml:space="preserve">    管理费用</t>
  </si>
  <si>
    <t xml:space="preserve">    研发费用</t>
  </si>
  <si>
    <t xml:space="preserve">    财务费用</t>
  </si>
  <si>
    <t xml:space="preserve">      其中：利息费用</t>
  </si>
  <si>
    <t>注意修改</t>
  </si>
  <si>
    <t xml:space="preserve">            利息收入</t>
  </si>
  <si>
    <t>加: 其他收益</t>
  </si>
  <si>
    <t xml:space="preserve">    投资收益(损失以"－"填列)</t>
  </si>
  <si>
    <t xml:space="preserve">      其中：对联营企业和合营企业的投资收益</t>
  </si>
  <si>
    <t xml:space="preserve">            以摊余成本计量的金融资产终止确认收益(损失以"－"号填列）</t>
  </si>
  <si>
    <t xml:space="preserve">    净敞口套期收益（损失以"－"号填列） </t>
  </si>
  <si>
    <t xml:space="preserve">    公允价值变动收益(损失以"－"填列)</t>
  </si>
  <si>
    <t xml:space="preserve">    信用减值损失(损失以“-”号填列)</t>
  </si>
  <si>
    <t xml:space="preserve">    资产减值损失(损失以"－"填列)</t>
  </si>
  <si>
    <t xml:space="preserve">    资产处置收益（损失以"-"填列）</t>
  </si>
  <si>
    <t>二、营业利润(亏损以"－"填列)</t>
  </si>
  <si>
    <t>加：营业外收入</t>
  </si>
  <si>
    <t>减：营业外支出</t>
  </si>
  <si>
    <t>三、利润总额(亏损以"－"填列)</t>
  </si>
  <si>
    <t>减：所得税费用</t>
  </si>
  <si>
    <t>四、净利润(净亏损以"－"填列)</t>
  </si>
  <si>
    <t>（一）按经营持续性分类</t>
  </si>
  <si>
    <t xml:space="preserve">    1.持续经营净利润（净亏损以"-"号填列）</t>
  </si>
  <si>
    <t xml:space="preserve">    2.终止经营净利润（净亏损以"-"号填列）</t>
  </si>
  <si>
    <t>（二）按所有权归属分类</t>
  </si>
  <si>
    <t xml:space="preserve">    1.归属于母公司所有者的净利润（净亏损以"-"号填列）</t>
  </si>
  <si>
    <t xml:space="preserve">    2.少数股东损益（净亏损以"-"号填列）</t>
  </si>
  <si>
    <t xml:space="preserve">    归属于母公司所有者的其他综合收益税后净额</t>
  </si>
  <si>
    <t>（一）不能重分类进损益的其他综合收益</t>
  </si>
  <si>
    <t xml:space="preserve">    1.重新计量设定受益计划变动额</t>
  </si>
  <si>
    <t xml:space="preserve">    2.权益法下不能转损益的其他综合收益</t>
  </si>
  <si>
    <t xml:space="preserve">    3.其他权益工具投资公允价值变动 </t>
  </si>
  <si>
    <t xml:space="preserve">    4.企业自身信用风险公允价值变动 </t>
  </si>
  <si>
    <t>（二）将重分类进损益的其他综合收益</t>
  </si>
  <si>
    <t xml:space="preserve">    1.权益法下可转损益的其他综合收益</t>
  </si>
  <si>
    <t xml:space="preserve">    2.可供出售金融资产公允价值变动损益</t>
  </si>
  <si>
    <t xml:space="preserve">    3.持有至到期投资重分类为可供出售金融资产损益</t>
  </si>
  <si>
    <t xml:space="preserve">    4.现金流量套期损益的有效部分</t>
  </si>
  <si>
    <t xml:space="preserve">    5.其他债权投资公允价值变动</t>
  </si>
  <si>
    <t xml:space="preserve">    6.金融资产重分类计入其他综合收益的金额 </t>
  </si>
  <si>
    <t xml:space="preserve">    7.其他债权投资信用减值准备</t>
  </si>
  <si>
    <t xml:space="preserve">    8.现金流量套期储备 </t>
  </si>
  <si>
    <t xml:space="preserve">    8.外币财务报表折算差额</t>
  </si>
  <si>
    <t xml:space="preserve">    9.其他 </t>
  </si>
  <si>
    <t xml:space="preserve">    归属于少数股东的其他综合收益税后净额</t>
  </si>
  <si>
    <t xml:space="preserve">    归属于母公司所有者的综合收益总额</t>
  </si>
  <si>
    <t xml:space="preserve">    归属于少数股东的综合收益总额</t>
  </si>
  <si>
    <t>七、每股收益：</t>
  </si>
  <si>
    <t xml:space="preserve">    (一)、基本每股收益</t>
  </si>
  <si>
    <t xml:space="preserve">    (二)、稀释每股收益</t>
  </si>
  <si>
    <t>现金流量表</t>
  </si>
  <si>
    <t>项        目</t>
  </si>
  <si>
    <t xml:space="preserve">        销售商品、提供劳务收到的现金</t>
  </si>
  <si>
    <t xml:space="preserve">        收到的税费返还</t>
  </si>
  <si>
    <t xml:space="preserve">        收到的其他与经营活动有关的现金</t>
  </si>
  <si>
    <t xml:space="preserve">        购买商品、接受劳务支付的现金</t>
  </si>
  <si>
    <t xml:space="preserve">        支付给职工以及为职工支付的现金</t>
  </si>
  <si>
    <t xml:space="preserve">        支付的各项税费</t>
  </si>
  <si>
    <t xml:space="preserve">        支付的其他与经营活动有关的现金</t>
  </si>
  <si>
    <t xml:space="preserve">        收回投资收到的现金</t>
  </si>
  <si>
    <t xml:space="preserve">        取得投资收益收到的现金</t>
  </si>
  <si>
    <t xml:space="preserve">        处置固定资产、无形资产和其他长期资产收回的现金净额</t>
  </si>
  <si>
    <t xml:space="preserve">        处置子公司及其他营业单位收到的现金净额</t>
  </si>
  <si>
    <t xml:space="preserve">        收到的其他与投资活动有关的现金</t>
  </si>
  <si>
    <t xml:space="preserve">        购建固定资产、无形资产和其他长期资产支付的现金</t>
  </si>
  <si>
    <t xml:space="preserve">        投资支付的现金</t>
  </si>
  <si>
    <t xml:space="preserve">        取得子公司及其他营业单位支付的现金净额</t>
  </si>
  <si>
    <t xml:space="preserve">        支付的其他与投资活动有关的现金</t>
  </si>
  <si>
    <t xml:space="preserve">         吸收投资收到的现金</t>
  </si>
  <si>
    <t xml:space="preserve">             其中：子公司吸收少数股东投资收到的现金</t>
  </si>
  <si>
    <t xml:space="preserve">         取得借款收到的现金</t>
  </si>
  <si>
    <t xml:space="preserve">         发行债券收到的现金</t>
  </si>
  <si>
    <t xml:space="preserve">         收到的其他与筹资活动有关的现金</t>
  </si>
  <si>
    <t xml:space="preserve">         偿还债务支付的现金</t>
  </si>
  <si>
    <t xml:space="preserve">         分配股利、利润或偿付利息支付的现金</t>
  </si>
  <si>
    <t xml:space="preserve">            其中：子公司支付给少数股东的股利、利润</t>
  </si>
  <si>
    <t xml:space="preserve">         支付的其他与筹资活动有关的现金</t>
  </si>
  <si>
    <t xml:space="preserve">       加：期初现金及现金等价物余额</t>
  </si>
  <si>
    <t>资产=负债+所有者权益</t>
  </si>
  <si>
    <t>资产负债表未分配利润=利润分配表未分配利润</t>
  </si>
  <si>
    <t>本年年初未分配利润=上年年末未分配利润</t>
  </si>
  <si>
    <t>合并试算平衡表-资产表</t>
  </si>
  <si>
    <t>金额：人民币元</t>
  </si>
  <si>
    <r>
      <rPr>
        <sz val="10"/>
        <color theme="1"/>
        <rFont val="宋体"/>
        <charset val="134"/>
      </rPr>
      <t>合并调整抵消</t>
    </r>
  </si>
  <si>
    <t>合并调整抵消</t>
  </si>
  <si>
    <t>汇总数</t>
  </si>
  <si>
    <t>借 方</t>
  </si>
  <si>
    <t>贷 方</t>
  </si>
  <si>
    <t>合并审定数</t>
  </si>
  <si>
    <r>
      <rPr>
        <sz val="10"/>
        <rFont val="宋体"/>
        <charset val="134"/>
      </rPr>
      <t>流动资产</t>
    </r>
  </si>
  <si>
    <t>△结算备付金</t>
  </si>
  <si>
    <t>△拆出资金</t>
  </si>
  <si>
    <t>衍生金融资产</t>
  </si>
  <si>
    <t>△应收保费</t>
  </si>
  <si>
    <t>△应收分保账款</t>
  </si>
  <si>
    <t>△应收分保合同准备金</t>
  </si>
  <si>
    <t>△买入返售金融资产</t>
  </si>
  <si>
    <t>划分为持有待售的资产</t>
  </si>
  <si>
    <r>
      <rPr>
        <b/>
        <sz val="10"/>
        <rFont val="宋体"/>
        <charset val="134"/>
      </rPr>
      <t>流动资产合计</t>
    </r>
  </si>
  <si>
    <r>
      <rPr>
        <sz val="10"/>
        <rFont val="宋体"/>
        <charset val="134"/>
      </rPr>
      <t>非流动资产</t>
    </r>
  </si>
  <si>
    <t>△发放贷款及垫款</t>
  </si>
  <si>
    <t>其他权益工具投资</t>
  </si>
  <si>
    <t>减：固定资产减值准备</t>
  </si>
  <si>
    <t>固定资产净额</t>
  </si>
  <si>
    <r>
      <rPr>
        <b/>
        <sz val="10"/>
        <rFont val="宋体"/>
        <charset val="134"/>
      </rPr>
      <t>非流动资产合计</t>
    </r>
  </si>
  <si>
    <t>合并试算平衡表-负债和权益表</t>
  </si>
  <si>
    <r>
      <rPr>
        <sz val="10"/>
        <color theme="1"/>
        <rFont val="宋体"/>
        <charset val="134"/>
      </rPr>
      <t>合并审定数</t>
    </r>
  </si>
  <si>
    <r>
      <rPr>
        <sz val="10"/>
        <rFont val="宋体"/>
        <charset val="134"/>
      </rPr>
      <t>流动负债</t>
    </r>
  </si>
  <si>
    <t>△向中央银行借款</t>
  </si>
  <si>
    <t>△吸收存款及同业存款</t>
  </si>
  <si>
    <t>衍生金融负债</t>
  </si>
  <si>
    <t>△拆入资金</t>
  </si>
  <si>
    <t>△卖出回购金融资产款</t>
  </si>
  <si>
    <t>△应付手续费及佣金</t>
  </si>
  <si>
    <t>△应付分保账款</t>
  </si>
  <si>
    <t>△保险合同准备金</t>
  </si>
  <si>
    <t>△代理买卖证券款</t>
  </si>
  <si>
    <t>△代理承销证券款</t>
  </si>
  <si>
    <t>划分为持有待售的负债</t>
  </si>
  <si>
    <r>
      <rPr>
        <b/>
        <sz val="10"/>
        <rFont val="宋体"/>
        <charset val="134"/>
      </rPr>
      <t>流动负债合计</t>
    </r>
  </si>
  <si>
    <r>
      <rPr>
        <sz val="10"/>
        <rFont val="宋体"/>
        <charset val="134"/>
      </rPr>
      <t>非流动负债</t>
    </r>
  </si>
  <si>
    <t>其中:优先股</t>
  </si>
  <si>
    <t>永续债</t>
  </si>
  <si>
    <t>长期应付职工薪酬</t>
  </si>
  <si>
    <r>
      <rPr>
        <b/>
        <sz val="10"/>
        <rFont val="宋体"/>
        <charset val="134"/>
      </rPr>
      <t>非流动负债合计</t>
    </r>
  </si>
  <si>
    <r>
      <rPr>
        <sz val="10"/>
        <rFont val="宋体"/>
        <charset val="134"/>
      </rPr>
      <t>股东权益</t>
    </r>
  </si>
  <si>
    <t>其他权益工具</t>
  </si>
  <si>
    <t>减:库存股</t>
  </si>
  <si>
    <t>其他综合收益</t>
  </si>
  <si>
    <t>专项储备</t>
  </si>
  <si>
    <t>一般风险准备</t>
  </si>
  <si>
    <t>归属于母公司股东权益合计</t>
  </si>
  <si>
    <t>股东权益合计</t>
  </si>
  <si>
    <r>
      <rPr>
        <b/>
        <sz val="10"/>
        <rFont val="宋体"/>
        <charset val="134"/>
      </rPr>
      <t>负债及股东权益合计</t>
    </r>
  </si>
  <si>
    <t>合并试算平衡表-利润表及利润分配表</t>
  </si>
  <si>
    <r>
      <rPr>
        <sz val="10"/>
        <color theme="1"/>
        <rFont val="Arial"/>
        <charset val="134"/>
      </rPr>
      <t>2012</t>
    </r>
    <r>
      <rPr>
        <sz val="10"/>
        <color theme="1"/>
        <rFont val="宋体"/>
        <charset val="134"/>
      </rPr>
      <t>年度</t>
    </r>
  </si>
  <si>
    <t>一、营业总收入</t>
  </si>
  <si>
    <r>
      <rPr>
        <b/>
        <sz val="10"/>
        <rFont val="宋体"/>
        <charset val="134"/>
      </rPr>
      <t>二、营业总成本</t>
    </r>
  </si>
  <si>
    <t>其中:对联营企业和合营企业的投资收益</t>
  </si>
  <si>
    <r>
      <rPr>
        <b/>
        <sz val="10"/>
        <rFont val="宋体"/>
        <charset val="134"/>
      </rPr>
      <t>三、营业利润（亏损以</t>
    </r>
    <r>
      <rPr>
        <b/>
        <sz val="10"/>
        <rFont val="Arial"/>
        <charset val="134"/>
      </rPr>
      <t>“</t>
    </r>
    <r>
      <rPr>
        <b/>
        <sz val="10"/>
        <rFont val="宋体"/>
        <charset val="134"/>
      </rPr>
      <t>－</t>
    </r>
    <r>
      <rPr>
        <b/>
        <sz val="10"/>
        <rFont val="Arial"/>
        <charset val="134"/>
      </rPr>
      <t>”</t>
    </r>
    <r>
      <rPr>
        <b/>
        <sz val="10"/>
        <rFont val="宋体"/>
        <charset val="134"/>
      </rPr>
      <t>号填列）</t>
    </r>
  </si>
  <si>
    <t>其中:非流动资产处置利得</t>
  </si>
  <si>
    <t>其中:非流动资产处置损失</t>
  </si>
  <si>
    <r>
      <rPr>
        <b/>
        <sz val="10"/>
        <rFont val="宋体"/>
        <charset val="134"/>
      </rPr>
      <t>四、利润总额（亏损总额以</t>
    </r>
    <r>
      <rPr>
        <b/>
        <sz val="10"/>
        <rFont val="Arial"/>
        <charset val="134"/>
      </rPr>
      <t>“</t>
    </r>
    <r>
      <rPr>
        <b/>
        <sz val="10"/>
        <rFont val="宋体"/>
        <charset val="134"/>
      </rPr>
      <t>－</t>
    </r>
    <r>
      <rPr>
        <b/>
        <sz val="10"/>
        <rFont val="Arial"/>
        <charset val="134"/>
      </rPr>
      <t>”</t>
    </r>
    <r>
      <rPr>
        <b/>
        <sz val="10"/>
        <rFont val="宋体"/>
        <charset val="134"/>
      </rPr>
      <t>号填列）</t>
    </r>
  </si>
  <si>
    <r>
      <rPr>
        <b/>
        <sz val="10"/>
        <rFont val="宋体"/>
        <charset val="134"/>
      </rPr>
      <t>五、净利润（净亏损以</t>
    </r>
    <r>
      <rPr>
        <b/>
        <sz val="10"/>
        <rFont val="Arial"/>
        <charset val="134"/>
      </rPr>
      <t>“</t>
    </r>
    <r>
      <rPr>
        <b/>
        <sz val="10"/>
        <rFont val="宋体"/>
        <charset val="134"/>
      </rPr>
      <t>－</t>
    </r>
    <r>
      <rPr>
        <b/>
        <sz val="10"/>
        <rFont val="Arial"/>
        <charset val="134"/>
      </rPr>
      <t>”</t>
    </r>
    <r>
      <rPr>
        <b/>
        <sz val="10"/>
        <rFont val="宋体"/>
        <charset val="134"/>
      </rPr>
      <t>号填列）</t>
    </r>
  </si>
  <si>
    <t>归属于母公司股东的净利润</t>
  </si>
  <si>
    <t>少数股东损益</t>
  </si>
  <si>
    <r>
      <rPr>
        <sz val="10"/>
        <rFont val="宋体"/>
        <charset val="134"/>
      </rPr>
      <t>加：年初未分配利润</t>
    </r>
  </si>
  <si>
    <t>会计政策变更</t>
  </si>
  <si>
    <t>前期差错更正</t>
  </si>
  <si>
    <r>
      <rPr>
        <b/>
        <sz val="10"/>
        <rFont val="宋体"/>
        <charset val="134"/>
      </rPr>
      <t>六、可供分配的利润</t>
    </r>
  </si>
  <si>
    <r>
      <rPr>
        <sz val="10"/>
        <rFont val="宋体"/>
        <charset val="134"/>
      </rPr>
      <t>减：提取法定盈余公积</t>
    </r>
  </si>
  <si>
    <t>提取任意盈余公积</t>
  </si>
  <si>
    <t>提取法定公益金</t>
  </si>
  <si>
    <t>提取职工奖励及福利基金</t>
  </si>
  <si>
    <t>提取储备基金</t>
  </si>
  <si>
    <t>提取企业发展基金</t>
  </si>
  <si>
    <t>转增股本</t>
  </si>
  <si>
    <t>其他</t>
  </si>
  <si>
    <t>七、未分配利润</t>
  </si>
  <si>
    <t>高新</t>
  </si>
  <si>
    <t>期初</t>
  </si>
  <si>
    <t>本期增加</t>
  </si>
  <si>
    <t>本期减少</t>
  </si>
  <si>
    <t>期末</t>
  </si>
  <si>
    <t>实收资本</t>
  </si>
  <si>
    <r>
      <rPr>
        <sz val="10"/>
        <color theme="1"/>
        <rFont val="Arial"/>
        <charset val="134"/>
      </rPr>
      <t>2012</t>
    </r>
    <r>
      <rPr>
        <sz val="10"/>
        <color theme="1"/>
        <rFont val="宋体"/>
        <charset val="134"/>
      </rPr>
      <t>年度调整分录汇总</t>
    </r>
  </si>
  <si>
    <r>
      <rPr>
        <sz val="10"/>
        <color theme="1"/>
        <rFont val="宋体"/>
        <charset val="134"/>
      </rPr>
      <t>借方</t>
    </r>
  </si>
  <si>
    <r>
      <rPr>
        <sz val="10"/>
        <color theme="1"/>
        <rFont val="宋体"/>
        <charset val="134"/>
      </rPr>
      <t>贷方</t>
    </r>
  </si>
  <si>
    <t>累计折旧</t>
  </si>
  <si>
    <t>固定资产减值准备</t>
  </si>
  <si>
    <t>主营业务收入</t>
  </si>
  <si>
    <t>主营业务成本</t>
  </si>
  <si>
    <t>资产减值损失</t>
  </si>
  <si>
    <t>公允价值变动收益</t>
  </si>
  <si>
    <t>信用减值损失</t>
  </si>
  <si>
    <t>投资收益</t>
  </si>
  <si>
    <t>资产处置收益</t>
  </si>
  <si>
    <t>其他收益</t>
  </si>
  <si>
    <t>营业外收入</t>
  </si>
  <si>
    <t>营业外支出</t>
  </si>
  <si>
    <t>所得税费用</t>
  </si>
  <si>
    <t>年初未分配利润</t>
  </si>
  <si>
    <t>提取法定盈余公积</t>
  </si>
  <si>
    <t>合并调整抵消分类汇总表</t>
  </si>
  <si>
    <t>索引号：</t>
  </si>
  <si>
    <t>期间：2019年度-2021年度</t>
  </si>
  <si>
    <r>
      <rPr>
        <sz val="9"/>
        <color theme="1"/>
        <rFont val="宋体"/>
        <charset val="134"/>
      </rPr>
      <t>对净利润的调整</t>
    </r>
  </si>
  <si>
    <r>
      <rPr>
        <sz val="9"/>
        <color theme="1"/>
        <rFont val="宋体"/>
        <charset val="134"/>
      </rPr>
      <t>对净资产的调整</t>
    </r>
  </si>
  <si>
    <t>调整金额合计</t>
  </si>
  <si>
    <r>
      <rPr>
        <b/>
        <sz val="10"/>
        <color theme="1"/>
        <rFont val="宋体"/>
        <charset val="134"/>
      </rPr>
      <t>序号</t>
    </r>
  </si>
  <si>
    <r>
      <rPr>
        <b/>
        <sz val="10"/>
        <color theme="1"/>
        <rFont val="宋体"/>
        <charset val="134"/>
      </rPr>
      <t>说明</t>
    </r>
  </si>
  <si>
    <r>
      <rPr>
        <b/>
        <sz val="10"/>
        <color theme="1"/>
        <rFont val="宋体"/>
        <charset val="134"/>
      </rPr>
      <t>报表项目</t>
    </r>
  </si>
  <si>
    <r>
      <rPr>
        <b/>
        <sz val="10"/>
        <color theme="1"/>
        <rFont val="宋体"/>
        <charset val="134"/>
      </rPr>
      <t>明细科目</t>
    </r>
  </si>
  <si>
    <t>是否调整</t>
  </si>
  <si>
    <r>
      <rPr>
        <b/>
        <sz val="9"/>
        <color theme="1"/>
        <rFont val="Arial"/>
        <charset val="134"/>
      </rPr>
      <t>2014</t>
    </r>
    <r>
      <rPr>
        <b/>
        <sz val="9"/>
        <color theme="1"/>
        <rFont val="宋体"/>
        <charset val="134"/>
      </rPr>
      <t>年度调整金额</t>
    </r>
  </si>
  <si>
    <r>
      <rPr>
        <b/>
        <sz val="10"/>
        <color theme="1"/>
        <rFont val="宋体"/>
        <charset val="134"/>
      </rPr>
      <t>借方</t>
    </r>
  </si>
  <si>
    <r>
      <rPr>
        <b/>
        <sz val="10"/>
        <color theme="1"/>
        <rFont val="宋体"/>
        <charset val="134"/>
      </rPr>
      <t>贷方</t>
    </r>
  </si>
  <si>
    <t>确认年初投资收益</t>
  </si>
  <si>
    <t>Y</t>
  </si>
  <si>
    <t>确认本期投资收益</t>
  </si>
  <si>
    <t>长期投资抵消</t>
  </si>
  <si>
    <t>库存股</t>
  </si>
  <si>
    <t>内部往来抵消</t>
  </si>
  <si>
    <t>以前年度未实现利润抵消</t>
  </si>
  <si>
    <t>内部未实现利润抵消</t>
  </si>
  <si>
    <t>内部采购抵消</t>
  </si>
  <si>
    <t>内部业务抵消</t>
  </si>
  <si>
    <t>其他业务收入</t>
  </si>
  <si>
    <t>其他业务成本</t>
  </si>
  <si>
    <t>管理费用</t>
  </si>
  <si>
    <t>销售费用</t>
  </si>
  <si>
    <t>研发费用</t>
  </si>
  <si>
    <t>财务费用</t>
  </si>
  <si>
    <t>快速卖固定资产给新材料</t>
  </si>
  <si>
    <t>注：转让资产原值差异已经调整在23年未审报表</t>
  </si>
  <si>
    <t>投资收益抵销</t>
  </si>
  <si>
    <t>股利分配</t>
  </si>
  <si>
    <t>当期归母</t>
  </si>
  <si>
    <t>权益法核算</t>
  </si>
  <si>
    <t>提取一般风险准备</t>
  </si>
  <si>
    <t>当期少数</t>
  </si>
  <si>
    <t>往期归母+少数</t>
  </si>
  <si>
    <t>提取专项储备</t>
  </si>
  <si>
    <t>应付现金股利</t>
  </si>
  <si>
    <t>转作股本的股利</t>
  </si>
  <si>
    <t>其他减少</t>
  </si>
  <si>
    <t>累计总数</t>
  </si>
  <si>
    <t>快速销售无形资产及在建工程给新材料按净额法抵消收收入、成本</t>
  </si>
  <si>
    <t>商誉减值</t>
  </si>
  <si>
    <t>合并抵消重复计提坏账</t>
  </si>
  <si>
    <t>未实现内部收益</t>
  </si>
  <si>
    <t>母公司成本法下未确认的净损益</t>
  </si>
  <si>
    <t>当期净损益</t>
  </si>
  <si>
    <t>👈     解压缩</t>
  </si>
  <si>
    <t>期初总的净损益</t>
  </si>
  <si>
    <t>权益法下长期股权投资成本</t>
  </si>
  <si>
    <r>
      <rPr>
        <sz val="10"/>
        <rFont val="宋体"/>
        <charset val="134"/>
      </rPr>
      <t>长期投资</t>
    </r>
    <r>
      <rPr>
        <sz val="10"/>
        <rFont val="Times New Roman"/>
        <charset val="134"/>
      </rPr>
      <t>-</t>
    </r>
    <r>
      <rPr>
        <sz val="10"/>
        <rFont val="宋体"/>
        <charset val="134"/>
      </rPr>
      <t>权益法核算过渡表</t>
    </r>
  </si>
  <si>
    <t>总</t>
  </si>
  <si>
    <t>其中：优先股</t>
  </si>
  <si>
    <t xml:space="preserve">      永续债</t>
  </si>
  <si>
    <t>母公司控股比例</t>
  </si>
  <si>
    <t>归母</t>
  </si>
  <si>
    <t>归属母公司权益</t>
  </si>
  <si>
    <t>归属母公司-实收资本</t>
  </si>
  <si>
    <t>归属母公司-资本公积</t>
  </si>
  <si>
    <t>归属母公司-一般风险准备-计提</t>
  </si>
  <si>
    <t>归属母公司-一般风险准备-拨款转入</t>
  </si>
  <si>
    <t>归属母公司-一般风险准备-合并增加</t>
  </si>
  <si>
    <r>
      <rPr>
        <sz val="10"/>
        <rFont val="宋体"/>
        <charset val="134"/>
      </rPr>
      <t>归属母公司</t>
    </r>
    <r>
      <rPr>
        <sz val="10"/>
        <rFont val="Times New Roman"/>
        <charset val="134"/>
      </rPr>
      <t>-</t>
    </r>
    <r>
      <rPr>
        <sz val="10"/>
        <rFont val="宋体"/>
        <charset val="134"/>
      </rPr>
      <t>商誉</t>
    </r>
  </si>
  <si>
    <t>归属母公司-损益调整</t>
  </si>
  <si>
    <t>小计</t>
  </si>
  <si>
    <t>归属母公司占比</t>
  </si>
  <si>
    <t>少数</t>
  </si>
  <si>
    <r>
      <rPr>
        <sz val="10"/>
        <rFont val="宋体"/>
        <charset val="134"/>
      </rPr>
      <t>注：</t>
    </r>
    <r>
      <rPr>
        <sz val="10"/>
        <rFont val="Times New Roman"/>
        <charset val="134"/>
      </rPr>
      <t>4</t>
    </r>
    <r>
      <rPr>
        <sz val="10"/>
        <rFont val="宋体"/>
        <charset val="134"/>
      </rPr>
      <t>月份合并报表审计调整入账后，因为持股比例用的</t>
    </r>
    <r>
      <rPr>
        <sz val="10"/>
        <rFont val="Times New Roman"/>
        <charset val="134"/>
      </rPr>
      <t>77.78%</t>
    </r>
    <r>
      <rPr>
        <sz val="10"/>
        <rFont val="宋体"/>
        <charset val="134"/>
      </rPr>
      <t>和审计用的</t>
    </r>
    <r>
      <rPr>
        <sz val="10"/>
        <rFont val="Times New Roman"/>
        <charset val="134"/>
      </rPr>
      <t>77.7778%</t>
    </r>
    <r>
      <rPr>
        <sz val="10"/>
        <rFont val="宋体"/>
        <charset val="134"/>
      </rPr>
      <t>之间的差异导致</t>
    </r>
    <r>
      <rPr>
        <sz val="10"/>
        <rFont val="Times New Roman"/>
        <charset val="134"/>
      </rPr>
      <t>24</t>
    </r>
    <r>
      <rPr>
        <sz val="10"/>
        <rFont val="宋体"/>
        <charset val="134"/>
      </rPr>
      <t>年当期损益相差</t>
    </r>
    <r>
      <rPr>
        <sz val="10"/>
        <rFont val="Times New Roman"/>
        <charset val="134"/>
      </rPr>
      <t>11.15</t>
    </r>
    <r>
      <rPr>
        <sz val="10"/>
        <rFont val="宋体"/>
        <charset val="134"/>
      </rPr>
      <t>元，在此处进行嘎差调整</t>
    </r>
  </si>
  <si>
    <t>少数股东占比</t>
  </si>
  <si>
    <t>成本法</t>
  </si>
  <si>
    <t>长期投资-成本</t>
  </si>
  <si>
    <r>
      <rPr>
        <sz val="10"/>
        <rFont val="宋体"/>
        <charset val="134"/>
      </rPr>
      <t>长期投资调整</t>
    </r>
    <r>
      <rPr>
        <sz val="10"/>
        <rFont val="Times New Roman"/>
        <charset val="134"/>
      </rPr>
      <t>-</t>
    </r>
    <r>
      <rPr>
        <sz val="10"/>
        <rFont val="宋体"/>
        <charset val="134"/>
      </rPr>
      <t>资本公积</t>
    </r>
  </si>
  <si>
    <r>
      <rPr>
        <sz val="10"/>
        <rFont val="宋体"/>
        <charset val="134"/>
      </rPr>
      <t>企业合并调整</t>
    </r>
    <r>
      <rPr>
        <sz val="10"/>
        <rFont val="Times New Roman"/>
        <charset val="134"/>
      </rPr>
      <t>-</t>
    </r>
    <r>
      <rPr>
        <sz val="10"/>
        <rFont val="宋体"/>
        <charset val="134"/>
      </rPr>
      <t>营业外收入</t>
    </r>
  </si>
  <si>
    <r>
      <rPr>
        <sz val="10"/>
        <rFont val="宋体"/>
        <charset val="134"/>
      </rPr>
      <t>企业合并调整</t>
    </r>
    <r>
      <rPr>
        <sz val="10"/>
        <rFont val="Times New Roman"/>
        <charset val="134"/>
      </rPr>
      <t>-</t>
    </r>
    <r>
      <rPr>
        <sz val="10"/>
        <rFont val="宋体"/>
        <charset val="134"/>
      </rPr>
      <t>商誉</t>
    </r>
  </si>
  <si>
    <t>长期投资-调整后小计</t>
  </si>
  <si>
    <t>权益法</t>
  </si>
  <si>
    <t>以前年度确认损益</t>
  </si>
  <si>
    <r>
      <rPr>
        <sz val="10"/>
        <rFont val="宋体"/>
        <charset val="134"/>
      </rPr>
      <t>以前年度确认资本公积</t>
    </r>
    <r>
      <rPr>
        <sz val="10"/>
        <rFont val="Times New Roman"/>
        <charset val="134"/>
      </rPr>
      <t>-</t>
    </r>
    <r>
      <rPr>
        <sz val="10"/>
        <rFont val="宋体"/>
        <charset val="134"/>
      </rPr>
      <t>少数股权收购</t>
    </r>
  </si>
  <si>
    <t>以前年度确认一般风险准备-计提</t>
  </si>
  <si>
    <t>本年度确认损益</t>
  </si>
  <si>
    <t>本年度确认资本公积-增资</t>
  </si>
  <si>
    <t>本年度确认资本公积-少数股权收购</t>
  </si>
  <si>
    <r>
      <rPr>
        <sz val="10"/>
        <rFont val="宋体"/>
        <charset val="134"/>
      </rPr>
      <t>本年度确认一般风险准备</t>
    </r>
    <r>
      <rPr>
        <sz val="10"/>
        <rFont val="Times New Roman"/>
        <charset val="134"/>
      </rPr>
      <t>-</t>
    </r>
    <r>
      <rPr>
        <sz val="10"/>
        <rFont val="宋体"/>
        <charset val="134"/>
      </rPr>
      <t>计提</t>
    </r>
  </si>
  <si>
    <t>调整小计</t>
  </si>
  <si>
    <t>权益法调整后长期投资</t>
  </si>
  <si>
    <t>核对</t>
  </si>
  <si>
    <t>累计确认</t>
  </si>
  <si>
    <t>累计确认确认损益</t>
  </si>
  <si>
    <t>累计确认确认资本公积-少数股权收购</t>
  </si>
  <si>
    <t>累计确认确认一般风险准备-计提</t>
  </si>
  <si>
    <t>累计确认确认一般风险准备-拨款</t>
  </si>
  <si>
    <t>新编号</t>
  </si>
  <si>
    <t>固定资产编号</t>
  </si>
  <si>
    <t>保留设备编号</t>
  </si>
  <si>
    <t>卡片编号</t>
  </si>
  <si>
    <t>固定资产名称</t>
  </si>
  <si>
    <t>类别名称</t>
  </si>
  <si>
    <t>原值</t>
  </si>
  <si>
    <t>202012累计折旧</t>
  </si>
  <si>
    <t>累计折旧（调整）</t>
  </si>
  <si>
    <t>月折旧额</t>
  </si>
  <si>
    <t>使用部门</t>
  </si>
  <si>
    <t>开始使用日期</t>
  </si>
  <si>
    <t>已计提月份</t>
  </si>
  <si>
    <t>净残值率</t>
  </si>
  <si>
    <t>使用年限</t>
  </si>
  <si>
    <t>对应折旧科目</t>
  </si>
  <si>
    <t>对应折旧科目编码</t>
  </si>
  <si>
    <t>增加方式</t>
  </si>
  <si>
    <t>使用状况</t>
  </si>
  <si>
    <t>净残值</t>
  </si>
  <si>
    <t>累计折旧测算</t>
  </si>
  <si>
    <r>
      <rPr>
        <b/>
        <sz val="10"/>
        <rFont val="MS Sans Serif"/>
        <charset val="134"/>
      </rPr>
      <t>202106</t>
    </r>
    <r>
      <rPr>
        <b/>
        <sz val="10"/>
        <rFont val="宋体"/>
        <charset val="134"/>
      </rPr>
      <t>（补计提）</t>
    </r>
  </si>
  <si>
    <r>
      <rPr>
        <b/>
        <sz val="10"/>
        <rFont val="MS Sans Serif"/>
        <charset val="134"/>
      </rPr>
      <t>2021</t>
    </r>
    <r>
      <rPr>
        <b/>
        <sz val="10"/>
        <rFont val="宋体"/>
        <charset val="134"/>
      </rPr>
      <t>年累计折旧额</t>
    </r>
  </si>
  <si>
    <r>
      <rPr>
        <b/>
        <sz val="10"/>
        <rFont val="MS Sans Serif"/>
        <charset val="134"/>
      </rPr>
      <t>6</t>
    </r>
    <r>
      <rPr>
        <b/>
        <sz val="10"/>
        <rFont val="宋体"/>
        <charset val="134"/>
      </rPr>
      <t>月净值</t>
    </r>
  </si>
  <si>
    <t>70-0084</t>
  </si>
  <si>
    <t>00224</t>
  </si>
  <si>
    <t>PE-3D-013</t>
  </si>
  <si>
    <t>2017年10月6# 激光熔融金属增材制造系统1套</t>
  </si>
  <si>
    <t>机器设备</t>
  </si>
  <si>
    <t>3D打印部</t>
  </si>
  <si>
    <t>折旧</t>
  </si>
  <si>
    <t>51010101</t>
  </si>
  <si>
    <t>直接购入</t>
  </si>
  <si>
    <t>在用</t>
  </si>
  <si>
    <t>70-0085</t>
  </si>
  <si>
    <t>00225</t>
  </si>
  <si>
    <t>PE-3D-014</t>
  </si>
  <si>
    <t>70-0086</t>
  </si>
  <si>
    <t>00226</t>
  </si>
  <si>
    <t xml:space="preserve">PE-3D-024
</t>
  </si>
  <si>
    <t>70-0160</t>
  </si>
  <si>
    <t>00301</t>
  </si>
  <si>
    <t>20.7月374#雷尼绍激光振镜一台 PE-3D-013上核心部件</t>
  </si>
  <si>
    <t>精铸转让固定资产</t>
  </si>
  <si>
    <t>加工中心</t>
  </si>
  <si>
    <t>固定资产编码</t>
  </si>
  <si>
    <t>类别</t>
  </si>
  <si>
    <t>净值</t>
  </si>
  <si>
    <t>JZ-00114</t>
  </si>
  <si>
    <t>00137</t>
  </si>
  <si>
    <t>联想电脑P340</t>
  </si>
  <si>
    <t>电子设备</t>
  </si>
  <si>
    <t>3年0月</t>
  </si>
  <si>
    <t>000300027</t>
  </si>
  <si>
    <t>机加工中心</t>
  </si>
  <si>
    <t>JZ-00115</t>
  </si>
  <si>
    <t>00138</t>
  </si>
  <si>
    <t>组装电脑</t>
  </si>
  <si>
    <t>000300028</t>
  </si>
  <si>
    <t>JZ-00121</t>
  </si>
  <si>
    <t>00144</t>
  </si>
  <si>
    <t>超声波测厚仪</t>
  </si>
  <si>
    <t>器工家具</t>
  </si>
  <si>
    <t>5年0月</t>
  </si>
  <si>
    <t>000500073</t>
  </si>
  <si>
    <t>JZ-00122</t>
  </si>
  <si>
    <t>00145</t>
  </si>
  <si>
    <t>振动时效仪</t>
  </si>
  <si>
    <t>000500074</t>
  </si>
  <si>
    <t>JZ-00123</t>
  </si>
  <si>
    <t>00146</t>
  </si>
  <si>
    <t>数控车床TK50/1000</t>
  </si>
  <si>
    <t>10年0月</t>
  </si>
  <si>
    <t>000200037</t>
  </si>
  <si>
    <t>JZ-00124</t>
  </si>
  <si>
    <t>00147</t>
  </si>
  <si>
    <t>数控车床CK6536</t>
  </si>
  <si>
    <t>000200038</t>
  </si>
  <si>
    <t>JZ-00125</t>
  </si>
  <si>
    <t>00148</t>
  </si>
  <si>
    <t>立式加工中心机械主轴</t>
  </si>
  <si>
    <t>000200039</t>
  </si>
  <si>
    <t>JZ-00126</t>
  </si>
  <si>
    <t>00149</t>
  </si>
  <si>
    <t>000200040</t>
  </si>
  <si>
    <t>JZ-00127</t>
  </si>
  <si>
    <t>00150</t>
  </si>
  <si>
    <t>立式加工中心电主轴</t>
  </si>
  <si>
    <t>000200041</t>
  </si>
  <si>
    <t>JZ-00128</t>
  </si>
  <si>
    <t>00151</t>
  </si>
  <si>
    <t>000200042</t>
  </si>
  <si>
    <t>JZ-00131</t>
  </si>
  <si>
    <t>00154</t>
  </si>
  <si>
    <t>三坐标测量机</t>
  </si>
  <si>
    <t>000200044</t>
  </si>
  <si>
    <t>内容</t>
  </si>
  <si>
    <t>总金额(不含税）</t>
  </si>
  <si>
    <t>1月开票</t>
  </si>
  <si>
    <t>2月开票</t>
  </si>
  <si>
    <t>3月开票</t>
  </si>
  <si>
    <t>4月开票</t>
  </si>
  <si>
    <t>合计开票不含税</t>
  </si>
  <si>
    <t>备注</t>
  </si>
  <si>
    <t>3D产成品</t>
  </si>
  <si>
    <t>关联交易已抵消</t>
  </si>
  <si>
    <t>基本材料</t>
  </si>
  <si>
    <t>3D在线粉</t>
  </si>
  <si>
    <t>库存商品</t>
  </si>
  <si>
    <t>发出商品</t>
  </si>
  <si>
    <t>生产在制品</t>
  </si>
  <si>
    <t>固定资产-机器设备</t>
  </si>
  <si>
    <t>未虚增不抵</t>
  </si>
  <si>
    <t>固定资产-电子设备</t>
  </si>
  <si>
    <t>固定资产-器工家具</t>
  </si>
  <si>
    <t>无形资产-软件</t>
  </si>
  <si>
    <t>单独分录抵</t>
  </si>
  <si>
    <t>增值税</t>
  </si>
  <si>
    <t>前面几个月份或有留抵税额不交附加税</t>
  </si>
  <si>
    <t>附加税</t>
  </si>
  <si>
    <t>入固定资产清理</t>
  </si>
  <si>
    <t>入主营业务收入</t>
  </si>
  <si>
    <t>入其他业务收入</t>
  </si>
  <si>
    <t>影响收入合计</t>
  </si>
  <si>
    <t>黄色代表暂不抵消</t>
  </si>
  <si>
    <t>需注意标注研发用的抵研发费用</t>
  </si>
  <si>
    <t>销售方</t>
  </si>
  <si>
    <t>购买方</t>
  </si>
  <si>
    <t>月份</t>
  </si>
  <si>
    <t>单位</t>
  </si>
  <si>
    <t>核算科目</t>
  </si>
  <si>
    <t>金额</t>
  </si>
  <si>
    <t>摘要</t>
  </si>
  <si>
    <t>fff</t>
  </si>
  <si>
    <t>抵消科目</t>
  </si>
  <si>
    <t>1月</t>
  </si>
  <si>
    <t>3D打印件</t>
  </si>
  <si>
    <t>营业成本</t>
  </si>
  <si>
    <t>主营</t>
  </si>
  <si>
    <t>电费</t>
  </si>
  <si>
    <t>房租</t>
  </si>
  <si>
    <t>热等静压</t>
  </si>
  <si>
    <t>热等静压加工</t>
  </si>
  <si>
    <t>加工费</t>
  </si>
  <si>
    <t>检测费</t>
  </si>
  <si>
    <t>2月</t>
  </si>
  <si>
    <t>粉末</t>
  </si>
  <si>
    <t>氩气</t>
  </si>
  <si>
    <t>3月</t>
  </si>
  <si>
    <t>4月</t>
  </si>
  <si>
    <t>打印租赁费</t>
  </si>
  <si>
    <t>5月</t>
  </si>
  <si>
    <t>客户开发服务费</t>
  </si>
  <si>
    <t>6月</t>
  </si>
  <si>
    <t>技术服务费</t>
  </si>
  <si>
    <t>7月</t>
  </si>
  <si>
    <t>研发用3D打印加工</t>
  </si>
  <si>
    <t>转入合同负债</t>
  </si>
  <si>
    <t>8月</t>
  </si>
  <si>
    <t>3D打印租赁费</t>
  </si>
  <si>
    <t>9月</t>
  </si>
  <si>
    <t>3D打印加工</t>
  </si>
  <si>
    <t>10月</t>
  </si>
  <si>
    <t>11月</t>
  </si>
  <si>
    <t>求和项:金额2</t>
  </si>
  <si>
    <t>其他业务收入 汇总</t>
  </si>
  <si>
    <t>主营业务收入 汇总</t>
  </si>
  <si>
    <t>(空白)</t>
  </si>
  <si>
    <t>(空白) 汇总</t>
  </si>
  <si>
    <t>财务费用 汇总</t>
  </si>
  <si>
    <t>总计</t>
  </si>
  <si>
    <t>·</t>
  </si>
  <si>
    <r>
      <rPr>
        <b/>
        <sz val="9"/>
        <color theme="1"/>
        <rFont val="宋体"/>
        <charset val="134"/>
      </rPr>
      <t>三、固定资产交易</t>
    </r>
  </si>
  <si>
    <r>
      <rPr>
        <b/>
        <sz val="9"/>
        <color theme="1"/>
        <rFont val="宋体"/>
        <charset val="134"/>
      </rPr>
      <t>购买方</t>
    </r>
  </si>
  <si>
    <r>
      <rPr>
        <b/>
        <sz val="9"/>
        <color theme="1"/>
        <rFont val="宋体"/>
        <charset val="134"/>
      </rPr>
      <t>出售方</t>
    </r>
  </si>
  <si>
    <r>
      <rPr>
        <b/>
        <sz val="9"/>
        <color theme="1"/>
        <rFont val="宋体"/>
        <charset val="134"/>
      </rPr>
      <t>内部交易增值额</t>
    </r>
  </si>
  <si>
    <r>
      <rPr>
        <b/>
        <sz val="9"/>
        <color theme="1"/>
        <rFont val="宋体"/>
        <charset val="134"/>
      </rPr>
      <t>内部交易增值额摊销</t>
    </r>
  </si>
  <si>
    <r>
      <rPr>
        <b/>
        <sz val="9"/>
        <color theme="1"/>
        <rFont val="宋体"/>
        <charset val="134"/>
      </rPr>
      <t>单位</t>
    </r>
  </si>
  <si>
    <t>编码</t>
  </si>
  <si>
    <r>
      <rPr>
        <b/>
        <sz val="9"/>
        <color theme="1"/>
        <rFont val="宋体"/>
        <charset val="134"/>
      </rPr>
      <t>入账原值</t>
    </r>
  </si>
  <si>
    <r>
      <rPr>
        <b/>
        <sz val="9"/>
        <color theme="1"/>
        <rFont val="宋体"/>
        <charset val="134"/>
      </rPr>
      <t>入账日期</t>
    </r>
  </si>
  <si>
    <r>
      <rPr>
        <b/>
        <sz val="9"/>
        <color theme="1"/>
        <rFont val="宋体"/>
        <charset val="134"/>
      </rPr>
      <t>使用月限</t>
    </r>
  </si>
  <si>
    <r>
      <rPr>
        <b/>
        <sz val="9"/>
        <color theme="1"/>
        <rFont val="宋体"/>
        <charset val="134"/>
      </rPr>
      <t>原值</t>
    </r>
  </si>
  <si>
    <r>
      <rPr>
        <b/>
        <sz val="9"/>
        <color theme="1"/>
        <rFont val="宋体"/>
        <charset val="134"/>
      </rPr>
      <t>累计折旧</t>
    </r>
  </si>
  <si>
    <r>
      <rPr>
        <b/>
        <sz val="9"/>
        <color theme="1"/>
        <rFont val="宋体"/>
        <charset val="134"/>
      </rPr>
      <t>净值</t>
    </r>
  </si>
  <si>
    <r>
      <rPr>
        <b/>
        <sz val="9"/>
        <color theme="1"/>
        <rFont val="宋体"/>
        <charset val="134"/>
      </rPr>
      <t>出售日期</t>
    </r>
  </si>
  <si>
    <r>
      <rPr>
        <b/>
        <sz val="9"/>
        <color theme="1"/>
        <rFont val="宋体"/>
        <charset val="134"/>
      </rPr>
      <t>出售价格</t>
    </r>
  </si>
  <si>
    <r>
      <rPr>
        <b/>
        <sz val="9"/>
        <color theme="1"/>
        <rFont val="宋体"/>
        <charset val="134"/>
      </rPr>
      <t>处置损益</t>
    </r>
  </si>
  <si>
    <r>
      <rPr>
        <b/>
        <sz val="9"/>
        <color theme="1"/>
        <rFont val="Arial"/>
        <charset val="134"/>
      </rPr>
      <t>2013</t>
    </r>
    <r>
      <rPr>
        <b/>
        <sz val="9"/>
        <color theme="1"/>
        <rFont val="宋体"/>
        <charset val="134"/>
      </rPr>
      <t>年</t>
    </r>
  </si>
  <si>
    <r>
      <rPr>
        <b/>
        <sz val="9"/>
        <color theme="1"/>
        <rFont val="Arial"/>
        <charset val="134"/>
      </rPr>
      <t>2014</t>
    </r>
    <r>
      <rPr>
        <b/>
        <sz val="9"/>
        <color theme="1"/>
        <rFont val="宋体"/>
        <charset val="134"/>
      </rPr>
      <t>年</t>
    </r>
  </si>
  <si>
    <r>
      <rPr>
        <b/>
        <sz val="9"/>
        <color theme="1"/>
        <rFont val="Arial"/>
        <charset val="134"/>
      </rPr>
      <t>2015年</t>
    </r>
  </si>
  <si>
    <r>
      <rPr>
        <b/>
        <sz val="9"/>
        <color theme="1"/>
        <rFont val="Arial"/>
        <charset val="134"/>
      </rPr>
      <t>2016年</t>
    </r>
  </si>
  <si>
    <r>
      <rPr>
        <b/>
        <sz val="9"/>
        <color theme="1"/>
        <rFont val="Arial"/>
        <charset val="134"/>
      </rPr>
      <t>2017年</t>
    </r>
  </si>
  <si>
    <r>
      <rPr>
        <b/>
        <sz val="9"/>
        <color theme="1"/>
        <rFont val="Arial"/>
        <charset val="134"/>
      </rPr>
      <t>2018年</t>
    </r>
  </si>
  <si>
    <r>
      <rPr>
        <b/>
        <sz val="9"/>
        <color theme="1"/>
        <rFont val="Arial"/>
        <charset val="134"/>
      </rPr>
      <t>2019年</t>
    </r>
  </si>
  <si>
    <r>
      <rPr>
        <b/>
        <sz val="9"/>
        <color theme="1"/>
        <rFont val="Arial"/>
        <charset val="134"/>
      </rPr>
      <t>2020年</t>
    </r>
  </si>
  <si>
    <r>
      <rPr>
        <b/>
        <sz val="9"/>
        <color theme="1"/>
        <rFont val="Arial"/>
        <charset val="134"/>
      </rPr>
      <t>2021年</t>
    </r>
  </si>
  <si>
    <r>
      <rPr>
        <b/>
        <sz val="9"/>
        <color theme="1"/>
        <rFont val="Arial"/>
        <charset val="134"/>
      </rPr>
      <t>2022年</t>
    </r>
  </si>
  <si>
    <r>
      <rPr>
        <b/>
        <sz val="9"/>
        <color theme="1"/>
        <rFont val="Arial"/>
        <charset val="134"/>
      </rPr>
      <t>2023年</t>
    </r>
  </si>
  <si>
    <r>
      <rPr>
        <b/>
        <sz val="9"/>
        <color theme="1"/>
        <rFont val="Arial"/>
        <charset val="134"/>
      </rPr>
      <t>2024年</t>
    </r>
  </si>
  <si>
    <r>
      <rPr>
        <b/>
        <sz val="9"/>
        <color theme="1"/>
        <rFont val="Arial"/>
        <charset val="134"/>
      </rPr>
      <t>2025</t>
    </r>
    <r>
      <rPr>
        <b/>
        <sz val="9"/>
        <color theme="1"/>
        <rFont val="宋体"/>
        <charset val="134"/>
      </rPr>
      <t>年</t>
    </r>
  </si>
  <si>
    <r>
      <rPr>
        <sz val="9"/>
        <color theme="1"/>
        <rFont val="宋体"/>
        <charset val="134"/>
      </rPr>
      <t>沃伦</t>
    </r>
  </si>
  <si>
    <r>
      <rPr>
        <sz val="9"/>
        <color theme="1"/>
        <rFont val="Arial"/>
        <charset val="134"/>
      </rPr>
      <t xml:space="preserve">1000T </t>
    </r>
    <r>
      <rPr>
        <sz val="9"/>
        <color theme="1"/>
        <rFont val="宋体"/>
        <charset val="134"/>
      </rPr>
      <t>冲床</t>
    </r>
  </si>
  <si>
    <t>FM0022</t>
  </si>
  <si>
    <r>
      <rPr>
        <sz val="9"/>
        <color theme="1"/>
        <rFont val="宋体"/>
        <charset val="134"/>
      </rPr>
      <t>无锡</t>
    </r>
  </si>
  <si>
    <t>克莱铆接机</t>
  </si>
  <si>
    <t>FM0027</t>
  </si>
  <si>
    <t>Tox</t>
  </si>
  <si>
    <t>FM0026</t>
  </si>
  <si>
    <t>芜湖</t>
  </si>
  <si>
    <t>沃伦</t>
  </si>
  <si>
    <t>闭点式压力机st-600</t>
  </si>
  <si>
    <t>FM0023</t>
  </si>
  <si>
    <t>NC三次元移送装置（机械手）</t>
  </si>
  <si>
    <t>FM0024</t>
  </si>
  <si>
    <t>非标定制皮带机（磨光机）</t>
  </si>
  <si>
    <t>FM0025</t>
  </si>
  <si>
    <t>在建工程（ST600）送料机</t>
  </si>
  <si>
    <t>在建工程，不提折旧</t>
  </si>
  <si>
    <t>自动移送系统（1000T送料机）</t>
  </si>
  <si>
    <t>FM0035</t>
  </si>
  <si>
    <r>
      <rPr>
        <sz val="9"/>
        <color theme="1"/>
        <rFont val="宋体"/>
        <charset val="134"/>
      </rPr>
      <t>发出商品</t>
    </r>
  </si>
  <si>
    <t>体式显微镜</t>
  </si>
  <si>
    <t>FM0034</t>
  </si>
  <si>
    <t>松下数控焊接中心</t>
  </si>
  <si>
    <t>FM0029</t>
  </si>
  <si>
    <r>
      <rPr>
        <sz val="9"/>
        <color theme="1"/>
        <rFont val="宋体"/>
        <charset val="134"/>
      </rPr>
      <t>固定资产处置收入</t>
    </r>
  </si>
  <si>
    <r>
      <rPr>
        <sz val="9"/>
        <color theme="1"/>
        <rFont val="宋体"/>
        <charset val="134"/>
      </rPr>
      <t>闭式双点压力机</t>
    </r>
    <r>
      <rPr>
        <sz val="9"/>
        <color theme="1"/>
        <rFont val="Arial"/>
        <charset val="134"/>
      </rPr>
      <t>300T</t>
    </r>
  </si>
  <si>
    <t>FM0028</t>
  </si>
  <si>
    <r>
      <rPr>
        <sz val="9"/>
        <color theme="1"/>
        <rFont val="宋体"/>
        <charset val="134"/>
      </rPr>
      <t>库存商品</t>
    </r>
  </si>
  <si>
    <t>检具</t>
  </si>
  <si>
    <r>
      <rPr>
        <sz val="9"/>
        <color theme="1"/>
        <rFont val="宋体"/>
        <charset val="134"/>
      </rPr>
      <t>合计</t>
    </r>
  </si>
  <si>
    <t>无锡</t>
  </si>
  <si>
    <t>龙门天车式高速加工机</t>
  </si>
  <si>
    <t>三合一整平送料机（含台车）</t>
  </si>
  <si>
    <r>
      <rPr>
        <sz val="9"/>
        <color theme="1"/>
        <rFont val="宋体"/>
        <charset val="134"/>
      </rPr>
      <t>磨床</t>
    </r>
    <r>
      <rPr>
        <sz val="9"/>
        <color theme="1"/>
        <rFont val="Arial"/>
        <charset val="134"/>
      </rPr>
      <t>84AS</t>
    </r>
  </si>
  <si>
    <t>KTM-5H铣床</t>
  </si>
  <si>
    <t>悬臂起重机</t>
  </si>
  <si>
    <t>普度空压机</t>
  </si>
  <si>
    <t>--立式数控铣床</t>
  </si>
  <si>
    <t>--数控龙门中心机</t>
  </si>
  <si>
    <t>--数控铣床</t>
  </si>
  <si>
    <t>--空压机冷干机空气桶</t>
  </si>
  <si>
    <t>--氮气增压泵</t>
  </si>
  <si>
    <t>--闭式双点压力机1000吨</t>
  </si>
  <si>
    <t>--摇臂钻1台</t>
  </si>
  <si>
    <t>--普渡变频空压机一套</t>
  </si>
  <si>
    <t>三维激光扫描仪</t>
  </si>
  <si>
    <t>销售明细</t>
  </si>
  <si>
    <t>力捷入账时间</t>
  </si>
  <si>
    <t>入账科目</t>
  </si>
  <si>
    <t>本期折旧</t>
  </si>
  <si>
    <t>期末状态</t>
  </si>
  <si>
    <t>残值率</t>
  </si>
  <si>
    <t>折旧期限</t>
  </si>
  <si>
    <t>内部交易未实现利润增指摊销</t>
  </si>
  <si>
    <t>力捷</t>
  </si>
  <si>
    <t>原材料D171110</t>
  </si>
  <si>
    <t>原材料</t>
  </si>
  <si>
    <t>本期已销售</t>
  </si>
  <si>
    <t>机械手</t>
  </si>
  <si>
    <t>固定资产</t>
  </si>
  <si>
    <r>
      <rPr>
        <sz val="9"/>
        <color theme="1"/>
        <rFont val="宋体"/>
        <charset val="134"/>
      </rPr>
      <t>存货</t>
    </r>
    <r>
      <rPr>
        <sz val="9"/>
        <color theme="1"/>
        <rFont val="Arial"/>
        <charset val="134"/>
      </rPr>
      <t>-</t>
    </r>
    <r>
      <rPr>
        <sz val="9"/>
        <color theme="1"/>
        <rFont val="宋体"/>
        <charset val="134"/>
      </rPr>
      <t>原材料</t>
    </r>
  </si>
  <si>
    <t>1.向持股比例为50%的力捷采购原材料和固定资产合并层面抵消（不调整，因存在资产减值损失的交易，不进行抵消）</t>
  </si>
  <si>
    <t>逆流交易利润</t>
  </si>
  <si>
    <r>
      <rPr>
        <sz val="10"/>
        <color theme="1"/>
        <rFont val="宋体"/>
        <charset val="134"/>
      </rPr>
      <t>1.1</t>
    </r>
    <r>
      <rPr>
        <sz val="9"/>
        <color theme="1"/>
        <rFont val="宋体"/>
        <charset val="134"/>
      </rPr>
      <t>采购原材料本期已实现销售，合并层面无影响</t>
    </r>
  </si>
  <si>
    <t>1.2采购力捷固定资产视同未实现销售，调整单体投资收益</t>
  </si>
  <si>
    <t>损益调整</t>
  </si>
  <si>
    <t>N</t>
  </si>
  <si>
    <r>
      <rPr>
        <sz val="10"/>
        <color theme="1"/>
        <rFont val="宋体"/>
        <charset val="134"/>
      </rPr>
      <t>1.2</t>
    </r>
    <r>
      <rPr>
        <sz val="9"/>
        <color theme="1"/>
        <rFont val="宋体"/>
        <charset val="134"/>
      </rPr>
      <t>本期已计提折旧的固定资产视同实现销售，转回单体投资收益</t>
    </r>
  </si>
  <si>
    <t>1.3合并层面未实现销售调整固定资产原值</t>
  </si>
  <si>
    <t>1.4本期已计提折旧的固定资产视同实现销售，调整合并层面</t>
  </si>
  <si>
    <t>1.5调整合并层面固定资产递延所得税资产</t>
  </si>
  <si>
    <r>
      <rPr>
        <sz val="10"/>
        <color theme="1"/>
        <rFont val="Arial"/>
        <charset val="134"/>
      </rPr>
      <t>2.</t>
    </r>
    <r>
      <rPr>
        <sz val="10"/>
        <color theme="1"/>
        <rFont val="宋体"/>
        <charset val="134"/>
      </rPr>
      <t>向持股比例为</t>
    </r>
    <r>
      <rPr>
        <sz val="10"/>
        <color theme="1"/>
        <rFont val="Arial"/>
        <charset val="134"/>
      </rPr>
      <t>50%</t>
    </r>
    <r>
      <rPr>
        <sz val="10"/>
        <color theme="1"/>
        <rFont val="宋体"/>
        <charset val="134"/>
      </rPr>
      <t>的力捷销售原材料，该原材料本期未实现销售，期末仍在存货</t>
    </r>
    <r>
      <rPr>
        <sz val="10"/>
        <color theme="1"/>
        <rFont val="Arial"/>
        <charset val="134"/>
      </rPr>
      <t>-</t>
    </r>
    <r>
      <rPr>
        <sz val="10"/>
        <color theme="1"/>
        <rFont val="宋体"/>
        <charset val="134"/>
      </rPr>
      <t>原材料</t>
    </r>
  </si>
  <si>
    <t>2.1单体投资收益调整</t>
  </si>
  <si>
    <r>
      <rPr>
        <sz val="10"/>
        <color theme="1"/>
        <rFont val="Arial"/>
        <charset val="134"/>
      </rPr>
      <t>2.2</t>
    </r>
    <r>
      <rPr>
        <sz val="9"/>
        <color theme="1"/>
        <rFont val="宋体"/>
        <charset val="134"/>
      </rPr>
      <t>合并层面投资收益调整</t>
    </r>
  </si>
  <si>
    <r>
      <rPr>
        <b/>
        <sz val="9"/>
        <color theme="1"/>
        <rFont val="宋体"/>
        <charset val="134"/>
      </rPr>
      <t>本方单位</t>
    </r>
  </si>
  <si>
    <r>
      <rPr>
        <b/>
        <sz val="9"/>
        <color theme="1"/>
        <rFont val="宋体"/>
        <charset val="134"/>
      </rPr>
      <t>对方单位</t>
    </r>
  </si>
  <si>
    <r>
      <rPr>
        <b/>
        <sz val="9"/>
        <color theme="1"/>
        <rFont val="宋体"/>
        <charset val="134"/>
      </rPr>
      <t>应收账款</t>
    </r>
  </si>
  <si>
    <r>
      <rPr>
        <b/>
        <sz val="9"/>
        <color theme="1"/>
        <rFont val="宋体"/>
        <charset val="134"/>
      </rPr>
      <t>其他应收款</t>
    </r>
  </si>
  <si>
    <r>
      <rPr>
        <b/>
        <sz val="9"/>
        <color theme="1"/>
        <rFont val="宋体"/>
        <charset val="134"/>
      </rPr>
      <t>应付账款</t>
    </r>
  </si>
  <si>
    <r>
      <rPr>
        <b/>
        <sz val="9"/>
        <color theme="1"/>
        <rFont val="宋体"/>
        <charset val="134"/>
      </rPr>
      <t>其他应付款</t>
    </r>
  </si>
  <si>
    <t>抵消分录：</t>
  </si>
  <si>
    <t>借</t>
  </si>
  <si>
    <t>贷</t>
  </si>
  <si>
    <r>
      <rPr>
        <sz val="9"/>
        <color theme="1"/>
        <rFont val="Arial"/>
        <charset val="134"/>
      </rPr>
      <t>1</t>
    </r>
    <r>
      <rPr>
        <sz val="9"/>
        <color theme="1"/>
        <rFont val="宋体"/>
        <charset val="134"/>
      </rPr>
      <t>、无锡单体计提对沃伦的暂估收入销项税未放入关联方组合单独计提坏账准备。</t>
    </r>
  </si>
  <si>
    <r>
      <rPr>
        <sz val="9"/>
        <color theme="1"/>
        <rFont val="Arial"/>
        <charset val="134"/>
      </rPr>
      <t>2</t>
    </r>
    <r>
      <rPr>
        <sz val="9"/>
        <color theme="1"/>
        <rFont val="宋体"/>
        <charset val="134"/>
      </rPr>
      <t>、无锡单体对德国的其他应收款未放入关联方组合单独计提坏账准备。</t>
    </r>
  </si>
  <si>
    <r>
      <rPr>
        <sz val="9"/>
        <color theme="1"/>
        <rFont val="Arial"/>
        <charset val="134"/>
      </rPr>
      <t>3</t>
    </r>
    <r>
      <rPr>
        <sz val="9"/>
        <color theme="1"/>
        <rFont val="宋体"/>
        <charset val="134"/>
      </rPr>
      <t>、应确认德国</t>
    </r>
    <r>
      <rPr>
        <sz val="9"/>
        <color theme="1"/>
        <rFont val="Arial"/>
        <charset val="134"/>
      </rPr>
      <t>vt</t>
    </r>
    <r>
      <rPr>
        <sz val="9"/>
        <color theme="1"/>
        <rFont val="宋体"/>
        <charset val="134"/>
      </rPr>
      <t>账面其他应付款</t>
    </r>
    <r>
      <rPr>
        <sz val="9"/>
        <color theme="1"/>
        <rFont val="Arial"/>
        <charset val="134"/>
      </rPr>
      <t>-</t>
    </r>
    <r>
      <rPr>
        <sz val="9"/>
        <color theme="1"/>
        <rFont val="宋体"/>
        <charset val="134"/>
      </rPr>
      <t>无锡威唐是否已调整</t>
    </r>
  </si>
  <si>
    <r>
      <rPr>
        <sz val="9"/>
        <color theme="1"/>
        <rFont val="Arial"/>
        <charset val="134"/>
      </rPr>
      <t>4</t>
    </r>
    <r>
      <rPr>
        <sz val="9"/>
        <color theme="1"/>
        <rFont val="宋体"/>
        <charset val="134"/>
      </rPr>
      <t>、无锡单体中，营业收入和营业成本</t>
    </r>
    <r>
      <rPr>
        <sz val="9"/>
        <color theme="1"/>
        <rFont val="Arial"/>
        <charset val="134"/>
      </rPr>
      <t>1</t>
    </r>
    <r>
      <rPr>
        <sz val="9"/>
        <color theme="1"/>
        <rFont val="宋体"/>
        <charset val="134"/>
      </rPr>
      <t>、</t>
    </r>
    <r>
      <rPr>
        <sz val="9"/>
        <color theme="1"/>
        <rFont val="Arial"/>
        <charset val="134"/>
      </rPr>
      <t>2</t>
    </r>
    <r>
      <rPr>
        <sz val="9"/>
        <color theme="1"/>
        <rFont val="宋体"/>
        <charset val="134"/>
      </rPr>
      <t>、</t>
    </r>
    <r>
      <rPr>
        <sz val="9"/>
        <color theme="1"/>
        <rFont val="Arial"/>
        <charset val="134"/>
      </rPr>
      <t>3</t>
    </r>
    <r>
      <rPr>
        <sz val="9"/>
        <color theme="1"/>
        <rFont val="宋体"/>
        <charset val="134"/>
      </rPr>
      <t>表中的勾稽关系待补充。</t>
    </r>
  </si>
  <si>
    <r>
      <rPr>
        <sz val="10"/>
        <rFont val="宋体"/>
        <charset val="134"/>
      </rPr>
      <t>年份</t>
    </r>
  </si>
  <si>
    <r>
      <rPr>
        <sz val="10"/>
        <rFont val="宋体"/>
        <charset val="134"/>
      </rPr>
      <t>子公司名称</t>
    </r>
  </si>
  <si>
    <r>
      <rPr>
        <sz val="10"/>
        <rFont val="宋体"/>
        <charset val="134"/>
      </rPr>
      <t>少数股东名称</t>
    </r>
  </si>
  <si>
    <r>
      <rPr>
        <sz val="10"/>
        <rFont val="宋体"/>
        <charset val="134"/>
      </rPr>
      <t>期初少数股东投资比例</t>
    </r>
    <r>
      <rPr>
        <sz val="10"/>
        <rFont val="Arial Narrow"/>
        <charset val="134"/>
      </rPr>
      <t>(%)</t>
    </r>
  </si>
  <si>
    <r>
      <rPr>
        <sz val="10"/>
        <rFont val="宋体"/>
        <charset val="134"/>
      </rPr>
      <t>期末少数股东投资比例</t>
    </r>
    <r>
      <rPr>
        <sz val="10"/>
        <rFont val="Arial Narrow"/>
        <charset val="134"/>
      </rPr>
      <t>(%)</t>
    </r>
  </si>
  <si>
    <r>
      <rPr>
        <sz val="10"/>
        <rFont val="宋体"/>
        <charset val="134"/>
      </rPr>
      <t>年初少数股东权益</t>
    </r>
  </si>
  <si>
    <r>
      <rPr>
        <sz val="10"/>
        <rFont val="宋体"/>
        <charset val="134"/>
      </rPr>
      <t>少数股东本期损益</t>
    </r>
  </si>
  <si>
    <r>
      <rPr>
        <sz val="10"/>
        <rFont val="宋体"/>
        <charset val="134"/>
      </rPr>
      <t>本期分红</t>
    </r>
  </si>
  <si>
    <r>
      <rPr>
        <sz val="10"/>
        <rFont val="宋体"/>
        <charset val="134"/>
      </rPr>
      <t>职工福利及奖励金</t>
    </r>
  </si>
  <si>
    <r>
      <rPr>
        <sz val="10"/>
        <rFont val="宋体"/>
        <charset val="134"/>
      </rPr>
      <t>专项储备</t>
    </r>
  </si>
  <si>
    <r>
      <rPr>
        <sz val="10"/>
        <rFont val="宋体"/>
        <charset val="134"/>
      </rPr>
      <t>少数股东增资</t>
    </r>
  </si>
  <si>
    <r>
      <rPr>
        <sz val="10"/>
        <rFont val="宋体"/>
        <charset val="134"/>
      </rPr>
      <t>年末少数股东权益</t>
    </r>
  </si>
  <si>
    <r>
      <rPr>
        <sz val="10"/>
        <rFont val="宋体"/>
        <charset val="134"/>
      </rPr>
      <t>年初子公司净资产</t>
    </r>
  </si>
  <si>
    <r>
      <rPr>
        <sz val="10"/>
        <rFont val="宋体"/>
        <charset val="134"/>
      </rPr>
      <t>正算年初少数股权权益</t>
    </r>
  </si>
  <si>
    <r>
      <rPr>
        <sz val="10"/>
        <rFont val="宋体"/>
        <charset val="134"/>
      </rPr>
      <t>备注</t>
    </r>
  </si>
  <si>
    <r>
      <rPr>
        <sz val="10"/>
        <rFont val="宋体"/>
        <charset val="134"/>
      </rPr>
      <t>年末子公司净资产</t>
    </r>
  </si>
  <si>
    <r>
      <rPr>
        <sz val="10"/>
        <rFont val="宋体"/>
        <charset val="134"/>
      </rPr>
      <t>正算年末少数股权权益</t>
    </r>
  </si>
  <si>
    <r>
      <rPr>
        <sz val="10"/>
        <rFont val="宋体"/>
        <charset val="134"/>
      </rPr>
      <t>合并</t>
    </r>
    <r>
      <rPr>
        <sz val="10"/>
        <rFont val="Arial Narrow"/>
        <charset val="134"/>
      </rPr>
      <t>TB</t>
    </r>
    <r>
      <rPr>
        <sz val="10"/>
        <rFont val="宋体"/>
        <charset val="134"/>
      </rPr>
      <t>少数股东权益</t>
    </r>
  </si>
  <si>
    <r>
      <rPr>
        <sz val="10"/>
        <rFont val="Arial"/>
        <charset val="134"/>
      </rPr>
      <t>出资汇率差</t>
    </r>
  </si>
  <si>
    <r>
      <rPr>
        <sz val="10"/>
        <rFont val="宋体"/>
        <charset val="134"/>
      </rPr>
      <t>单位名称</t>
    </r>
  </si>
  <si>
    <r>
      <rPr>
        <sz val="10"/>
        <rFont val="宋体"/>
        <charset val="134"/>
      </rPr>
      <t>本期净利润</t>
    </r>
  </si>
  <si>
    <r>
      <rPr>
        <sz val="10"/>
        <rFont val="Arial"/>
        <charset val="134"/>
      </rPr>
      <t>提取专项储备</t>
    </r>
  </si>
  <si>
    <t>负债表</t>
  </si>
  <si>
    <t>制表单位:无锡飞而康精铸工程有限公司</t>
  </si>
  <si>
    <t>账簿：精铸主账簿</t>
  </si>
  <si>
    <t>账簿:精铸主账簿</t>
  </si>
  <si>
    <t>发生额</t>
  </si>
  <si>
    <r>
      <rPr>
        <sz val="11"/>
        <color theme="1"/>
        <rFont val="Times New Roman"/>
        <charset val="134"/>
      </rPr>
      <t>10</t>
    </r>
    <r>
      <rPr>
        <sz val="11"/>
        <color theme="1"/>
        <rFont val="宋体"/>
        <charset val="134"/>
      </rPr>
      <t>月发生</t>
    </r>
  </si>
  <si>
    <r>
      <rPr>
        <sz val="11"/>
        <color theme="1"/>
        <rFont val="Times New Roman"/>
        <charset val="134"/>
      </rPr>
      <t>10</t>
    </r>
    <r>
      <rPr>
        <sz val="11"/>
        <color theme="1"/>
        <rFont val="宋体"/>
        <charset val="134"/>
      </rPr>
      <t>月累计</t>
    </r>
  </si>
  <si>
    <t xml:space="preserve">  （一）持续经营净利润（净亏损以“－”号填列）</t>
  </si>
  <si>
    <t xml:space="preserve">  （二）终止经营净利润（净亏损以“－”号填列）</t>
  </si>
  <si>
    <t>企业负责人：</t>
  </si>
  <si>
    <t>财务负责人：</t>
  </si>
  <si>
    <t>打印人：付红静</t>
  </si>
  <si>
    <t>资 产 负 债 表</t>
  </si>
  <si>
    <r>
      <rPr>
        <sz val="10"/>
        <color theme="1"/>
        <rFont val="宋体"/>
        <charset val="134"/>
      </rPr>
      <t>会企</t>
    </r>
    <r>
      <rPr>
        <sz val="10"/>
        <color theme="1"/>
        <rFont val="Arial"/>
        <charset val="134"/>
      </rPr>
      <t>01</t>
    </r>
    <r>
      <rPr>
        <sz val="10"/>
        <color theme="1"/>
        <rFont val="宋体"/>
        <charset val="134"/>
      </rPr>
      <t>表</t>
    </r>
  </si>
  <si>
    <t>单位名称：无锡飞而康精铸工程有限公司</t>
  </si>
  <si>
    <t>年初数</t>
  </si>
  <si>
    <t>本期数</t>
  </si>
  <si>
    <r>
      <rPr>
        <sz val="10"/>
        <color theme="1"/>
        <rFont val="宋体"/>
        <charset val="134"/>
      </rPr>
      <t>其中</t>
    </r>
    <r>
      <rPr>
        <sz val="10"/>
        <color theme="1"/>
        <rFont val="Arial"/>
        <charset val="134"/>
      </rPr>
      <t>:</t>
    </r>
    <r>
      <rPr>
        <sz val="10"/>
        <color theme="1"/>
        <rFont val="宋体"/>
        <charset val="134"/>
      </rPr>
      <t>库存材料</t>
    </r>
  </si>
  <si>
    <t>精铸单体</t>
  </si>
  <si>
    <r>
      <rPr>
        <sz val="10"/>
        <color theme="1"/>
        <rFont val="宋体"/>
        <charset val="134"/>
      </rPr>
      <t>产成品</t>
    </r>
    <r>
      <rPr>
        <sz val="10"/>
        <color theme="1"/>
        <rFont val="Arial"/>
        <charset val="134"/>
      </rPr>
      <t>(</t>
    </r>
    <r>
      <rPr>
        <sz val="10"/>
        <color theme="1"/>
        <rFont val="宋体"/>
        <charset val="134"/>
      </rPr>
      <t>库存商品</t>
    </r>
    <r>
      <rPr>
        <sz val="10"/>
        <color theme="1"/>
        <rFont val="Arial"/>
        <charset val="134"/>
      </rPr>
      <t>)</t>
    </r>
  </si>
  <si>
    <t>产品产值</t>
  </si>
  <si>
    <r>
      <rPr>
        <sz val="10"/>
        <color theme="1"/>
        <rFont val="宋体"/>
        <charset val="134"/>
      </rPr>
      <t>减</t>
    </r>
    <r>
      <rPr>
        <sz val="10"/>
        <color theme="1"/>
        <rFont val="Arial"/>
        <charset val="134"/>
      </rPr>
      <t>:</t>
    </r>
    <r>
      <rPr>
        <sz val="10"/>
        <color theme="1"/>
        <rFont val="宋体"/>
        <charset val="134"/>
      </rPr>
      <t>累计折旧</t>
    </r>
  </si>
  <si>
    <t>负债和所有者权益（或股东权益）合计</t>
  </si>
  <si>
    <t>11月开始链接取数</t>
  </si>
  <si>
    <r>
      <rPr>
        <sz val="11"/>
        <color rgb="FFFF0000"/>
        <rFont val="宋体"/>
        <charset val="134"/>
      </rPr>
      <t>会企</t>
    </r>
    <r>
      <rPr>
        <sz val="11"/>
        <color rgb="FFFF0000"/>
        <rFont val="Arial"/>
        <charset val="134"/>
      </rPr>
      <t>02</t>
    </r>
    <r>
      <rPr>
        <sz val="11"/>
        <color rgb="FFFF0000"/>
        <rFont val="宋体"/>
        <charset val="134"/>
      </rPr>
      <t>表</t>
    </r>
  </si>
  <si>
    <t>本月金额</t>
  </si>
  <si>
    <t>2410金额</t>
  </si>
  <si>
    <r>
      <rPr>
        <sz val="11"/>
        <color theme="1"/>
        <rFont val="Arial"/>
        <charset val="134"/>
      </rPr>
      <t>2410</t>
    </r>
    <r>
      <rPr>
        <sz val="11"/>
        <color theme="1"/>
        <rFont val="宋体"/>
        <charset val="134"/>
      </rPr>
      <t>本年累计金额</t>
    </r>
  </si>
  <si>
    <t>差异</t>
  </si>
  <si>
    <t>其中：主营业务收入</t>
  </si>
  <si>
    <t>其中：主营业务成本</t>
  </si>
  <si>
    <t>税金及附加</t>
  </si>
  <si>
    <r>
      <rPr>
        <sz val="10"/>
        <color rgb="FF000000"/>
        <rFont val="楷体_GB2312"/>
        <charset val="134"/>
      </rPr>
      <t>信用减值损失（损失以</t>
    </r>
    <r>
      <rPr>
        <sz val="10"/>
        <color rgb="FF000000"/>
        <rFont val="Times New Roman"/>
        <charset val="134"/>
      </rPr>
      <t>“-”</t>
    </r>
    <r>
      <rPr>
        <sz val="10"/>
        <color rgb="FF000000"/>
        <rFont val="楷体_GB2312"/>
        <charset val="134"/>
      </rPr>
      <t>号填列）</t>
    </r>
  </si>
  <si>
    <r>
      <rPr>
        <sz val="11"/>
        <color rgb="FF000000"/>
        <rFont val="宋体"/>
        <charset val="134"/>
      </rPr>
      <t>加：公允价值变动收益（损失以</t>
    </r>
    <r>
      <rPr>
        <sz val="11"/>
        <color rgb="FF000000"/>
        <rFont val="Arial"/>
        <charset val="134"/>
      </rPr>
      <t>“-”</t>
    </r>
    <r>
      <rPr>
        <sz val="11"/>
        <color rgb="FF000000"/>
        <rFont val="宋体"/>
        <charset val="134"/>
      </rPr>
      <t>号填列）</t>
    </r>
  </si>
  <si>
    <r>
      <rPr>
        <sz val="11"/>
        <color rgb="FF000000"/>
        <rFont val="宋体"/>
        <charset val="134"/>
      </rPr>
      <t>投资收益（损失以</t>
    </r>
    <r>
      <rPr>
        <sz val="11"/>
        <color rgb="FF000000"/>
        <rFont val="Arial"/>
        <charset val="134"/>
      </rPr>
      <t>“-”</t>
    </r>
    <r>
      <rPr>
        <sz val="11"/>
        <color rgb="FF000000"/>
        <rFont val="宋体"/>
        <charset val="134"/>
      </rPr>
      <t>号填列）</t>
    </r>
  </si>
  <si>
    <t>其中：对联营企业和合营企业的投资收益</t>
  </si>
  <si>
    <r>
      <rPr>
        <b/>
        <sz val="11"/>
        <color rgb="FF1B48DB"/>
        <rFont val="宋体"/>
        <charset val="134"/>
      </rPr>
      <t>二、营业利润（亏损以</t>
    </r>
    <r>
      <rPr>
        <b/>
        <sz val="11"/>
        <color rgb="FF1B48DB"/>
        <rFont val="Arial"/>
        <charset val="134"/>
      </rPr>
      <t>“-”</t>
    </r>
    <r>
      <rPr>
        <b/>
        <sz val="11"/>
        <color rgb="FF1B48DB"/>
        <rFont val="宋体"/>
        <charset val="134"/>
      </rPr>
      <t>填列）</t>
    </r>
  </si>
  <si>
    <t>其中：非流动资产处置损失</t>
  </si>
  <si>
    <r>
      <rPr>
        <b/>
        <sz val="11"/>
        <color rgb="FF1B48DB"/>
        <rFont val="宋体"/>
        <charset val="134"/>
      </rPr>
      <t>三、利润总额（亏损以</t>
    </r>
    <r>
      <rPr>
        <b/>
        <sz val="11"/>
        <color rgb="FF1B48DB"/>
        <rFont val="Arial"/>
        <charset val="134"/>
      </rPr>
      <t>“-”</t>
    </r>
    <r>
      <rPr>
        <b/>
        <sz val="11"/>
        <color rgb="FF1B48DB"/>
        <rFont val="宋体"/>
        <charset val="134"/>
      </rPr>
      <t>填列）</t>
    </r>
  </si>
  <si>
    <r>
      <rPr>
        <b/>
        <sz val="11"/>
        <color rgb="FF1B48DB"/>
        <rFont val="宋体"/>
        <charset val="134"/>
      </rPr>
      <t>四、净利润（净亏损以</t>
    </r>
    <r>
      <rPr>
        <b/>
        <sz val="11"/>
        <color rgb="FF1B48DB"/>
        <rFont val="Arial"/>
        <charset val="134"/>
      </rPr>
      <t>“-”</t>
    </r>
    <r>
      <rPr>
        <b/>
        <sz val="11"/>
        <color rgb="FF1B48DB"/>
        <rFont val="宋体"/>
        <charset val="134"/>
      </rPr>
      <t>填列）</t>
    </r>
  </si>
  <si>
    <t>五、每股收益：</t>
  </si>
  <si>
    <t>（一）基本每股收益</t>
  </si>
  <si>
    <t>（二）稀释每股收益</t>
  </si>
  <si>
    <r>
      <rPr>
        <b/>
        <sz val="16"/>
        <color indexed="8"/>
        <rFont val="宋体"/>
        <charset val="134"/>
      </rPr>
      <t>资产负债表</t>
    </r>
  </si>
  <si>
    <r>
      <rPr>
        <sz val="10"/>
        <color indexed="8"/>
        <rFont val="宋体"/>
        <charset val="134"/>
      </rPr>
      <t>制表单位</t>
    </r>
    <r>
      <rPr>
        <sz val="10"/>
        <color indexed="8"/>
        <rFont val="Arial"/>
        <charset val="134"/>
      </rPr>
      <t>:</t>
    </r>
    <r>
      <rPr>
        <sz val="10"/>
        <color indexed="8"/>
        <rFont val="宋体"/>
        <charset val="134"/>
      </rPr>
      <t>无锡飞而康新材料科技有限公司</t>
    </r>
  </si>
  <si>
    <r>
      <rPr>
        <sz val="10"/>
        <color indexed="8"/>
        <rFont val="宋体"/>
        <charset val="134"/>
      </rPr>
      <t>单位</t>
    </r>
    <r>
      <rPr>
        <sz val="10"/>
        <color indexed="8"/>
        <rFont val="Arial"/>
        <charset val="134"/>
      </rPr>
      <t>:</t>
    </r>
  </si>
  <si>
    <r>
      <rPr>
        <b/>
        <sz val="11"/>
        <rFont val="宋体"/>
        <charset val="134"/>
      </rPr>
      <t>项</t>
    </r>
    <r>
      <rPr>
        <b/>
        <sz val="11"/>
        <rFont val="Arial"/>
        <charset val="134"/>
      </rPr>
      <t xml:space="preserve">       </t>
    </r>
    <r>
      <rPr>
        <b/>
        <sz val="11"/>
        <rFont val="宋体"/>
        <charset val="134"/>
      </rPr>
      <t>目</t>
    </r>
  </si>
  <si>
    <r>
      <rPr>
        <sz val="11"/>
        <color theme="1"/>
        <rFont val="Arial"/>
        <charset val="134"/>
      </rPr>
      <t>10</t>
    </r>
    <r>
      <rPr>
        <sz val="11"/>
        <color theme="1"/>
        <rFont val="宋体"/>
        <charset val="134"/>
      </rPr>
      <t>月发生</t>
    </r>
  </si>
  <si>
    <r>
      <rPr>
        <sz val="11"/>
        <color theme="1"/>
        <rFont val="Arial"/>
        <charset val="134"/>
      </rPr>
      <t>10</t>
    </r>
    <r>
      <rPr>
        <sz val="11"/>
        <color theme="1"/>
        <rFont val="宋体"/>
        <charset val="134"/>
      </rPr>
      <t>月累计</t>
    </r>
  </si>
  <si>
    <r>
      <rPr>
        <sz val="11"/>
        <rFont val="Arial"/>
        <charset val="134"/>
      </rPr>
      <t xml:space="preserve">      </t>
    </r>
    <r>
      <rPr>
        <sz val="11"/>
        <rFont val="宋体"/>
        <charset val="134"/>
      </rPr>
      <t>其中：利息费用</t>
    </r>
  </si>
  <si>
    <r>
      <rPr>
        <sz val="11"/>
        <rFont val="Arial"/>
        <charset val="134"/>
      </rPr>
      <t xml:space="preserve">                </t>
    </r>
    <r>
      <rPr>
        <sz val="11"/>
        <rFont val="宋体"/>
        <charset val="134"/>
      </rPr>
      <t>利息收入</t>
    </r>
  </si>
  <si>
    <r>
      <rPr>
        <sz val="11"/>
        <rFont val="Arial"/>
        <charset val="134"/>
      </rPr>
      <t xml:space="preserve">      </t>
    </r>
    <r>
      <rPr>
        <sz val="11"/>
        <rFont val="宋体"/>
        <charset val="134"/>
      </rPr>
      <t>其中：对联营企业和合营企业的投资收益</t>
    </r>
  </si>
  <si>
    <r>
      <rPr>
        <sz val="11"/>
        <rFont val="Arial"/>
        <charset val="134"/>
      </rPr>
      <t xml:space="preserve">            </t>
    </r>
    <r>
      <rPr>
        <sz val="11"/>
        <rFont val="宋体"/>
        <charset val="134"/>
      </rPr>
      <t>以摊余成本计量的金融资产终止确认收益</t>
    </r>
    <r>
      <rPr>
        <sz val="11"/>
        <rFont val="Arial"/>
        <charset val="134"/>
      </rPr>
      <t>(</t>
    </r>
    <r>
      <rPr>
        <sz val="11"/>
        <rFont val="宋体"/>
        <charset val="134"/>
      </rPr>
      <t>损失以</t>
    </r>
    <r>
      <rPr>
        <sz val="11"/>
        <rFont val="Arial"/>
        <charset val="134"/>
      </rPr>
      <t>"</t>
    </r>
    <r>
      <rPr>
        <sz val="11"/>
        <rFont val="宋体"/>
        <charset val="134"/>
      </rPr>
      <t>－</t>
    </r>
    <r>
      <rPr>
        <sz val="11"/>
        <rFont val="Arial"/>
        <charset val="134"/>
      </rPr>
      <t>"</t>
    </r>
    <r>
      <rPr>
        <sz val="11"/>
        <rFont val="宋体"/>
        <charset val="134"/>
      </rPr>
      <t>号填列）</t>
    </r>
  </si>
  <si>
    <r>
      <rPr>
        <sz val="11"/>
        <rFont val="Arial"/>
        <charset val="134"/>
      </rPr>
      <t xml:space="preserve">    </t>
    </r>
    <r>
      <rPr>
        <sz val="11"/>
        <rFont val="宋体"/>
        <charset val="134"/>
      </rPr>
      <t>净敞口套期收益（损失以</t>
    </r>
    <r>
      <rPr>
        <sz val="11"/>
        <rFont val="Arial"/>
        <charset val="134"/>
      </rPr>
      <t>"</t>
    </r>
    <r>
      <rPr>
        <sz val="11"/>
        <rFont val="宋体"/>
        <charset val="134"/>
      </rPr>
      <t>－</t>
    </r>
    <r>
      <rPr>
        <sz val="11"/>
        <rFont val="Arial"/>
        <charset val="134"/>
      </rPr>
      <t>"</t>
    </r>
    <r>
      <rPr>
        <sz val="11"/>
        <rFont val="宋体"/>
        <charset val="134"/>
      </rPr>
      <t>号填列）</t>
    </r>
    <r>
      <rPr>
        <sz val="11"/>
        <rFont val="Arial"/>
        <charset val="134"/>
      </rPr>
      <t xml:space="preserve"> </t>
    </r>
  </si>
  <si>
    <r>
      <rPr>
        <b/>
        <sz val="11"/>
        <rFont val="宋体"/>
        <charset val="134"/>
      </rPr>
      <t>二、营业利润</t>
    </r>
    <r>
      <rPr>
        <b/>
        <sz val="11"/>
        <rFont val="Arial"/>
        <charset val="134"/>
      </rPr>
      <t>(</t>
    </r>
    <r>
      <rPr>
        <b/>
        <sz val="11"/>
        <rFont val="宋体"/>
        <charset val="134"/>
      </rPr>
      <t>亏损以</t>
    </r>
    <r>
      <rPr>
        <b/>
        <sz val="11"/>
        <rFont val="Arial"/>
        <charset val="134"/>
      </rPr>
      <t>"</t>
    </r>
    <r>
      <rPr>
        <b/>
        <sz val="11"/>
        <rFont val="宋体"/>
        <charset val="134"/>
      </rPr>
      <t>－</t>
    </r>
    <r>
      <rPr>
        <b/>
        <sz val="11"/>
        <rFont val="Arial"/>
        <charset val="134"/>
      </rPr>
      <t>"</t>
    </r>
    <r>
      <rPr>
        <b/>
        <sz val="11"/>
        <rFont val="宋体"/>
        <charset val="134"/>
      </rPr>
      <t>填列</t>
    </r>
    <r>
      <rPr>
        <b/>
        <sz val="11"/>
        <rFont val="Arial"/>
        <charset val="134"/>
      </rPr>
      <t>)</t>
    </r>
  </si>
  <si>
    <r>
      <rPr>
        <b/>
        <sz val="11"/>
        <rFont val="宋体"/>
        <charset val="134"/>
      </rPr>
      <t>三、利润总额</t>
    </r>
    <r>
      <rPr>
        <b/>
        <sz val="11"/>
        <rFont val="Arial"/>
        <charset val="134"/>
      </rPr>
      <t>(</t>
    </r>
    <r>
      <rPr>
        <b/>
        <sz val="11"/>
        <rFont val="宋体"/>
        <charset val="134"/>
      </rPr>
      <t>亏损以</t>
    </r>
    <r>
      <rPr>
        <b/>
        <sz val="11"/>
        <rFont val="Arial"/>
        <charset val="134"/>
      </rPr>
      <t>"</t>
    </r>
    <r>
      <rPr>
        <b/>
        <sz val="11"/>
        <rFont val="宋体"/>
        <charset val="134"/>
      </rPr>
      <t>－</t>
    </r>
    <r>
      <rPr>
        <b/>
        <sz val="11"/>
        <rFont val="Arial"/>
        <charset val="134"/>
      </rPr>
      <t>"</t>
    </r>
    <r>
      <rPr>
        <b/>
        <sz val="11"/>
        <rFont val="宋体"/>
        <charset val="134"/>
      </rPr>
      <t>填列</t>
    </r>
    <r>
      <rPr>
        <b/>
        <sz val="11"/>
        <rFont val="Arial"/>
        <charset val="134"/>
      </rPr>
      <t>)</t>
    </r>
  </si>
  <si>
    <r>
      <rPr>
        <b/>
        <sz val="11"/>
        <rFont val="宋体"/>
        <charset val="134"/>
      </rPr>
      <t>四、净利润</t>
    </r>
    <r>
      <rPr>
        <b/>
        <sz val="11"/>
        <rFont val="Arial"/>
        <charset val="134"/>
      </rPr>
      <t>(</t>
    </r>
    <r>
      <rPr>
        <b/>
        <sz val="11"/>
        <rFont val="宋体"/>
        <charset val="134"/>
      </rPr>
      <t>净亏损以</t>
    </r>
    <r>
      <rPr>
        <b/>
        <sz val="11"/>
        <rFont val="Arial"/>
        <charset val="134"/>
      </rPr>
      <t>"</t>
    </r>
    <r>
      <rPr>
        <b/>
        <sz val="11"/>
        <rFont val="宋体"/>
        <charset val="134"/>
      </rPr>
      <t>－</t>
    </r>
    <r>
      <rPr>
        <b/>
        <sz val="11"/>
        <rFont val="Arial"/>
        <charset val="134"/>
      </rPr>
      <t>"</t>
    </r>
    <r>
      <rPr>
        <b/>
        <sz val="11"/>
        <rFont val="宋体"/>
        <charset val="134"/>
      </rPr>
      <t>填列</t>
    </r>
    <r>
      <rPr>
        <b/>
        <sz val="11"/>
        <rFont val="Arial"/>
        <charset val="134"/>
      </rPr>
      <t>)</t>
    </r>
  </si>
  <si>
    <r>
      <rPr>
        <sz val="11"/>
        <rFont val="Arial"/>
        <charset val="134"/>
      </rPr>
      <t xml:space="preserve">    1.</t>
    </r>
    <r>
      <rPr>
        <sz val="11"/>
        <rFont val="宋体"/>
        <charset val="134"/>
      </rPr>
      <t>持续经营净利润（净亏损以</t>
    </r>
    <r>
      <rPr>
        <sz val="11"/>
        <rFont val="Arial"/>
        <charset val="134"/>
      </rPr>
      <t>"-"</t>
    </r>
    <r>
      <rPr>
        <sz val="11"/>
        <rFont val="宋体"/>
        <charset val="134"/>
      </rPr>
      <t>号填列）</t>
    </r>
  </si>
  <si>
    <r>
      <rPr>
        <sz val="11"/>
        <rFont val="Arial"/>
        <charset val="134"/>
      </rPr>
      <t xml:space="preserve">    2.</t>
    </r>
    <r>
      <rPr>
        <sz val="11"/>
        <rFont val="宋体"/>
        <charset val="134"/>
      </rPr>
      <t>终止经营净利润（净亏损以</t>
    </r>
    <r>
      <rPr>
        <sz val="11"/>
        <rFont val="Arial"/>
        <charset val="134"/>
      </rPr>
      <t>"-"</t>
    </r>
    <r>
      <rPr>
        <sz val="11"/>
        <rFont val="宋体"/>
        <charset val="134"/>
      </rPr>
      <t>号填列）</t>
    </r>
  </si>
  <si>
    <r>
      <rPr>
        <sz val="11"/>
        <rFont val="Arial"/>
        <charset val="134"/>
      </rPr>
      <t xml:space="preserve">    1.</t>
    </r>
    <r>
      <rPr>
        <sz val="11"/>
        <rFont val="宋体"/>
        <charset val="134"/>
      </rPr>
      <t>归属于母公司所有者的净利润（净亏损以</t>
    </r>
    <r>
      <rPr>
        <sz val="11"/>
        <rFont val="Arial"/>
        <charset val="134"/>
      </rPr>
      <t>"-"</t>
    </r>
    <r>
      <rPr>
        <sz val="11"/>
        <rFont val="宋体"/>
        <charset val="134"/>
      </rPr>
      <t>号填列）</t>
    </r>
  </si>
  <si>
    <r>
      <rPr>
        <sz val="11"/>
        <rFont val="Arial"/>
        <charset val="134"/>
      </rPr>
      <t xml:space="preserve">    2.</t>
    </r>
    <r>
      <rPr>
        <sz val="11"/>
        <rFont val="宋体"/>
        <charset val="134"/>
      </rPr>
      <t>少数股东损益（净亏损以</t>
    </r>
    <r>
      <rPr>
        <sz val="11"/>
        <rFont val="Arial"/>
        <charset val="134"/>
      </rPr>
      <t>"-"</t>
    </r>
    <r>
      <rPr>
        <sz val="11"/>
        <rFont val="宋体"/>
        <charset val="134"/>
      </rPr>
      <t>号填列）</t>
    </r>
  </si>
  <si>
    <r>
      <rPr>
        <sz val="11"/>
        <rFont val="Arial"/>
        <charset val="134"/>
      </rPr>
      <t xml:space="preserve">    </t>
    </r>
    <r>
      <rPr>
        <sz val="11"/>
        <rFont val="宋体"/>
        <charset val="134"/>
      </rPr>
      <t>归属于母公司所有者的其他综合收益税后净额</t>
    </r>
  </si>
  <si>
    <r>
      <rPr>
        <sz val="11"/>
        <rFont val="Arial"/>
        <charset val="134"/>
      </rPr>
      <t xml:space="preserve">    1.</t>
    </r>
    <r>
      <rPr>
        <sz val="11"/>
        <rFont val="宋体"/>
        <charset val="134"/>
      </rPr>
      <t>重新计量设定受益计划变动额</t>
    </r>
  </si>
  <si>
    <r>
      <rPr>
        <sz val="11"/>
        <rFont val="Arial"/>
        <charset val="134"/>
      </rPr>
      <t xml:space="preserve">    2.</t>
    </r>
    <r>
      <rPr>
        <sz val="11"/>
        <rFont val="宋体"/>
        <charset val="134"/>
      </rPr>
      <t>权益法下不能转损益的其他综合收益</t>
    </r>
  </si>
  <si>
    <r>
      <rPr>
        <sz val="11"/>
        <rFont val="Arial"/>
        <charset val="134"/>
      </rPr>
      <t xml:space="preserve">    3.</t>
    </r>
    <r>
      <rPr>
        <sz val="11"/>
        <rFont val="宋体"/>
        <charset val="134"/>
      </rPr>
      <t>其他权益工具投资公允价值变动</t>
    </r>
    <r>
      <rPr>
        <sz val="11"/>
        <rFont val="Arial"/>
        <charset val="134"/>
      </rPr>
      <t xml:space="preserve"> </t>
    </r>
  </si>
  <si>
    <r>
      <rPr>
        <sz val="11"/>
        <rFont val="Arial"/>
        <charset val="134"/>
      </rPr>
      <t xml:space="preserve">    4.</t>
    </r>
    <r>
      <rPr>
        <sz val="11"/>
        <rFont val="宋体"/>
        <charset val="134"/>
      </rPr>
      <t>企业自身信用风险公允价值变动</t>
    </r>
    <r>
      <rPr>
        <sz val="11"/>
        <rFont val="Arial"/>
        <charset val="134"/>
      </rPr>
      <t xml:space="preserve"> </t>
    </r>
  </si>
  <si>
    <r>
      <rPr>
        <sz val="11"/>
        <rFont val="Arial"/>
        <charset val="134"/>
      </rPr>
      <t xml:space="preserve">    1.</t>
    </r>
    <r>
      <rPr>
        <sz val="11"/>
        <rFont val="宋体"/>
        <charset val="134"/>
      </rPr>
      <t>权益法下可转损益的其他综合收益</t>
    </r>
  </si>
  <si>
    <r>
      <rPr>
        <sz val="11"/>
        <rFont val="Arial"/>
        <charset val="134"/>
      </rPr>
      <t xml:space="preserve">    2.</t>
    </r>
    <r>
      <rPr>
        <sz val="11"/>
        <rFont val="宋体"/>
        <charset val="134"/>
      </rPr>
      <t>可供出售金融资产公允价值变动损益</t>
    </r>
  </si>
  <si>
    <r>
      <rPr>
        <sz val="11"/>
        <rFont val="Arial"/>
        <charset val="134"/>
      </rPr>
      <t xml:space="preserve">    3.</t>
    </r>
    <r>
      <rPr>
        <sz val="11"/>
        <rFont val="宋体"/>
        <charset val="134"/>
      </rPr>
      <t>持有至到期投资重分类为可供出售金融资产损益</t>
    </r>
  </si>
  <si>
    <r>
      <rPr>
        <sz val="11"/>
        <rFont val="Arial"/>
        <charset val="134"/>
      </rPr>
      <t xml:space="preserve">    4.</t>
    </r>
    <r>
      <rPr>
        <sz val="11"/>
        <rFont val="宋体"/>
        <charset val="134"/>
      </rPr>
      <t>现金流量套期损益的有效部分</t>
    </r>
  </si>
  <si>
    <r>
      <rPr>
        <sz val="11"/>
        <rFont val="Arial"/>
        <charset val="134"/>
      </rPr>
      <t xml:space="preserve">    5.</t>
    </r>
    <r>
      <rPr>
        <sz val="11"/>
        <rFont val="宋体"/>
        <charset val="134"/>
      </rPr>
      <t>其他债权投资公允价值变动</t>
    </r>
  </si>
  <si>
    <r>
      <rPr>
        <sz val="11"/>
        <rFont val="Arial"/>
        <charset val="134"/>
      </rPr>
      <t xml:space="preserve">    6.</t>
    </r>
    <r>
      <rPr>
        <sz val="11"/>
        <rFont val="宋体"/>
        <charset val="134"/>
      </rPr>
      <t>金融资产重分类计入其他综合收益的金额</t>
    </r>
    <r>
      <rPr>
        <sz val="11"/>
        <rFont val="Arial"/>
        <charset val="134"/>
      </rPr>
      <t xml:space="preserve"> </t>
    </r>
  </si>
  <si>
    <r>
      <rPr>
        <sz val="11"/>
        <rFont val="Arial"/>
        <charset val="134"/>
      </rPr>
      <t xml:space="preserve">    7.</t>
    </r>
    <r>
      <rPr>
        <sz val="11"/>
        <rFont val="宋体"/>
        <charset val="134"/>
      </rPr>
      <t>其他债权投资信用减值准备</t>
    </r>
  </si>
  <si>
    <r>
      <rPr>
        <sz val="11"/>
        <rFont val="Arial"/>
        <charset val="134"/>
      </rPr>
      <t xml:space="preserve">    8.</t>
    </r>
    <r>
      <rPr>
        <sz val="11"/>
        <rFont val="宋体"/>
        <charset val="134"/>
      </rPr>
      <t>现金流量套期储备</t>
    </r>
    <r>
      <rPr>
        <sz val="11"/>
        <rFont val="Arial"/>
        <charset val="134"/>
      </rPr>
      <t xml:space="preserve"> </t>
    </r>
  </si>
  <si>
    <r>
      <rPr>
        <sz val="11"/>
        <rFont val="Arial"/>
        <charset val="134"/>
      </rPr>
      <t xml:space="preserve">    8.</t>
    </r>
    <r>
      <rPr>
        <sz val="11"/>
        <rFont val="宋体"/>
        <charset val="134"/>
      </rPr>
      <t>外币财务报表折算差额</t>
    </r>
  </si>
  <si>
    <r>
      <rPr>
        <sz val="11"/>
        <rFont val="Arial"/>
        <charset val="134"/>
      </rPr>
      <t xml:space="preserve">    9.</t>
    </r>
    <r>
      <rPr>
        <sz val="11"/>
        <rFont val="宋体"/>
        <charset val="134"/>
      </rPr>
      <t>其他</t>
    </r>
    <r>
      <rPr>
        <sz val="11"/>
        <rFont val="Arial"/>
        <charset val="134"/>
      </rPr>
      <t xml:space="preserve"> </t>
    </r>
  </si>
  <si>
    <r>
      <rPr>
        <sz val="11"/>
        <rFont val="Arial"/>
        <charset val="134"/>
      </rPr>
      <t xml:space="preserve">    </t>
    </r>
    <r>
      <rPr>
        <sz val="11"/>
        <rFont val="宋体"/>
        <charset val="134"/>
      </rPr>
      <t>归属于少数股东的其他综合收益税后净额</t>
    </r>
  </si>
  <si>
    <r>
      <rPr>
        <sz val="11"/>
        <rFont val="Arial"/>
        <charset val="134"/>
      </rPr>
      <t xml:space="preserve">    </t>
    </r>
    <r>
      <rPr>
        <sz val="11"/>
        <rFont val="宋体"/>
        <charset val="134"/>
      </rPr>
      <t>归属于母公司所有者的综合收益总额</t>
    </r>
  </si>
  <si>
    <r>
      <rPr>
        <sz val="11"/>
        <rFont val="Arial"/>
        <charset val="134"/>
      </rPr>
      <t xml:space="preserve">    </t>
    </r>
    <r>
      <rPr>
        <sz val="11"/>
        <rFont val="宋体"/>
        <charset val="134"/>
      </rPr>
      <t>归属于少数股东的综合收益总额</t>
    </r>
  </si>
  <si>
    <r>
      <rPr>
        <sz val="11"/>
        <rFont val="Arial"/>
        <charset val="134"/>
      </rPr>
      <t xml:space="preserve">    (</t>
    </r>
    <r>
      <rPr>
        <sz val="11"/>
        <rFont val="宋体"/>
        <charset val="134"/>
      </rPr>
      <t>一</t>
    </r>
    <r>
      <rPr>
        <sz val="11"/>
        <rFont val="Arial"/>
        <charset val="134"/>
      </rPr>
      <t>)</t>
    </r>
    <r>
      <rPr>
        <sz val="11"/>
        <rFont val="宋体"/>
        <charset val="134"/>
      </rPr>
      <t>、基本每股收益</t>
    </r>
  </si>
  <si>
    <r>
      <rPr>
        <sz val="11"/>
        <rFont val="Arial"/>
        <charset val="134"/>
      </rPr>
      <t xml:space="preserve">    (</t>
    </r>
    <r>
      <rPr>
        <sz val="11"/>
        <rFont val="宋体"/>
        <charset val="134"/>
      </rPr>
      <t>二</t>
    </r>
    <r>
      <rPr>
        <sz val="11"/>
        <rFont val="Arial"/>
        <charset val="134"/>
      </rPr>
      <t>)</t>
    </r>
    <r>
      <rPr>
        <sz val="11"/>
        <rFont val="宋体"/>
        <charset val="134"/>
      </rPr>
      <t>、稀释每股收益</t>
    </r>
  </si>
  <si>
    <r>
      <rPr>
        <sz val="10"/>
        <color rgb="FF000000"/>
        <rFont val="华文楷体"/>
        <charset val="134"/>
      </rPr>
      <t>报告日期：</t>
    </r>
  </si>
  <si>
    <r>
      <rPr>
        <sz val="10"/>
        <color rgb="FF000000"/>
        <rFont val="华文楷体"/>
        <charset val="134"/>
      </rPr>
      <t>会企</t>
    </r>
    <r>
      <rPr>
        <sz val="10"/>
        <color rgb="FF000000"/>
        <rFont val="Times New Roman"/>
        <charset val="134"/>
      </rPr>
      <t>01</t>
    </r>
    <r>
      <rPr>
        <sz val="10"/>
        <color rgb="FF000000"/>
        <rFont val="华文楷体"/>
        <charset val="134"/>
      </rPr>
      <t>表</t>
    </r>
  </si>
  <si>
    <r>
      <rPr>
        <sz val="10"/>
        <color rgb="FF000000"/>
        <rFont val="华文楷体"/>
        <charset val="134"/>
      </rPr>
      <t>编制单位：</t>
    </r>
  </si>
  <si>
    <t>无锡飞而康新材料科技有限公司</t>
  </si>
  <si>
    <r>
      <rPr>
        <sz val="10"/>
        <color rgb="FF000000"/>
        <rFont val="华文楷体"/>
        <charset val="134"/>
      </rPr>
      <t>单位：元</t>
    </r>
  </si>
  <si>
    <r>
      <rPr>
        <b/>
        <sz val="10"/>
        <color rgb="FF000000"/>
        <rFont val="华文楷体"/>
        <charset val="134"/>
      </rPr>
      <t>资产</t>
    </r>
  </si>
  <si>
    <r>
      <rPr>
        <b/>
        <sz val="10"/>
        <color rgb="FF000000"/>
        <rFont val="华文楷体"/>
        <charset val="134"/>
      </rPr>
      <t>行次</t>
    </r>
  </si>
  <si>
    <r>
      <rPr>
        <b/>
        <sz val="10"/>
        <color rgb="FF000000"/>
        <rFont val="华文楷体"/>
        <charset val="134"/>
      </rPr>
      <t>年初数</t>
    </r>
  </si>
  <si>
    <r>
      <rPr>
        <b/>
        <sz val="10"/>
        <color rgb="FF000000"/>
        <rFont val="华文楷体"/>
        <charset val="134"/>
      </rPr>
      <t>本期数</t>
    </r>
  </si>
  <si>
    <r>
      <rPr>
        <b/>
        <sz val="10"/>
        <color rgb="FF000000"/>
        <rFont val="华文楷体"/>
        <charset val="134"/>
      </rPr>
      <t>负债和所有者权益（或股东权益）</t>
    </r>
  </si>
  <si>
    <r>
      <rPr>
        <b/>
        <sz val="10"/>
        <color rgb="FF000000"/>
        <rFont val="楷体_GB2312"/>
        <charset val="134"/>
      </rPr>
      <t>流动资产：</t>
    </r>
  </si>
  <si>
    <r>
      <rPr>
        <b/>
        <sz val="10"/>
        <color rgb="FF000000"/>
        <rFont val="楷体_GB2312"/>
        <charset val="134"/>
      </rPr>
      <t>流动负债：</t>
    </r>
  </si>
  <si>
    <r>
      <rPr>
        <sz val="10"/>
        <color rgb="FF000000"/>
        <rFont val="楷体_GB2312"/>
        <charset val="134"/>
      </rPr>
      <t>货币资金</t>
    </r>
  </si>
  <si>
    <r>
      <rPr>
        <sz val="10"/>
        <color rgb="FF000000"/>
        <rFont val="楷体_GB2312"/>
        <charset val="134"/>
      </rPr>
      <t>短期借款</t>
    </r>
  </si>
  <si>
    <r>
      <rPr>
        <sz val="10"/>
        <color rgb="FF000000"/>
        <rFont val="楷体_GB2312"/>
        <charset val="134"/>
      </rPr>
      <t>其中：银行存款</t>
    </r>
  </si>
  <si>
    <r>
      <rPr>
        <sz val="10"/>
        <color rgb="FF000000"/>
        <rFont val="楷体_GB2312"/>
        <charset val="134"/>
      </rPr>
      <t>交易性金融负债</t>
    </r>
  </si>
  <si>
    <r>
      <rPr>
        <sz val="10"/>
        <color rgb="FF000000"/>
        <rFont val="宋体"/>
        <charset val="134"/>
      </rPr>
      <t>其他货币资金</t>
    </r>
  </si>
  <si>
    <r>
      <rPr>
        <sz val="10"/>
        <color rgb="FF000000"/>
        <rFont val="楷体_GB2312"/>
        <charset val="134"/>
      </rPr>
      <t>应付票据</t>
    </r>
  </si>
  <si>
    <r>
      <rPr>
        <sz val="10"/>
        <color rgb="FF000000"/>
        <rFont val="楷体_GB2312"/>
        <charset val="134"/>
      </rPr>
      <t>交易性金融资产</t>
    </r>
  </si>
  <si>
    <r>
      <rPr>
        <sz val="10"/>
        <color rgb="FF000000"/>
        <rFont val="楷体_GB2312"/>
        <charset val="134"/>
      </rPr>
      <t>应付账款</t>
    </r>
  </si>
  <si>
    <r>
      <rPr>
        <sz val="10"/>
        <color rgb="FF000000"/>
        <rFont val="楷体_GB2312"/>
        <charset val="134"/>
      </rPr>
      <t>应收票据</t>
    </r>
  </si>
  <si>
    <r>
      <rPr>
        <sz val="10"/>
        <color rgb="FF000000"/>
        <rFont val="楷体_GB2312"/>
        <charset val="134"/>
      </rPr>
      <t>预收款项</t>
    </r>
  </si>
  <si>
    <r>
      <rPr>
        <sz val="10"/>
        <color rgb="FF000000"/>
        <rFont val="楷体_GB2312"/>
        <charset val="134"/>
      </rPr>
      <t>应收账款</t>
    </r>
  </si>
  <si>
    <r>
      <rPr>
        <sz val="10"/>
        <color rgb="FF000000"/>
        <rFont val="等线"/>
        <charset val="134"/>
      </rPr>
      <t>合同负债</t>
    </r>
  </si>
  <si>
    <r>
      <rPr>
        <sz val="10"/>
        <color rgb="FF000000"/>
        <rFont val="楷体_GB2312"/>
        <charset val="134"/>
      </rPr>
      <t>预付款项</t>
    </r>
  </si>
  <si>
    <r>
      <rPr>
        <sz val="10"/>
        <color rgb="FF000000"/>
        <rFont val="楷体_GB2312"/>
        <charset val="134"/>
      </rPr>
      <t>应付职工薪酬</t>
    </r>
  </si>
  <si>
    <r>
      <rPr>
        <sz val="10"/>
        <color rgb="FF000000"/>
        <rFont val="楷体_GB2312"/>
        <charset val="134"/>
      </rPr>
      <t>应收利息</t>
    </r>
  </si>
  <si>
    <r>
      <rPr>
        <sz val="10"/>
        <color rgb="FF000000"/>
        <rFont val="楷体_GB2312"/>
        <charset val="134"/>
      </rPr>
      <t>应交税费</t>
    </r>
  </si>
  <si>
    <r>
      <rPr>
        <sz val="10"/>
        <color rgb="FF000000"/>
        <rFont val="楷体_GB2312"/>
        <charset val="134"/>
      </rPr>
      <t>应收股利</t>
    </r>
  </si>
  <si>
    <r>
      <rPr>
        <sz val="10"/>
        <color rgb="FF000000"/>
        <rFont val="楷体_GB2312"/>
        <charset val="134"/>
      </rPr>
      <t>应付利息</t>
    </r>
  </si>
  <si>
    <r>
      <rPr>
        <sz val="10"/>
        <color rgb="FF000000"/>
        <rFont val="楷体_GB2312"/>
        <charset val="134"/>
      </rPr>
      <t>其他应收款</t>
    </r>
  </si>
  <si>
    <r>
      <rPr>
        <sz val="10"/>
        <color rgb="FF000000"/>
        <rFont val="等线"/>
        <charset val="134"/>
      </rPr>
      <t>应付股利</t>
    </r>
  </si>
  <si>
    <r>
      <rPr>
        <sz val="10"/>
        <color rgb="FF000000"/>
        <rFont val="楷体_GB2312"/>
        <charset val="134"/>
      </rPr>
      <t>存货</t>
    </r>
  </si>
  <si>
    <r>
      <rPr>
        <sz val="10"/>
        <color rgb="FF000000"/>
        <rFont val="楷体_GB2312"/>
        <charset val="134"/>
      </rPr>
      <t>其他应付款</t>
    </r>
  </si>
  <si>
    <r>
      <rPr>
        <sz val="10"/>
        <color rgb="FF000000"/>
        <rFont val="楷体_GB2312"/>
        <charset val="134"/>
      </rPr>
      <t>其中</t>
    </r>
    <r>
      <rPr>
        <sz val="10"/>
        <color rgb="FF000000"/>
        <rFont val="Times New Roman"/>
        <charset val="134"/>
      </rPr>
      <t>:</t>
    </r>
    <r>
      <rPr>
        <sz val="10"/>
        <color rgb="FF000000"/>
        <rFont val="楷体_GB2312"/>
        <charset val="134"/>
      </rPr>
      <t>库存材料</t>
    </r>
  </si>
  <si>
    <r>
      <rPr>
        <sz val="10"/>
        <color rgb="FF000000"/>
        <rFont val="楷体_GB2312"/>
        <charset val="134"/>
      </rPr>
      <t>一年内到期的非流动负债</t>
    </r>
  </si>
  <si>
    <t>统计产值</t>
  </si>
  <si>
    <r>
      <rPr>
        <sz val="10"/>
        <color rgb="FF000000"/>
        <rFont val="宋体"/>
        <charset val="134"/>
      </rPr>
      <t>在产品及自制半成品</t>
    </r>
  </si>
  <si>
    <r>
      <rPr>
        <sz val="10"/>
        <color rgb="FF000000"/>
        <rFont val="楷体_GB2312"/>
        <charset val="134"/>
      </rPr>
      <t>其他流动负债</t>
    </r>
  </si>
  <si>
    <r>
      <rPr>
        <sz val="10"/>
        <color rgb="FF000000"/>
        <rFont val="宋体"/>
        <charset val="134"/>
      </rPr>
      <t>产成品</t>
    </r>
    <r>
      <rPr>
        <sz val="10"/>
        <color rgb="FF000000"/>
        <rFont val="Times New Roman"/>
        <charset val="134"/>
      </rPr>
      <t>(</t>
    </r>
    <r>
      <rPr>
        <sz val="10"/>
        <color rgb="FF000000"/>
        <rFont val="宋体"/>
        <charset val="134"/>
      </rPr>
      <t>库存商品</t>
    </r>
    <r>
      <rPr>
        <sz val="10"/>
        <color rgb="FF000000"/>
        <rFont val="Times New Roman"/>
        <charset val="134"/>
      </rPr>
      <t>)</t>
    </r>
  </si>
  <si>
    <r>
      <rPr>
        <sz val="10"/>
        <color theme="1"/>
        <rFont val="宋体"/>
        <charset val="134"/>
      </rPr>
      <t>在产品产值</t>
    </r>
  </si>
  <si>
    <r>
      <rPr>
        <sz val="10"/>
        <color rgb="FF000000"/>
        <rFont val="宋体"/>
        <charset val="134"/>
      </rPr>
      <t>周转材料</t>
    </r>
  </si>
  <si>
    <r>
      <rPr>
        <sz val="10"/>
        <color theme="1"/>
        <rFont val="宋体"/>
        <charset val="134"/>
      </rPr>
      <t>产品产值</t>
    </r>
  </si>
  <si>
    <r>
      <rPr>
        <sz val="10"/>
        <color rgb="FF000000"/>
        <rFont val="宋体"/>
        <charset val="134"/>
      </rPr>
      <t>待摊费用</t>
    </r>
  </si>
  <si>
    <r>
      <rPr>
        <sz val="10"/>
        <color theme="1"/>
        <rFont val="宋体"/>
        <charset val="134"/>
      </rPr>
      <t>总产值</t>
    </r>
  </si>
  <si>
    <r>
      <rPr>
        <sz val="10"/>
        <color rgb="FF000000"/>
        <rFont val="楷体_GB2312"/>
        <charset val="134"/>
      </rPr>
      <t>合同资产</t>
    </r>
  </si>
  <si>
    <r>
      <rPr>
        <b/>
        <sz val="10"/>
        <color rgb="FF0000FF"/>
        <rFont val="楷体_GB2312"/>
        <charset val="134"/>
      </rPr>
      <t>流动负债合计</t>
    </r>
  </si>
  <si>
    <r>
      <rPr>
        <sz val="10"/>
        <color rgb="FF000000"/>
        <rFont val="楷体_GB2312"/>
        <charset val="134"/>
      </rPr>
      <t>一年内到期的非流动资产</t>
    </r>
  </si>
  <si>
    <r>
      <rPr>
        <b/>
        <sz val="10"/>
        <color rgb="FF000000"/>
        <rFont val="楷体_GB2312"/>
        <charset val="134"/>
      </rPr>
      <t>非流动负债：</t>
    </r>
  </si>
  <si>
    <r>
      <rPr>
        <sz val="10"/>
        <color rgb="FF000000"/>
        <rFont val="楷体_GB2312"/>
        <charset val="134"/>
      </rPr>
      <t>其他流动资产</t>
    </r>
  </si>
  <si>
    <r>
      <rPr>
        <sz val="10"/>
        <color rgb="FF000000"/>
        <rFont val="楷体_GB2312"/>
        <charset val="134"/>
      </rPr>
      <t>长期借款</t>
    </r>
  </si>
  <si>
    <r>
      <rPr>
        <b/>
        <sz val="10"/>
        <color rgb="FF0000FF"/>
        <rFont val="楷体_GB2312"/>
        <charset val="134"/>
      </rPr>
      <t>流动资产合计</t>
    </r>
  </si>
  <si>
    <r>
      <rPr>
        <sz val="10"/>
        <color rgb="FF000000"/>
        <rFont val="楷体_GB2312"/>
        <charset val="134"/>
      </rPr>
      <t>应付债券</t>
    </r>
  </si>
  <si>
    <r>
      <rPr>
        <b/>
        <sz val="10"/>
        <color rgb="FF000000"/>
        <rFont val="楷体_GB2312"/>
        <charset val="134"/>
      </rPr>
      <t>非流动资产：</t>
    </r>
  </si>
  <si>
    <r>
      <rPr>
        <sz val="10"/>
        <color rgb="FF000000"/>
        <rFont val="楷体_GB2312"/>
        <charset val="134"/>
      </rPr>
      <t>长期应付款</t>
    </r>
  </si>
  <si>
    <r>
      <rPr>
        <sz val="10"/>
        <color rgb="FF000000"/>
        <rFont val="楷体_GB2312"/>
        <charset val="134"/>
      </rPr>
      <t>可供出售金融资产</t>
    </r>
  </si>
  <si>
    <r>
      <rPr>
        <sz val="10"/>
        <color rgb="FF000000"/>
        <rFont val="楷体_GB2312"/>
        <charset val="134"/>
      </rPr>
      <t>专项应付款</t>
    </r>
  </si>
  <si>
    <r>
      <rPr>
        <sz val="10"/>
        <color rgb="FF000000"/>
        <rFont val="楷体_GB2312"/>
        <charset val="134"/>
      </rPr>
      <t>持有至到期投资</t>
    </r>
  </si>
  <si>
    <r>
      <rPr>
        <sz val="10"/>
        <color rgb="FF000000"/>
        <rFont val="楷体_GB2312"/>
        <charset val="134"/>
      </rPr>
      <t>预计负债</t>
    </r>
  </si>
  <si>
    <r>
      <rPr>
        <sz val="10"/>
        <color rgb="FF000000"/>
        <rFont val="楷体_GB2312"/>
        <charset val="134"/>
      </rPr>
      <t>长期应收款</t>
    </r>
  </si>
  <si>
    <r>
      <rPr>
        <sz val="10"/>
        <color rgb="FF000000"/>
        <rFont val="等线"/>
        <charset val="134"/>
      </rPr>
      <t>递延收益</t>
    </r>
  </si>
  <si>
    <r>
      <rPr>
        <sz val="10"/>
        <color rgb="FF000000"/>
        <rFont val="楷体_GB2312"/>
        <charset val="134"/>
      </rPr>
      <t>长期股权投资</t>
    </r>
  </si>
  <si>
    <r>
      <rPr>
        <sz val="10"/>
        <color rgb="FF000000"/>
        <rFont val="楷体_GB2312"/>
        <charset val="134"/>
      </rPr>
      <t>递延所得税负债</t>
    </r>
  </si>
  <si>
    <r>
      <rPr>
        <sz val="10"/>
        <color rgb="FF000000"/>
        <rFont val="楷体_GB2312"/>
        <charset val="134"/>
      </rPr>
      <t>投资性房地产</t>
    </r>
  </si>
  <si>
    <r>
      <rPr>
        <sz val="10"/>
        <color rgb="FF000000"/>
        <rFont val="楷体_GB2312"/>
        <charset val="134"/>
      </rPr>
      <t>其他非流动负债</t>
    </r>
  </si>
  <si>
    <r>
      <rPr>
        <sz val="10"/>
        <color rgb="FF000000"/>
        <rFont val="楷体_GB2312"/>
        <charset val="134"/>
      </rPr>
      <t>固定资产</t>
    </r>
  </si>
  <si>
    <r>
      <rPr>
        <b/>
        <sz val="10"/>
        <color rgb="FF0000FF"/>
        <rFont val="楷体_GB2312"/>
        <charset val="134"/>
      </rPr>
      <t>非流动负债合计</t>
    </r>
  </si>
  <si>
    <r>
      <rPr>
        <sz val="10"/>
        <color rgb="FF000000"/>
        <rFont val="楷体_GB2312"/>
        <charset val="134"/>
      </rPr>
      <t>减</t>
    </r>
    <r>
      <rPr>
        <sz val="10"/>
        <color rgb="FF000000"/>
        <rFont val="Times New Roman"/>
        <charset val="134"/>
      </rPr>
      <t>:</t>
    </r>
    <r>
      <rPr>
        <sz val="10"/>
        <color rgb="FF000000"/>
        <rFont val="楷体_GB2312"/>
        <charset val="134"/>
      </rPr>
      <t>累计折旧</t>
    </r>
  </si>
  <si>
    <r>
      <rPr>
        <b/>
        <sz val="10"/>
        <color rgb="FF0000FF"/>
        <rFont val="楷体_GB2312"/>
        <charset val="134"/>
      </rPr>
      <t>负债合计</t>
    </r>
  </si>
  <si>
    <r>
      <rPr>
        <sz val="10"/>
        <color rgb="FF000000"/>
        <rFont val="宋体"/>
        <charset val="134"/>
      </rPr>
      <t>固定资产净值</t>
    </r>
  </si>
  <si>
    <r>
      <rPr>
        <sz val="10"/>
        <color rgb="FF000000"/>
        <rFont val="楷体_GB2312"/>
        <charset val="134"/>
      </rPr>
      <t>所有者权益（或股东权益）：</t>
    </r>
  </si>
  <si>
    <r>
      <rPr>
        <sz val="10"/>
        <color rgb="FF000000"/>
        <rFont val="楷体_GB2312"/>
        <charset val="134"/>
      </rPr>
      <t>在建工程</t>
    </r>
  </si>
  <si>
    <r>
      <rPr>
        <sz val="10"/>
        <color rgb="FF000000"/>
        <rFont val="楷体_GB2312"/>
        <charset val="134"/>
      </rPr>
      <t>实收资本（或股本）</t>
    </r>
  </si>
  <si>
    <r>
      <rPr>
        <sz val="10"/>
        <color rgb="FF000000"/>
        <rFont val="楷体_GB2312"/>
        <charset val="134"/>
      </rPr>
      <t>工程物资</t>
    </r>
  </si>
  <si>
    <r>
      <rPr>
        <sz val="10"/>
        <color rgb="FF000000"/>
        <rFont val="楷体_GB2312"/>
        <charset val="134"/>
      </rPr>
      <t>资本公积</t>
    </r>
  </si>
  <si>
    <r>
      <rPr>
        <sz val="10"/>
        <color rgb="FF000000"/>
        <rFont val="楷体_GB2312"/>
        <charset val="134"/>
      </rPr>
      <t>固定资产清理</t>
    </r>
  </si>
  <si>
    <r>
      <rPr>
        <sz val="10"/>
        <color rgb="FF000000"/>
        <rFont val="楷体_GB2312"/>
        <charset val="134"/>
      </rPr>
      <t>减：库存股</t>
    </r>
  </si>
  <si>
    <r>
      <rPr>
        <sz val="10"/>
        <color rgb="FF000000"/>
        <rFont val="楷体_GB2312"/>
        <charset val="134"/>
      </rPr>
      <t>生产性生物资产</t>
    </r>
  </si>
  <si>
    <r>
      <rPr>
        <sz val="10"/>
        <color rgb="FF000000"/>
        <rFont val="楷体_GB2312"/>
        <charset val="134"/>
      </rPr>
      <t>盈余公积</t>
    </r>
  </si>
  <si>
    <r>
      <rPr>
        <sz val="10"/>
        <color rgb="FF000000"/>
        <rFont val="楷体_GB2312"/>
        <charset val="134"/>
      </rPr>
      <t>油气资产</t>
    </r>
  </si>
  <si>
    <r>
      <rPr>
        <sz val="10"/>
        <color rgb="FF000000"/>
        <rFont val="楷体_GB2312"/>
        <charset val="134"/>
      </rPr>
      <t>未分配利润</t>
    </r>
  </si>
  <si>
    <r>
      <rPr>
        <sz val="10"/>
        <color rgb="FF000000"/>
        <rFont val="楷体_GB2312"/>
        <charset val="134"/>
      </rPr>
      <t>无形资产</t>
    </r>
  </si>
  <si>
    <r>
      <rPr>
        <b/>
        <sz val="10"/>
        <color rgb="FF0000FF"/>
        <rFont val="宋体"/>
        <charset val="134"/>
      </rPr>
      <t>所有者权益（或股东权益）合计</t>
    </r>
  </si>
  <si>
    <r>
      <rPr>
        <sz val="10"/>
        <color rgb="FF000000"/>
        <rFont val="楷体_GB2312"/>
        <charset val="134"/>
      </rPr>
      <t>开发支出</t>
    </r>
  </si>
  <si>
    <r>
      <rPr>
        <sz val="10"/>
        <color rgb="FF000000"/>
        <rFont val="楷体_GB2312"/>
        <charset val="134"/>
      </rPr>
      <t>商誉</t>
    </r>
  </si>
  <si>
    <r>
      <rPr>
        <sz val="10"/>
        <color rgb="FF000000"/>
        <rFont val="楷体_GB2312"/>
        <charset val="134"/>
      </rPr>
      <t>长期待摊费用</t>
    </r>
  </si>
  <si>
    <r>
      <rPr>
        <sz val="10"/>
        <color rgb="FF000000"/>
        <rFont val="楷体_GB2312"/>
        <charset val="134"/>
      </rPr>
      <t>递延所得税资产</t>
    </r>
  </si>
  <si>
    <r>
      <rPr>
        <sz val="10"/>
        <color rgb="FF000000"/>
        <rFont val="楷体_GB2312"/>
        <charset val="134"/>
      </rPr>
      <t>其他非流动资产</t>
    </r>
  </si>
  <si>
    <r>
      <rPr>
        <b/>
        <sz val="10"/>
        <color rgb="FF0000FF"/>
        <rFont val="楷体_GB2312"/>
        <charset val="134"/>
      </rPr>
      <t>非流动资产合计</t>
    </r>
  </si>
  <si>
    <r>
      <rPr>
        <b/>
        <sz val="10"/>
        <color rgb="FF0000FF"/>
        <rFont val="楷体_GB2312"/>
        <charset val="134"/>
      </rPr>
      <t>资产总计</t>
    </r>
  </si>
  <si>
    <r>
      <rPr>
        <b/>
        <sz val="10"/>
        <color rgb="FF0000FF"/>
        <rFont val="楷体_GB2312"/>
        <charset val="134"/>
      </rPr>
      <t>负债和所有者权益（或股东权益）合计</t>
    </r>
  </si>
  <si>
    <r>
      <rPr>
        <sz val="10"/>
        <color rgb="FF000000"/>
        <rFont val="华文楷体"/>
        <charset val="134"/>
      </rPr>
      <t>负债和所有者权益（或股东权益）</t>
    </r>
  </si>
  <si>
    <r>
      <rPr>
        <sz val="10"/>
        <color rgb="FF000000"/>
        <rFont val="宋体"/>
        <charset val="134"/>
      </rPr>
      <t>行次</t>
    </r>
  </si>
  <si>
    <r>
      <rPr>
        <sz val="10"/>
        <color rgb="FF000000"/>
        <rFont val="宋体"/>
        <charset val="134"/>
      </rPr>
      <t>年初数</t>
    </r>
  </si>
  <si>
    <r>
      <rPr>
        <sz val="10"/>
        <color rgb="FF000000"/>
        <rFont val="华文楷体"/>
        <charset val="134"/>
      </rPr>
      <t>本期数</t>
    </r>
  </si>
  <si>
    <r>
      <rPr>
        <sz val="10"/>
        <color rgb="FF000000"/>
        <rFont val="华文楷体"/>
        <charset val="134"/>
      </rPr>
      <t>会计机构负责人：</t>
    </r>
  </si>
  <si>
    <r>
      <rPr>
        <sz val="10"/>
        <color theme="1"/>
        <rFont val="宋体"/>
        <charset val="134"/>
      </rPr>
      <t>流动负债：</t>
    </r>
  </si>
  <si>
    <r>
      <rPr>
        <sz val="10"/>
        <color theme="1"/>
        <rFont val="宋体"/>
        <charset val="134"/>
      </rPr>
      <t>短期借款</t>
    </r>
  </si>
  <si>
    <r>
      <rPr>
        <sz val="10"/>
        <color theme="1"/>
        <rFont val="宋体"/>
        <charset val="134"/>
      </rPr>
      <t>交易性金融负债</t>
    </r>
  </si>
  <si>
    <r>
      <rPr>
        <sz val="10"/>
        <color theme="1"/>
        <rFont val="宋体"/>
        <charset val="134"/>
      </rPr>
      <t>应付票据</t>
    </r>
  </si>
  <si>
    <r>
      <rPr>
        <sz val="10"/>
        <color theme="1"/>
        <rFont val="宋体"/>
        <charset val="134"/>
      </rPr>
      <t>应付账款</t>
    </r>
  </si>
  <si>
    <r>
      <rPr>
        <sz val="10"/>
        <color theme="1"/>
        <rFont val="宋体"/>
        <charset val="134"/>
      </rPr>
      <t>预收款项</t>
    </r>
  </si>
  <si>
    <r>
      <rPr>
        <sz val="10"/>
        <color theme="1"/>
        <rFont val="宋体"/>
        <charset val="134"/>
      </rPr>
      <t>合同负债</t>
    </r>
  </si>
  <si>
    <r>
      <rPr>
        <sz val="10"/>
        <color theme="1"/>
        <rFont val="宋体"/>
        <charset val="134"/>
      </rPr>
      <t>应付职工薪酬</t>
    </r>
  </si>
  <si>
    <r>
      <rPr>
        <sz val="10"/>
        <color theme="1"/>
        <rFont val="宋体"/>
        <charset val="134"/>
      </rPr>
      <t>应交税费</t>
    </r>
  </si>
  <si>
    <r>
      <rPr>
        <sz val="10"/>
        <color theme="1"/>
        <rFont val="宋体"/>
        <charset val="134"/>
      </rPr>
      <t>应付利息</t>
    </r>
  </si>
  <si>
    <r>
      <rPr>
        <sz val="10"/>
        <color theme="1"/>
        <rFont val="宋体"/>
        <charset val="134"/>
      </rPr>
      <t>应付股利</t>
    </r>
  </si>
  <si>
    <r>
      <rPr>
        <sz val="10"/>
        <color theme="1"/>
        <rFont val="宋体"/>
        <charset val="134"/>
      </rPr>
      <t>其他应付款</t>
    </r>
  </si>
  <si>
    <r>
      <rPr>
        <sz val="10"/>
        <color theme="1"/>
        <rFont val="宋体"/>
        <charset val="134"/>
      </rPr>
      <t>一年内到期的非流动负债</t>
    </r>
  </si>
  <si>
    <r>
      <rPr>
        <sz val="10"/>
        <color theme="1"/>
        <rFont val="宋体"/>
        <charset val="134"/>
      </rPr>
      <t>其他流动负债</t>
    </r>
  </si>
  <si>
    <r>
      <rPr>
        <sz val="10"/>
        <color theme="1"/>
        <rFont val="宋体"/>
        <charset val="134"/>
      </rPr>
      <t>流动负债合计</t>
    </r>
  </si>
  <si>
    <r>
      <rPr>
        <sz val="10"/>
        <color theme="1"/>
        <rFont val="宋体"/>
        <charset val="134"/>
      </rPr>
      <t>非流动负债：</t>
    </r>
  </si>
  <si>
    <r>
      <rPr>
        <sz val="10"/>
        <color theme="1"/>
        <rFont val="宋体"/>
        <charset val="134"/>
      </rPr>
      <t>长期借款</t>
    </r>
  </si>
  <si>
    <r>
      <rPr>
        <sz val="10"/>
        <color theme="1"/>
        <rFont val="宋体"/>
        <charset val="134"/>
      </rPr>
      <t>应付债券</t>
    </r>
  </si>
  <si>
    <r>
      <rPr>
        <sz val="10"/>
        <color theme="1"/>
        <rFont val="宋体"/>
        <charset val="134"/>
      </rPr>
      <t>长期应付款</t>
    </r>
  </si>
  <si>
    <r>
      <rPr>
        <sz val="10"/>
        <color theme="1"/>
        <rFont val="宋体"/>
        <charset val="134"/>
      </rPr>
      <t>专项应付款</t>
    </r>
  </si>
  <si>
    <r>
      <rPr>
        <sz val="10"/>
        <color theme="1"/>
        <rFont val="宋体"/>
        <charset val="134"/>
      </rPr>
      <t>预计负债</t>
    </r>
  </si>
  <si>
    <r>
      <rPr>
        <sz val="10"/>
        <color theme="1"/>
        <rFont val="宋体"/>
        <charset val="134"/>
      </rPr>
      <t>递延收益</t>
    </r>
  </si>
  <si>
    <r>
      <rPr>
        <sz val="10"/>
        <color theme="1"/>
        <rFont val="宋体"/>
        <charset val="134"/>
      </rPr>
      <t>递延所得税负债</t>
    </r>
  </si>
  <si>
    <r>
      <rPr>
        <sz val="10"/>
        <color theme="1"/>
        <rFont val="宋体"/>
        <charset val="134"/>
      </rPr>
      <t>其他非流动负债</t>
    </r>
  </si>
  <si>
    <r>
      <rPr>
        <sz val="10"/>
        <color theme="1"/>
        <rFont val="宋体"/>
        <charset val="134"/>
      </rPr>
      <t>非流动负债合计</t>
    </r>
  </si>
  <si>
    <r>
      <rPr>
        <sz val="10"/>
        <color theme="1"/>
        <rFont val="宋体"/>
        <charset val="134"/>
      </rPr>
      <t>负债合计</t>
    </r>
  </si>
  <si>
    <r>
      <rPr>
        <sz val="10"/>
        <color theme="1"/>
        <rFont val="宋体"/>
        <charset val="134"/>
      </rPr>
      <t>所有者权益（或股东权益）：</t>
    </r>
  </si>
  <si>
    <r>
      <rPr>
        <sz val="10"/>
        <color theme="1"/>
        <rFont val="宋体"/>
        <charset val="134"/>
      </rPr>
      <t>实收资本（或股本）</t>
    </r>
  </si>
  <si>
    <r>
      <rPr>
        <sz val="10"/>
        <color theme="1"/>
        <rFont val="宋体"/>
        <charset val="134"/>
      </rPr>
      <t>资本公积</t>
    </r>
  </si>
  <si>
    <r>
      <rPr>
        <sz val="10"/>
        <color theme="1"/>
        <rFont val="宋体"/>
        <charset val="134"/>
      </rPr>
      <t>减：库存股</t>
    </r>
  </si>
  <si>
    <r>
      <rPr>
        <sz val="10"/>
        <color theme="1"/>
        <rFont val="宋体"/>
        <charset val="134"/>
      </rPr>
      <t>盈余公积</t>
    </r>
  </si>
  <si>
    <r>
      <rPr>
        <sz val="10"/>
        <color theme="1"/>
        <rFont val="宋体"/>
        <charset val="134"/>
      </rPr>
      <t>未分配利润</t>
    </r>
  </si>
  <si>
    <r>
      <rPr>
        <sz val="10"/>
        <color theme="1"/>
        <rFont val="宋体"/>
        <charset val="134"/>
      </rPr>
      <t>所有者权益（或股东权益）合计</t>
    </r>
  </si>
  <si>
    <r>
      <rPr>
        <sz val="10"/>
        <color theme="1"/>
        <rFont val="宋体"/>
        <charset val="134"/>
      </rPr>
      <t>负债和所有者权益（或股东权益）合计</t>
    </r>
  </si>
  <si>
    <r>
      <rPr>
        <sz val="22"/>
        <color rgb="FF000000"/>
        <rFont val="华文中宋"/>
        <charset val="134"/>
      </rPr>
      <t>利润表</t>
    </r>
  </si>
  <si>
    <t>报告日期：</t>
  </si>
  <si>
    <r>
      <rPr>
        <sz val="10"/>
        <color rgb="FF000000"/>
        <rFont val="华文楷体"/>
        <charset val="134"/>
      </rPr>
      <t>会企</t>
    </r>
    <r>
      <rPr>
        <sz val="10"/>
        <color rgb="FF000000"/>
        <rFont val="Times New Roman"/>
        <charset val="134"/>
      </rPr>
      <t>02</t>
    </r>
    <r>
      <rPr>
        <sz val="10"/>
        <color rgb="FF000000"/>
        <rFont val="华文楷体"/>
        <charset val="134"/>
      </rPr>
      <t>表</t>
    </r>
  </si>
  <si>
    <t>编制单位：</t>
  </si>
  <si>
    <r>
      <rPr>
        <sz val="10"/>
        <color theme="1"/>
        <rFont val="Times New Roman"/>
        <charset val="134"/>
      </rPr>
      <t>2410</t>
    </r>
    <r>
      <rPr>
        <sz val="10"/>
        <color theme="1"/>
        <rFont val="宋体"/>
        <charset val="134"/>
      </rPr>
      <t>金额</t>
    </r>
  </si>
  <si>
    <r>
      <rPr>
        <sz val="10"/>
        <color rgb="FF000000"/>
        <rFont val="Times New Roman"/>
        <charset val="134"/>
      </rPr>
      <t>2410</t>
    </r>
    <r>
      <rPr>
        <sz val="10"/>
        <color rgb="FF000000"/>
        <rFont val="宋体"/>
        <charset val="134"/>
      </rPr>
      <t>本年累计金额</t>
    </r>
  </si>
  <si>
    <t>简单加总</t>
  </si>
  <si>
    <r>
      <rPr>
        <sz val="10"/>
        <color theme="1"/>
        <rFont val="宋体"/>
        <charset val="134"/>
      </rPr>
      <t>快速</t>
    </r>
    <r>
      <rPr>
        <sz val="10"/>
        <color theme="1"/>
        <rFont val="Times New Roman"/>
        <charset val="134"/>
      </rPr>
      <t>&amp;</t>
    </r>
    <r>
      <rPr>
        <sz val="10"/>
        <color theme="1"/>
        <rFont val="宋体"/>
        <charset val="134"/>
      </rPr>
      <t>新材料关联交易</t>
    </r>
  </si>
  <si>
    <t>当月</t>
  </si>
  <si>
    <t>当年</t>
  </si>
  <si>
    <t>此笔存货跌价，基于评估报告的公允价值是不成立的</t>
  </si>
  <si>
    <t>新材料单体无需补提此笔存货跌价</t>
  </si>
  <si>
    <r>
      <rPr>
        <sz val="10"/>
        <color rgb="FF000000"/>
        <rFont val="楷体_GB2312"/>
        <charset val="134"/>
      </rPr>
      <t>加：公允价值变动收益（损失以</t>
    </r>
    <r>
      <rPr>
        <sz val="10"/>
        <color rgb="FF000000"/>
        <rFont val="Times New Roman"/>
        <charset val="134"/>
      </rPr>
      <t>“-”</t>
    </r>
    <r>
      <rPr>
        <sz val="10"/>
        <color rgb="FF000000"/>
        <rFont val="楷体_GB2312"/>
        <charset val="134"/>
      </rPr>
      <t>号填列）</t>
    </r>
  </si>
  <si>
    <r>
      <rPr>
        <sz val="10"/>
        <color rgb="FF000000"/>
        <rFont val="楷体_GB2312"/>
        <charset val="134"/>
      </rPr>
      <t>投资收益（损失以</t>
    </r>
    <r>
      <rPr>
        <sz val="10"/>
        <color rgb="FF000000"/>
        <rFont val="Times New Roman"/>
        <charset val="134"/>
      </rPr>
      <t>“-”</t>
    </r>
    <r>
      <rPr>
        <sz val="10"/>
        <color rgb="FF000000"/>
        <rFont val="楷体_GB2312"/>
        <charset val="134"/>
      </rPr>
      <t>号填列）</t>
    </r>
  </si>
  <si>
    <r>
      <rPr>
        <b/>
        <sz val="10"/>
        <color rgb="FF0000FF"/>
        <rFont val="楷体_GB2312"/>
        <charset val="134"/>
      </rPr>
      <t>二、营业利润（亏损以</t>
    </r>
    <r>
      <rPr>
        <b/>
        <sz val="10"/>
        <color rgb="FF0000FF"/>
        <rFont val="Times New Roman"/>
        <charset val="134"/>
      </rPr>
      <t>“-”</t>
    </r>
    <r>
      <rPr>
        <b/>
        <sz val="10"/>
        <color rgb="FF0000FF"/>
        <rFont val="楷体_GB2312"/>
        <charset val="134"/>
      </rPr>
      <t>填列）</t>
    </r>
  </si>
  <si>
    <r>
      <rPr>
        <b/>
        <sz val="10"/>
        <color rgb="FF0000FF"/>
        <rFont val="楷体_GB2312"/>
        <charset val="134"/>
      </rPr>
      <t>三、利润总额（亏损以</t>
    </r>
    <r>
      <rPr>
        <b/>
        <sz val="10"/>
        <color rgb="FF0000FF"/>
        <rFont val="Times New Roman"/>
        <charset val="134"/>
      </rPr>
      <t>“-”</t>
    </r>
    <r>
      <rPr>
        <b/>
        <sz val="10"/>
        <color rgb="FF0000FF"/>
        <rFont val="楷体_GB2312"/>
        <charset val="134"/>
      </rPr>
      <t>填列）</t>
    </r>
  </si>
  <si>
    <r>
      <rPr>
        <b/>
        <sz val="10"/>
        <color rgb="FF0000FF"/>
        <rFont val="楷体_GB2312"/>
        <charset val="134"/>
      </rPr>
      <t>四、净利润（净亏损以</t>
    </r>
    <r>
      <rPr>
        <b/>
        <sz val="10"/>
        <color rgb="FF0000FF"/>
        <rFont val="Times New Roman"/>
        <charset val="134"/>
      </rPr>
      <t>“-”</t>
    </r>
    <r>
      <rPr>
        <b/>
        <sz val="10"/>
        <color rgb="FF0000FF"/>
        <rFont val="楷体_GB2312"/>
        <charset val="134"/>
      </rPr>
      <t>填列）</t>
    </r>
  </si>
  <si>
    <t>法定代表人：</t>
  </si>
  <si>
    <t>会计机构负责人：</t>
  </si>
  <si>
    <t>账簿：快速主账簿</t>
  </si>
  <si>
    <t>2502月起基于系统合并需求不再做应付预付并户</t>
  </si>
  <si>
    <t>2511长期借款</t>
  </si>
  <si>
    <t>2511一年内到期长期借款</t>
  </si>
  <si>
    <t>2511一年内到期长期应付款</t>
  </si>
  <si>
    <t>主营毛利</t>
  </si>
  <si>
    <t>其他毛利</t>
  </si>
  <si>
    <r>
      <rPr>
        <b/>
        <sz val="16"/>
        <color rgb="FF000000"/>
        <rFont val="华文中宋"/>
        <charset val="134"/>
      </rPr>
      <t>资产负债表</t>
    </r>
  </si>
  <si>
    <r>
      <rPr>
        <sz val="10"/>
        <color rgb="FF000000"/>
        <rFont val="华文楷体"/>
        <charset val="134"/>
      </rPr>
      <t>会企</t>
    </r>
    <r>
      <rPr>
        <sz val="10"/>
        <color rgb="FF000000"/>
        <rFont val="Arial"/>
        <charset val="134"/>
      </rPr>
      <t>01</t>
    </r>
    <r>
      <rPr>
        <sz val="10"/>
        <color rgb="FF000000"/>
        <rFont val="华文楷体"/>
        <charset val="134"/>
      </rPr>
      <t>表</t>
    </r>
  </si>
  <si>
    <t>2411应付预付并户</t>
  </si>
  <si>
    <t>2411长期借款</t>
  </si>
  <si>
    <t>高新季报用</t>
  </si>
  <si>
    <r>
      <rPr>
        <sz val="10"/>
        <color rgb="FF000000"/>
        <rFont val="楷体_GB2312"/>
        <charset val="134"/>
      </rPr>
      <t>其中</t>
    </r>
    <r>
      <rPr>
        <sz val="10"/>
        <color rgb="FF000000"/>
        <rFont val="Arial"/>
        <charset val="134"/>
      </rPr>
      <t>:</t>
    </r>
    <r>
      <rPr>
        <sz val="10"/>
        <color rgb="FF000000"/>
        <rFont val="楷体_GB2312"/>
        <charset val="134"/>
      </rPr>
      <t>库存材料</t>
    </r>
  </si>
  <si>
    <t>扣除资产转移后实际产值</t>
  </si>
  <si>
    <t>产成品(库存商品)</t>
  </si>
  <si>
    <t>销售产值</t>
  </si>
  <si>
    <t>预估5月产值收入</t>
  </si>
  <si>
    <t>转移资产回调</t>
  </si>
  <si>
    <t>2406回调后</t>
  </si>
  <si>
    <t>其中:库存材料</t>
  </si>
  <si>
    <r>
      <rPr>
        <sz val="10"/>
        <color rgb="FF000000"/>
        <rFont val="楷体_GB2312"/>
        <charset val="134"/>
      </rPr>
      <t>减</t>
    </r>
    <r>
      <rPr>
        <sz val="10"/>
        <color rgb="FF000000"/>
        <rFont val="Arial"/>
        <charset val="134"/>
      </rPr>
      <t>:</t>
    </r>
    <r>
      <rPr>
        <sz val="10"/>
        <color rgb="FF000000"/>
        <rFont val="楷体_GB2312"/>
        <charset val="134"/>
      </rPr>
      <t>累计折旧</t>
    </r>
  </si>
  <si>
    <r>
      <rPr>
        <b/>
        <sz val="10"/>
        <color rgb="FF0000FF"/>
        <rFont val="楷体_GB2312"/>
        <charset val="134"/>
      </rPr>
      <t xml:space="preserve">  </t>
    </r>
    <r>
      <rPr>
        <b/>
        <sz val="10"/>
        <color rgb="FF0000FF"/>
        <rFont val="楷体_GB2312"/>
        <charset val="134"/>
      </rPr>
      <t>所有者权益（或股东权益）合计</t>
    </r>
  </si>
  <si>
    <t xml:space="preserve">  所有者权益（或股东权益）合计</t>
  </si>
  <si>
    <t>注意合并报表格式和导出报表差异</t>
  </si>
  <si>
    <t>2410本年累计金额</t>
  </si>
  <si>
    <t>加：公允价值变动收益（损失以“-”号填列）</t>
  </si>
  <si>
    <t>投资收益（损失以“-”号填列）</t>
  </si>
  <si>
    <t>二、营业利润（亏损以“-”填列）</t>
  </si>
  <si>
    <t>三、利润总额（亏损以“-”填列）</t>
  </si>
  <si>
    <t>四、净利润（净亏损以“-”填列）</t>
  </si>
  <si>
    <r>
      <rPr>
        <b/>
        <sz val="10"/>
        <color theme="1"/>
        <rFont val="宋体"/>
        <charset val="134"/>
      </rPr>
      <t>资产负债表</t>
    </r>
  </si>
  <si>
    <r>
      <rPr>
        <sz val="10"/>
        <color theme="1"/>
        <rFont val="宋体"/>
        <charset val="134"/>
      </rPr>
      <t>会企</t>
    </r>
    <r>
      <rPr>
        <sz val="10"/>
        <color theme="1"/>
        <rFont val="Times New Roman"/>
        <charset val="134"/>
      </rPr>
      <t>01</t>
    </r>
    <r>
      <rPr>
        <sz val="10"/>
        <color theme="1"/>
        <rFont val="宋体"/>
        <charset val="134"/>
      </rPr>
      <t>表</t>
    </r>
  </si>
  <si>
    <r>
      <rPr>
        <sz val="10"/>
        <color theme="1"/>
        <rFont val="宋体"/>
        <charset val="134"/>
      </rPr>
      <t>单位名称：无锡飞而康精铸工程有限公司</t>
    </r>
  </si>
  <si>
    <r>
      <rPr>
        <sz val="10"/>
        <color theme="1"/>
        <rFont val="宋体"/>
        <charset val="134"/>
      </rPr>
      <t>单位：元</t>
    </r>
  </si>
  <si>
    <r>
      <rPr>
        <sz val="10"/>
        <color theme="1"/>
        <rFont val="黑体"/>
        <charset val="134"/>
      </rPr>
      <t>资产</t>
    </r>
  </si>
  <si>
    <r>
      <rPr>
        <sz val="10"/>
        <color theme="1"/>
        <rFont val="黑体"/>
        <charset val="134"/>
      </rPr>
      <t>年初数</t>
    </r>
  </si>
  <si>
    <r>
      <rPr>
        <sz val="10"/>
        <color theme="1"/>
        <rFont val="黑体"/>
        <charset val="134"/>
      </rPr>
      <t>本期数</t>
    </r>
  </si>
  <si>
    <r>
      <rPr>
        <sz val="10"/>
        <color theme="1"/>
        <rFont val="黑体"/>
        <charset val="134"/>
      </rPr>
      <t>负债和所有者权益（或股东权益）</t>
    </r>
  </si>
  <si>
    <r>
      <rPr>
        <sz val="10"/>
        <color theme="1"/>
        <rFont val="宋体"/>
        <charset val="134"/>
      </rPr>
      <t>流动资产：</t>
    </r>
  </si>
  <si>
    <r>
      <rPr>
        <sz val="10"/>
        <color theme="1"/>
        <rFont val="宋体"/>
        <charset val="134"/>
      </rPr>
      <t>货币资金</t>
    </r>
  </si>
  <si>
    <r>
      <rPr>
        <sz val="10"/>
        <color theme="1"/>
        <rFont val="宋体"/>
        <charset val="134"/>
      </rPr>
      <t>其中：银行存款</t>
    </r>
  </si>
  <si>
    <r>
      <rPr>
        <sz val="10"/>
        <color theme="1"/>
        <rFont val="宋体"/>
        <charset val="134"/>
      </rPr>
      <t>其他货币资金</t>
    </r>
  </si>
  <si>
    <r>
      <rPr>
        <sz val="10"/>
        <color theme="1"/>
        <rFont val="宋体"/>
        <charset val="134"/>
      </rPr>
      <t>交易性金融资产</t>
    </r>
  </si>
  <si>
    <r>
      <rPr>
        <sz val="10"/>
        <color theme="1"/>
        <rFont val="宋体"/>
        <charset val="134"/>
      </rPr>
      <t>应收票据</t>
    </r>
  </si>
  <si>
    <r>
      <rPr>
        <sz val="10"/>
        <color theme="1"/>
        <rFont val="宋体"/>
        <charset val="134"/>
      </rPr>
      <t>应收账款</t>
    </r>
  </si>
  <si>
    <r>
      <rPr>
        <sz val="10"/>
        <color theme="1"/>
        <rFont val="宋体"/>
        <charset val="134"/>
      </rPr>
      <t>预付款项</t>
    </r>
  </si>
  <si>
    <r>
      <rPr>
        <sz val="10"/>
        <color theme="1"/>
        <rFont val="宋体"/>
        <charset val="134"/>
      </rPr>
      <t>应收利息</t>
    </r>
  </si>
  <si>
    <r>
      <rPr>
        <sz val="10"/>
        <color theme="1"/>
        <rFont val="宋体"/>
        <charset val="134"/>
      </rPr>
      <t>应收股利</t>
    </r>
  </si>
  <si>
    <r>
      <rPr>
        <sz val="10"/>
        <color theme="1"/>
        <rFont val="宋体"/>
        <charset val="134"/>
      </rPr>
      <t>其他应收款</t>
    </r>
  </si>
  <si>
    <r>
      <rPr>
        <sz val="10"/>
        <color rgb="FF000000"/>
        <rFont val="楷体_GB2312"/>
        <charset val="134"/>
      </rPr>
      <t>应付股利</t>
    </r>
  </si>
  <si>
    <r>
      <rPr>
        <sz val="10"/>
        <color theme="1"/>
        <rFont val="宋体"/>
        <charset val="134"/>
      </rPr>
      <t>存货</t>
    </r>
  </si>
  <si>
    <r>
      <rPr>
        <sz val="10"/>
        <color theme="1"/>
        <rFont val="宋体"/>
        <charset val="134"/>
      </rPr>
      <t>其中</t>
    </r>
    <r>
      <rPr>
        <sz val="10"/>
        <color theme="1"/>
        <rFont val="Times New Roman"/>
        <charset val="134"/>
      </rPr>
      <t>:</t>
    </r>
    <r>
      <rPr>
        <sz val="10"/>
        <color theme="1"/>
        <rFont val="宋体"/>
        <charset val="134"/>
      </rPr>
      <t>库存材料</t>
    </r>
  </si>
  <si>
    <r>
      <rPr>
        <sz val="10"/>
        <color theme="1"/>
        <rFont val="宋体"/>
        <charset val="134"/>
      </rPr>
      <t>在产品及自制半成品</t>
    </r>
  </si>
  <si>
    <r>
      <rPr>
        <sz val="10"/>
        <color theme="1"/>
        <rFont val="宋体"/>
        <charset val="134"/>
      </rPr>
      <t>产成品</t>
    </r>
    <r>
      <rPr>
        <sz val="10"/>
        <color theme="1"/>
        <rFont val="Times New Roman"/>
        <charset val="134"/>
      </rPr>
      <t>(</t>
    </r>
    <r>
      <rPr>
        <sz val="10"/>
        <color theme="1"/>
        <rFont val="宋体"/>
        <charset val="134"/>
      </rPr>
      <t>库存商品</t>
    </r>
    <r>
      <rPr>
        <sz val="10"/>
        <color theme="1"/>
        <rFont val="Times New Roman"/>
        <charset val="134"/>
      </rPr>
      <t>)</t>
    </r>
  </si>
  <si>
    <r>
      <rPr>
        <sz val="10"/>
        <color theme="1"/>
        <rFont val="宋体"/>
        <charset val="134"/>
      </rPr>
      <t>周转材料</t>
    </r>
  </si>
  <si>
    <r>
      <rPr>
        <sz val="10"/>
        <color theme="1"/>
        <rFont val="宋体"/>
        <charset val="134"/>
      </rPr>
      <t>待摊费用</t>
    </r>
  </si>
  <si>
    <r>
      <rPr>
        <sz val="10"/>
        <color theme="1"/>
        <rFont val="宋体"/>
        <charset val="134"/>
      </rPr>
      <t>合同资产</t>
    </r>
  </si>
  <si>
    <r>
      <rPr>
        <sz val="10"/>
        <color theme="1"/>
        <rFont val="宋体"/>
        <charset val="134"/>
      </rPr>
      <t>一年内到期的非流动资产</t>
    </r>
  </si>
  <si>
    <r>
      <rPr>
        <sz val="10"/>
        <color theme="1"/>
        <rFont val="宋体"/>
        <charset val="134"/>
      </rPr>
      <t>其他流动资产</t>
    </r>
  </si>
  <si>
    <r>
      <rPr>
        <b/>
        <sz val="10"/>
        <color rgb="FF1B48DB"/>
        <rFont val="宋体"/>
        <charset val="134"/>
      </rPr>
      <t>流动资产合计</t>
    </r>
  </si>
  <si>
    <r>
      <rPr>
        <sz val="10"/>
        <color theme="1"/>
        <rFont val="宋体"/>
        <charset val="134"/>
      </rPr>
      <t>非流动资产：</t>
    </r>
  </si>
  <si>
    <r>
      <rPr>
        <sz val="10"/>
        <color theme="1"/>
        <rFont val="宋体"/>
        <charset val="134"/>
      </rPr>
      <t>可供出售金融资产</t>
    </r>
  </si>
  <si>
    <r>
      <rPr>
        <sz val="10"/>
        <color theme="1"/>
        <rFont val="宋体"/>
        <charset val="134"/>
      </rPr>
      <t>持有至到期投资</t>
    </r>
  </si>
  <si>
    <r>
      <rPr>
        <sz val="10"/>
        <color theme="1"/>
        <rFont val="宋体"/>
        <charset val="134"/>
      </rPr>
      <t>长期应收款</t>
    </r>
  </si>
  <si>
    <r>
      <rPr>
        <sz val="10"/>
        <color theme="1"/>
        <rFont val="宋体"/>
        <charset val="134"/>
      </rPr>
      <t>长期股权投资</t>
    </r>
  </si>
  <si>
    <r>
      <rPr>
        <sz val="10"/>
        <color theme="1"/>
        <rFont val="宋体"/>
        <charset val="134"/>
      </rPr>
      <t>投资性房地产</t>
    </r>
  </si>
  <si>
    <r>
      <rPr>
        <sz val="10"/>
        <color theme="1"/>
        <rFont val="宋体"/>
        <charset val="134"/>
      </rPr>
      <t>固定资产</t>
    </r>
  </si>
  <si>
    <r>
      <rPr>
        <sz val="10"/>
        <color theme="1"/>
        <rFont val="宋体"/>
        <charset val="134"/>
      </rPr>
      <t>减</t>
    </r>
    <r>
      <rPr>
        <sz val="10"/>
        <color theme="1"/>
        <rFont val="Times New Roman"/>
        <charset val="134"/>
      </rPr>
      <t>:</t>
    </r>
    <r>
      <rPr>
        <sz val="10"/>
        <color theme="1"/>
        <rFont val="宋体"/>
        <charset val="134"/>
      </rPr>
      <t>累计折旧</t>
    </r>
  </si>
  <si>
    <r>
      <rPr>
        <sz val="10"/>
        <color theme="1"/>
        <rFont val="宋体"/>
        <charset val="134"/>
      </rPr>
      <t>固定资产净值</t>
    </r>
  </si>
  <si>
    <r>
      <rPr>
        <sz val="10"/>
        <color theme="1"/>
        <rFont val="宋体"/>
        <charset val="134"/>
      </rPr>
      <t>在建工程</t>
    </r>
  </si>
  <si>
    <r>
      <rPr>
        <sz val="10"/>
        <color theme="1"/>
        <rFont val="宋体"/>
        <charset val="134"/>
      </rPr>
      <t>工程物资</t>
    </r>
  </si>
  <si>
    <r>
      <rPr>
        <sz val="10"/>
        <color theme="1"/>
        <rFont val="宋体"/>
        <charset val="134"/>
      </rPr>
      <t>固定资产清理</t>
    </r>
  </si>
  <si>
    <r>
      <rPr>
        <sz val="10"/>
        <color theme="1"/>
        <rFont val="宋体"/>
        <charset val="134"/>
      </rPr>
      <t>生产性生物资产</t>
    </r>
  </si>
  <si>
    <r>
      <rPr>
        <sz val="10"/>
        <color theme="1"/>
        <rFont val="宋体"/>
        <charset val="134"/>
      </rPr>
      <t>油气资产</t>
    </r>
  </si>
  <si>
    <r>
      <rPr>
        <sz val="10"/>
        <color theme="1"/>
        <rFont val="宋体"/>
        <charset val="134"/>
      </rPr>
      <t>无形资产</t>
    </r>
  </si>
  <si>
    <r>
      <rPr>
        <sz val="10"/>
        <color theme="1"/>
        <rFont val="宋体"/>
        <charset val="134"/>
      </rPr>
      <t>开发支出</t>
    </r>
  </si>
  <si>
    <r>
      <rPr>
        <sz val="10"/>
        <color theme="1"/>
        <rFont val="宋体"/>
        <charset val="134"/>
      </rPr>
      <t>商誉</t>
    </r>
  </si>
  <si>
    <r>
      <rPr>
        <sz val="10"/>
        <color theme="1"/>
        <rFont val="宋体"/>
        <charset val="134"/>
      </rPr>
      <t>长期待摊费用</t>
    </r>
  </si>
  <si>
    <r>
      <rPr>
        <sz val="10"/>
        <color theme="1"/>
        <rFont val="宋体"/>
        <charset val="134"/>
      </rPr>
      <t>递延所得税资产</t>
    </r>
  </si>
  <si>
    <r>
      <rPr>
        <sz val="10"/>
        <color theme="1"/>
        <rFont val="宋体"/>
        <charset val="134"/>
      </rPr>
      <t>其他非流动资产</t>
    </r>
  </si>
  <si>
    <r>
      <rPr>
        <b/>
        <sz val="10"/>
        <color rgb="FF1B48DB"/>
        <rFont val="宋体"/>
        <charset val="134"/>
      </rPr>
      <t>非流动资产合计</t>
    </r>
  </si>
  <si>
    <r>
      <rPr>
        <b/>
        <sz val="10"/>
        <color rgb="FF1B48DB"/>
        <rFont val="宋体"/>
        <charset val="134"/>
      </rPr>
      <t>资产总计</t>
    </r>
  </si>
  <si>
    <r>
      <rPr>
        <sz val="10"/>
        <color theme="1"/>
        <rFont val="宋体"/>
        <charset val="134"/>
      </rPr>
      <t>负债和所有者权益（或股东权益）</t>
    </r>
  </si>
  <si>
    <r>
      <rPr>
        <sz val="10"/>
        <color theme="1"/>
        <rFont val="宋体"/>
        <charset val="134"/>
      </rPr>
      <t>年初数</t>
    </r>
  </si>
  <si>
    <r>
      <rPr>
        <sz val="10"/>
        <color theme="1"/>
        <rFont val="宋体"/>
        <charset val="134"/>
      </rPr>
      <t>本期数</t>
    </r>
  </si>
  <si>
    <r>
      <rPr>
        <b/>
        <sz val="18"/>
        <color rgb="FF000000"/>
        <rFont val="宋体"/>
        <charset val="134"/>
      </rPr>
      <t>利润表</t>
    </r>
  </si>
  <si>
    <r>
      <rPr>
        <sz val="10"/>
        <color rgb="FFFF0000"/>
        <rFont val="宋体"/>
        <charset val="134"/>
      </rPr>
      <t>会企</t>
    </r>
    <r>
      <rPr>
        <sz val="10"/>
        <color rgb="FFFF0000"/>
        <rFont val="Times New Roman"/>
        <charset val="134"/>
      </rPr>
      <t>02</t>
    </r>
    <r>
      <rPr>
        <sz val="10"/>
        <color rgb="FFFF0000"/>
        <rFont val="宋体"/>
        <charset val="134"/>
      </rPr>
      <t>表</t>
    </r>
  </si>
  <si>
    <r>
      <rPr>
        <sz val="11"/>
        <color rgb="FFFF0000"/>
        <rFont val="宋体"/>
        <charset val="134"/>
      </rPr>
      <t>制表单位</t>
    </r>
    <r>
      <rPr>
        <sz val="11"/>
        <color rgb="FFFF0000"/>
        <rFont val="Times New Roman"/>
        <charset val="134"/>
      </rPr>
      <t>:</t>
    </r>
    <r>
      <rPr>
        <sz val="11"/>
        <color rgb="FFFF0000"/>
        <rFont val="宋体"/>
        <charset val="134"/>
      </rPr>
      <t>飞而康热等静压技术（无锡）有限公司</t>
    </r>
  </si>
  <si>
    <r>
      <rPr>
        <sz val="11"/>
        <color theme="1"/>
        <rFont val="Times New Roman"/>
        <charset val="134"/>
      </rPr>
      <t>2410</t>
    </r>
    <r>
      <rPr>
        <sz val="11"/>
        <color theme="1"/>
        <rFont val="宋体"/>
        <charset val="134"/>
      </rPr>
      <t>金额</t>
    </r>
  </si>
  <si>
    <r>
      <rPr>
        <sz val="11"/>
        <color theme="1"/>
        <rFont val="Times New Roman"/>
        <charset val="134"/>
      </rPr>
      <t>2410</t>
    </r>
    <r>
      <rPr>
        <sz val="11"/>
        <color theme="1"/>
        <rFont val="宋体"/>
        <charset val="134"/>
      </rPr>
      <t>本年累计金额</t>
    </r>
  </si>
  <si>
    <r>
      <rPr>
        <sz val="11"/>
        <color rgb="FF000000"/>
        <rFont val="宋体"/>
        <charset val="134"/>
      </rPr>
      <t>加：公允价值变动收益（损失以</t>
    </r>
    <r>
      <rPr>
        <sz val="11"/>
        <color rgb="FF000000"/>
        <rFont val="Times New Roman"/>
        <charset val="134"/>
      </rPr>
      <t>“-”</t>
    </r>
    <r>
      <rPr>
        <sz val="11"/>
        <color rgb="FF000000"/>
        <rFont val="宋体"/>
        <charset val="134"/>
      </rPr>
      <t>号填列）</t>
    </r>
  </si>
  <si>
    <r>
      <rPr>
        <sz val="11"/>
        <color rgb="FF000000"/>
        <rFont val="宋体"/>
        <charset val="134"/>
      </rPr>
      <t>投资收益（损失以</t>
    </r>
    <r>
      <rPr>
        <sz val="11"/>
        <color rgb="FF000000"/>
        <rFont val="Times New Roman"/>
        <charset val="134"/>
      </rPr>
      <t>“-”</t>
    </r>
    <r>
      <rPr>
        <sz val="11"/>
        <color rgb="FF000000"/>
        <rFont val="宋体"/>
        <charset val="134"/>
      </rPr>
      <t>号填列）</t>
    </r>
  </si>
  <si>
    <r>
      <rPr>
        <b/>
        <sz val="11"/>
        <color rgb="FF1B48DB"/>
        <rFont val="宋体"/>
        <charset val="134"/>
      </rPr>
      <t>二、营业利润（亏损以</t>
    </r>
    <r>
      <rPr>
        <b/>
        <sz val="11"/>
        <color rgb="FF1B48DB"/>
        <rFont val="Times New Roman"/>
        <charset val="134"/>
      </rPr>
      <t>“-”</t>
    </r>
    <r>
      <rPr>
        <b/>
        <sz val="11"/>
        <color rgb="FF1B48DB"/>
        <rFont val="宋体"/>
        <charset val="134"/>
      </rPr>
      <t>填列）</t>
    </r>
  </si>
  <si>
    <r>
      <rPr>
        <b/>
        <sz val="11"/>
        <color rgb="FF1B48DB"/>
        <rFont val="宋体"/>
        <charset val="134"/>
      </rPr>
      <t>三、利润总额（亏损以</t>
    </r>
    <r>
      <rPr>
        <b/>
        <sz val="11"/>
        <color rgb="FF1B48DB"/>
        <rFont val="Times New Roman"/>
        <charset val="134"/>
      </rPr>
      <t>“-”</t>
    </r>
    <r>
      <rPr>
        <b/>
        <sz val="11"/>
        <color rgb="FF1B48DB"/>
        <rFont val="宋体"/>
        <charset val="134"/>
      </rPr>
      <t>填列）</t>
    </r>
  </si>
  <si>
    <r>
      <rPr>
        <b/>
        <sz val="11"/>
        <color rgb="FF1B48DB"/>
        <rFont val="宋体"/>
        <charset val="134"/>
      </rPr>
      <t>四、净利润（净亏损以</t>
    </r>
    <r>
      <rPr>
        <b/>
        <sz val="11"/>
        <color rgb="FF1B48DB"/>
        <rFont val="Times New Roman"/>
        <charset val="134"/>
      </rPr>
      <t>“-”</t>
    </r>
    <r>
      <rPr>
        <b/>
        <sz val="11"/>
        <color rgb="FF1B48DB"/>
        <rFont val="宋体"/>
        <charset val="134"/>
      </rPr>
      <t>填列）</t>
    </r>
  </si>
  <si>
    <r>
      <rPr>
        <sz val="10"/>
        <color indexed="8"/>
        <rFont val="宋体"/>
        <charset val="134"/>
      </rPr>
      <t>会企</t>
    </r>
    <r>
      <rPr>
        <sz val="10"/>
        <color indexed="8"/>
        <rFont val="Arial"/>
        <charset val="134"/>
      </rPr>
      <t>01</t>
    </r>
    <r>
      <rPr>
        <sz val="10"/>
        <color indexed="8"/>
        <rFont val="宋体"/>
        <charset val="134"/>
      </rPr>
      <t>表</t>
    </r>
  </si>
  <si>
    <r>
      <rPr>
        <sz val="10"/>
        <color indexed="8"/>
        <rFont val="宋体"/>
        <charset val="134"/>
      </rPr>
      <t>制表单位</t>
    </r>
    <r>
      <rPr>
        <sz val="10"/>
        <color indexed="8"/>
        <rFont val="Arial"/>
        <charset val="134"/>
      </rPr>
      <t>:</t>
    </r>
    <r>
      <rPr>
        <sz val="10"/>
        <color indexed="8"/>
        <rFont val="宋体"/>
        <charset val="134"/>
      </rPr>
      <t>飞而康热等静压技术（无锡）有限公司</t>
    </r>
  </si>
  <si>
    <r>
      <rPr>
        <sz val="10"/>
        <color indexed="8"/>
        <rFont val="宋体"/>
        <charset val="134"/>
      </rPr>
      <t>报表期间：</t>
    </r>
  </si>
  <si>
    <r>
      <rPr>
        <sz val="10"/>
        <color indexed="8"/>
        <rFont val="宋体"/>
        <charset val="134"/>
      </rPr>
      <t>人民币元</t>
    </r>
  </si>
  <si>
    <r>
      <rPr>
        <sz val="10"/>
        <color indexed="8"/>
        <rFont val="Arial"/>
        <charset val="134"/>
      </rPr>
      <t xml:space="preserve">  </t>
    </r>
    <r>
      <rPr>
        <sz val="10"/>
        <color indexed="8"/>
        <rFont val="宋体"/>
        <charset val="134"/>
      </rPr>
      <t>货币资金</t>
    </r>
  </si>
  <si>
    <r>
      <rPr>
        <sz val="10"/>
        <color indexed="8"/>
        <rFont val="Arial"/>
        <charset val="134"/>
      </rPr>
      <t xml:space="preserve">  </t>
    </r>
    <r>
      <rPr>
        <sz val="10"/>
        <color indexed="8"/>
        <rFont val="宋体"/>
        <charset val="134"/>
      </rPr>
      <t>其中：银行存款</t>
    </r>
  </si>
  <si>
    <r>
      <rPr>
        <sz val="10"/>
        <color indexed="8"/>
        <rFont val="Arial"/>
        <charset val="134"/>
      </rPr>
      <t xml:space="preserve">  </t>
    </r>
    <r>
      <rPr>
        <sz val="10"/>
        <color indexed="8"/>
        <rFont val="宋体"/>
        <charset val="134"/>
      </rPr>
      <t>其他货币资金</t>
    </r>
  </si>
  <si>
    <r>
      <rPr>
        <sz val="10"/>
        <color indexed="8"/>
        <rFont val="Arial"/>
        <charset val="134"/>
      </rPr>
      <t xml:space="preserve">  </t>
    </r>
    <r>
      <rPr>
        <sz val="10"/>
        <color indexed="8"/>
        <rFont val="宋体"/>
        <charset val="134"/>
      </rPr>
      <t>交易性金融资产</t>
    </r>
  </si>
  <si>
    <r>
      <rPr>
        <sz val="10"/>
        <color indexed="8"/>
        <rFont val="Arial"/>
        <charset val="134"/>
      </rPr>
      <t xml:space="preserve">  </t>
    </r>
    <r>
      <rPr>
        <sz val="10"/>
        <color indexed="8"/>
        <rFont val="宋体"/>
        <charset val="134"/>
      </rPr>
      <t>应收票据</t>
    </r>
  </si>
  <si>
    <r>
      <rPr>
        <sz val="10"/>
        <color indexed="8"/>
        <rFont val="Arial"/>
        <charset val="134"/>
      </rPr>
      <t xml:space="preserve">  </t>
    </r>
    <r>
      <rPr>
        <sz val="10"/>
        <color indexed="8"/>
        <rFont val="宋体"/>
        <charset val="134"/>
      </rPr>
      <t>应收账款</t>
    </r>
  </si>
  <si>
    <r>
      <rPr>
        <sz val="10"/>
        <color indexed="8"/>
        <rFont val="Arial"/>
        <charset val="134"/>
      </rPr>
      <t xml:space="preserve">  </t>
    </r>
    <r>
      <rPr>
        <sz val="10"/>
        <color indexed="8"/>
        <rFont val="宋体"/>
        <charset val="134"/>
      </rPr>
      <t>应收款项融资</t>
    </r>
  </si>
  <si>
    <r>
      <rPr>
        <sz val="10"/>
        <color indexed="8"/>
        <rFont val="Arial"/>
        <charset val="134"/>
      </rPr>
      <t xml:space="preserve">  </t>
    </r>
    <r>
      <rPr>
        <sz val="10"/>
        <color indexed="8"/>
        <rFont val="宋体"/>
        <charset val="134"/>
      </rPr>
      <t>预付款项</t>
    </r>
  </si>
  <si>
    <r>
      <rPr>
        <sz val="10"/>
        <color indexed="8"/>
        <rFont val="Arial"/>
        <charset val="134"/>
      </rPr>
      <t xml:space="preserve">  </t>
    </r>
    <r>
      <rPr>
        <sz val="10"/>
        <color indexed="8"/>
        <rFont val="宋体"/>
        <charset val="134"/>
      </rPr>
      <t>应收利息</t>
    </r>
  </si>
  <si>
    <r>
      <rPr>
        <sz val="10"/>
        <color indexed="8"/>
        <rFont val="Arial"/>
        <charset val="134"/>
      </rPr>
      <t xml:space="preserve">  </t>
    </r>
    <r>
      <rPr>
        <sz val="10"/>
        <color indexed="8"/>
        <rFont val="宋体"/>
        <charset val="134"/>
      </rPr>
      <t>应收股利</t>
    </r>
  </si>
  <si>
    <r>
      <rPr>
        <sz val="10"/>
        <color indexed="8"/>
        <rFont val="Arial"/>
        <charset val="134"/>
      </rPr>
      <t xml:space="preserve">  </t>
    </r>
    <r>
      <rPr>
        <sz val="10"/>
        <color indexed="8"/>
        <rFont val="宋体"/>
        <charset val="134"/>
      </rPr>
      <t>其他应收款</t>
    </r>
  </si>
  <si>
    <r>
      <rPr>
        <sz val="10"/>
        <color indexed="8"/>
        <rFont val="Arial"/>
        <charset val="134"/>
      </rPr>
      <t xml:space="preserve">  </t>
    </r>
    <r>
      <rPr>
        <sz val="10"/>
        <color indexed="8"/>
        <rFont val="宋体"/>
        <charset val="134"/>
      </rPr>
      <t>存货</t>
    </r>
  </si>
  <si>
    <r>
      <rPr>
        <sz val="10"/>
        <color indexed="8"/>
        <rFont val="Arial"/>
        <charset val="134"/>
      </rPr>
      <t xml:space="preserve">  </t>
    </r>
    <r>
      <rPr>
        <sz val="10"/>
        <color indexed="8"/>
        <rFont val="宋体"/>
        <charset val="134"/>
      </rPr>
      <t>其中</t>
    </r>
    <r>
      <rPr>
        <sz val="10"/>
        <color indexed="8"/>
        <rFont val="Arial"/>
        <charset val="134"/>
      </rPr>
      <t>:</t>
    </r>
    <r>
      <rPr>
        <sz val="10"/>
        <color indexed="8"/>
        <rFont val="宋体"/>
        <charset val="134"/>
      </rPr>
      <t>库存材料</t>
    </r>
  </si>
  <si>
    <r>
      <rPr>
        <sz val="10"/>
        <color indexed="8"/>
        <rFont val="Arial"/>
        <charset val="134"/>
      </rPr>
      <t xml:space="preserve">  </t>
    </r>
    <r>
      <rPr>
        <sz val="10"/>
        <color indexed="8"/>
        <rFont val="宋体"/>
        <charset val="134"/>
      </rPr>
      <t>在产品及自制半成品</t>
    </r>
  </si>
  <si>
    <r>
      <rPr>
        <sz val="10"/>
        <color indexed="8"/>
        <rFont val="Arial"/>
        <charset val="134"/>
      </rPr>
      <t xml:space="preserve">  </t>
    </r>
    <r>
      <rPr>
        <sz val="10"/>
        <color indexed="8"/>
        <rFont val="宋体"/>
        <charset val="134"/>
      </rPr>
      <t>产成品</t>
    </r>
    <r>
      <rPr>
        <sz val="10"/>
        <color indexed="8"/>
        <rFont val="Arial"/>
        <charset val="134"/>
      </rPr>
      <t>(</t>
    </r>
    <r>
      <rPr>
        <sz val="10"/>
        <color indexed="8"/>
        <rFont val="宋体"/>
        <charset val="134"/>
      </rPr>
      <t>库存商品</t>
    </r>
    <r>
      <rPr>
        <sz val="10"/>
        <color indexed="8"/>
        <rFont val="Arial"/>
        <charset val="134"/>
      </rPr>
      <t>)</t>
    </r>
  </si>
  <si>
    <r>
      <rPr>
        <sz val="10"/>
        <color indexed="8"/>
        <rFont val="Arial"/>
        <charset val="134"/>
      </rPr>
      <t xml:space="preserve">  </t>
    </r>
    <r>
      <rPr>
        <sz val="10"/>
        <color indexed="8"/>
        <rFont val="宋体"/>
        <charset val="134"/>
      </rPr>
      <t>周转材料</t>
    </r>
  </si>
  <si>
    <r>
      <rPr>
        <sz val="10"/>
        <color indexed="8"/>
        <rFont val="Arial"/>
        <charset val="134"/>
      </rPr>
      <t xml:space="preserve">  </t>
    </r>
    <r>
      <rPr>
        <sz val="10"/>
        <color indexed="8"/>
        <rFont val="宋体"/>
        <charset val="134"/>
      </rPr>
      <t>待摊费用</t>
    </r>
  </si>
  <si>
    <r>
      <rPr>
        <sz val="10"/>
        <color indexed="8"/>
        <rFont val="Arial"/>
        <charset val="134"/>
      </rPr>
      <t xml:space="preserve">  </t>
    </r>
    <r>
      <rPr>
        <sz val="10"/>
        <color indexed="8"/>
        <rFont val="宋体"/>
        <charset val="134"/>
      </rPr>
      <t>合同资产</t>
    </r>
  </si>
  <si>
    <r>
      <rPr>
        <sz val="10"/>
        <color indexed="8"/>
        <rFont val="Arial"/>
        <charset val="134"/>
      </rPr>
      <t xml:space="preserve">  </t>
    </r>
    <r>
      <rPr>
        <sz val="10"/>
        <color indexed="8"/>
        <rFont val="宋体"/>
        <charset val="134"/>
      </rPr>
      <t>一年内到期的非流动资产</t>
    </r>
  </si>
  <si>
    <r>
      <rPr>
        <sz val="10"/>
        <color theme="1"/>
        <rFont val="Arial"/>
        <charset val="134"/>
      </rPr>
      <t xml:space="preserve">  </t>
    </r>
    <r>
      <rPr>
        <sz val="10"/>
        <color theme="1"/>
        <rFont val="宋体"/>
        <charset val="134"/>
      </rPr>
      <t>其他流动资产</t>
    </r>
  </si>
  <si>
    <r>
      <rPr>
        <b/>
        <sz val="10"/>
        <color rgb="FF1D41D5"/>
        <rFont val="Arial"/>
        <charset val="134"/>
      </rPr>
      <t xml:space="preserve">  </t>
    </r>
    <r>
      <rPr>
        <b/>
        <sz val="10"/>
        <color rgb="FF1D41D5"/>
        <rFont val="宋体"/>
        <charset val="134"/>
      </rPr>
      <t>流动资产合计</t>
    </r>
  </si>
  <si>
    <r>
      <rPr>
        <sz val="10"/>
        <color indexed="8"/>
        <rFont val="Arial"/>
        <charset val="134"/>
      </rPr>
      <t xml:space="preserve">  </t>
    </r>
    <r>
      <rPr>
        <sz val="10"/>
        <color indexed="8"/>
        <rFont val="宋体"/>
        <charset val="134"/>
      </rPr>
      <t>可供出售金融资产</t>
    </r>
  </si>
  <si>
    <r>
      <rPr>
        <sz val="10"/>
        <color indexed="8"/>
        <rFont val="Arial"/>
        <charset val="134"/>
      </rPr>
      <t xml:space="preserve">  </t>
    </r>
    <r>
      <rPr>
        <sz val="10"/>
        <color indexed="8"/>
        <rFont val="宋体"/>
        <charset val="134"/>
      </rPr>
      <t>持有至到期投资</t>
    </r>
  </si>
  <si>
    <r>
      <rPr>
        <sz val="10"/>
        <color indexed="8"/>
        <rFont val="Arial"/>
        <charset val="134"/>
      </rPr>
      <t xml:space="preserve">  </t>
    </r>
    <r>
      <rPr>
        <sz val="10"/>
        <color indexed="8"/>
        <rFont val="宋体"/>
        <charset val="134"/>
      </rPr>
      <t>长期应收款</t>
    </r>
  </si>
  <si>
    <r>
      <rPr>
        <sz val="10"/>
        <color indexed="8"/>
        <rFont val="Arial"/>
        <charset val="134"/>
      </rPr>
      <t xml:space="preserve">  </t>
    </r>
    <r>
      <rPr>
        <sz val="10"/>
        <color indexed="8"/>
        <rFont val="宋体"/>
        <charset val="134"/>
      </rPr>
      <t>长期股权投资</t>
    </r>
  </si>
  <si>
    <r>
      <rPr>
        <sz val="10"/>
        <color indexed="8"/>
        <rFont val="Arial"/>
        <charset val="134"/>
      </rPr>
      <t xml:space="preserve">  </t>
    </r>
    <r>
      <rPr>
        <sz val="10"/>
        <color indexed="8"/>
        <rFont val="宋体"/>
        <charset val="134"/>
      </rPr>
      <t>其他非流动金融资产</t>
    </r>
  </si>
  <si>
    <r>
      <rPr>
        <sz val="10"/>
        <color indexed="8"/>
        <rFont val="Arial"/>
        <charset val="134"/>
      </rPr>
      <t xml:space="preserve">  </t>
    </r>
    <r>
      <rPr>
        <sz val="10"/>
        <color indexed="8"/>
        <rFont val="宋体"/>
        <charset val="134"/>
      </rPr>
      <t>投资性房地产</t>
    </r>
  </si>
  <si>
    <r>
      <rPr>
        <sz val="10"/>
        <color indexed="8"/>
        <rFont val="Arial"/>
        <charset val="134"/>
      </rPr>
      <t xml:space="preserve">  </t>
    </r>
    <r>
      <rPr>
        <sz val="10"/>
        <color indexed="8"/>
        <rFont val="宋体"/>
        <charset val="134"/>
      </rPr>
      <t>固定资产</t>
    </r>
  </si>
  <si>
    <r>
      <rPr>
        <sz val="10"/>
        <color indexed="8"/>
        <rFont val="Arial"/>
        <charset val="134"/>
      </rPr>
      <t xml:space="preserve">  </t>
    </r>
    <r>
      <rPr>
        <sz val="10"/>
        <color indexed="8"/>
        <rFont val="宋体"/>
        <charset val="134"/>
      </rPr>
      <t>减</t>
    </r>
    <r>
      <rPr>
        <sz val="10"/>
        <color indexed="8"/>
        <rFont val="Arial"/>
        <charset val="134"/>
      </rPr>
      <t>:</t>
    </r>
    <r>
      <rPr>
        <sz val="10"/>
        <color indexed="8"/>
        <rFont val="宋体"/>
        <charset val="134"/>
      </rPr>
      <t>累计折旧</t>
    </r>
  </si>
  <si>
    <r>
      <rPr>
        <sz val="10"/>
        <color indexed="8"/>
        <rFont val="Arial"/>
        <charset val="134"/>
      </rPr>
      <t xml:space="preserve">  </t>
    </r>
    <r>
      <rPr>
        <sz val="10"/>
        <color indexed="8"/>
        <rFont val="宋体"/>
        <charset val="134"/>
      </rPr>
      <t>固定资产净值</t>
    </r>
  </si>
  <si>
    <r>
      <rPr>
        <sz val="10"/>
        <color indexed="8"/>
        <rFont val="Arial"/>
        <charset val="134"/>
      </rPr>
      <t xml:space="preserve">  </t>
    </r>
    <r>
      <rPr>
        <sz val="10"/>
        <color indexed="8"/>
        <rFont val="宋体"/>
        <charset val="134"/>
      </rPr>
      <t>在建工程</t>
    </r>
  </si>
  <si>
    <r>
      <rPr>
        <sz val="10"/>
        <color indexed="8"/>
        <rFont val="Arial"/>
        <charset val="134"/>
      </rPr>
      <t xml:space="preserve">  </t>
    </r>
    <r>
      <rPr>
        <sz val="10"/>
        <color indexed="8"/>
        <rFont val="宋体"/>
        <charset val="134"/>
      </rPr>
      <t>固定资产清理</t>
    </r>
  </si>
  <si>
    <r>
      <rPr>
        <sz val="10"/>
        <color indexed="8"/>
        <rFont val="Arial"/>
        <charset val="134"/>
      </rPr>
      <t xml:space="preserve">  </t>
    </r>
    <r>
      <rPr>
        <sz val="10"/>
        <color indexed="8"/>
        <rFont val="宋体"/>
        <charset val="134"/>
      </rPr>
      <t>生产性生物资产</t>
    </r>
  </si>
  <si>
    <r>
      <rPr>
        <sz val="10"/>
        <color indexed="8"/>
        <rFont val="Arial"/>
        <charset val="134"/>
      </rPr>
      <t xml:space="preserve">  </t>
    </r>
    <r>
      <rPr>
        <sz val="10"/>
        <color indexed="8"/>
        <rFont val="宋体"/>
        <charset val="134"/>
      </rPr>
      <t>油气资产</t>
    </r>
  </si>
  <si>
    <r>
      <rPr>
        <sz val="10"/>
        <color theme="1"/>
        <rFont val="Arial"/>
        <charset val="134"/>
      </rPr>
      <t xml:space="preserve">  </t>
    </r>
    <r>
      <rPr>
        <sz val="10"/>
        <color theme="1"/>
        <rFont val="宋体"/>
        <charset val="134"/>
      </rPr>
      <t>无形资产</t>
    </r>
  </si>
  <si>
    <r>
      <rPr>
        <sz val="10"/>
        <color theme="1"/>
        <rFont val="Arial"/>
        <charset val="134"/>
      </rPr>
      <t xml:space="preserve">  </t>
    </r>
    <r>
      <rPr>
        <sz val="10"/>
        <color theme="1"/>
        <rFont val="宋体"/>
        <charset val="134"/>
      </rPr>
      <t>开发支出</t>
    </r>
  </si>
  <si>
    <r>
      <rPr>
        <sz val="10"/>
        <color theme="1"/>
        <rFont val="Arial"/>
        <charset val="134"/>
      </rPr>
      <t xml:space="preserve">  </t>
    </r>
    <r>
      <rPr>
        <sz val="10"/>
        <color theme="1"/>
        <rFont val="宋体"/>
        <charset val="134"/>
      </rPr>
      <t>商誉</t>
    </r>
  </si>
  <si>
    <r>
      <rPr>
        <sz val="10"/>
        <color theme="1"/>
        <rFont val="Arial"/>
        <charset val="134"/>
      </rPr>
      <t xml:space="preserve">  </t>
    </r>
    <r>
      <rPr>
        <sz val="10"/>
        <color theme="1"/>
        <rFont val="宋体"/>
        <charset val="134"/>
      </rPr>
      <t>长期待摊费用</t>
    </r>
  </si>
  <si>
    <r>
      <rPr>
        <sz val="10"/>
        <color theme="1"/>
        <rFont val="Arial"/>
        <charset val="134"/>
      </rPr>
      <t xml:space="preserve">  </t>
    </r>
    <r>
      <rPr>
        <sz val="10"/>
        <color theme="1"/>
        <rFont val="宋体"/>
        <charset val="134"/>
      </rPr>
      <t>递延所得税资产</t>
    </r>
  </si>
  <si>
    <r>
      <rPr>
        <sz val="10"/>
        <color indexed="8"/>
        <rFont val="Arial"/>
        <charset val="134"/>
      </rPr>
      <t xml:space="preserve">  </t>
    </r>
    <r>
      <rPr>
        <sz val="10"/>
        <color indexed="8"/>
        <rFont val="宋体"/>
        <charset val="134"/>
      </rPr>
      <t>其他非流动资产</t>
    </r>
  </si>
  <si>
    <r>
      <rPr>
        <b/>
        <sz val="10"/>
        <color rgb="FF0E3BE4"/>
        <rFont val="Arial"/>
        <charset val="134"/>
      </rPr>
      <t xml:space="preserve">    </t>
    </r>
    <r>
      <rPr>
        <b/>
        <sz val="10"/>
        <color rgb="FF0E3BE4"/>
        <rFont val="宋体"/>
        <charset val="134"/>
      </rPr>
      <t>非流动资产合计</t>
    </r>
  </si>
  <si>
    <r>
      <rPr>
        <b/>
        <sz val="10"/>
        <color rgb="FF0E3BE4"/>
        <rFont val="Arial"/>
        <charset val="134"/>
      </rPr>
      <t xml:space="preserve">    </t>
    </r>
    <r>
      <rPr>
        <b/>
        <sz val="10"/>
        <color rgb="FF0E3BE4"/>
        <rFont val="宋体"/>
        <charset val="134"/>
      </rPr>
      <t>资产总计</t>
    </r>
  </si>
  <si>
    <r>
      <rPr>
        <sz val="10"/>
        <color indexed="8"/>
        <rFont val="Arial"/>
        <charset val="134"/>
      </rPr>
      <t xml:space="preserve">  </t>
    </r>
    <r>
      <rPr>
        <sz val="10"/>
        <color indexed="8"/>
        <rFont val="宋体"/>
        <charset val="134"/>
      </rPr>
      <t>短期借款</t>
    </r>
  </si>
  <si>
    <r>
      <rPr>
        <sz val="10"/>
        <color indexed="8"/>
        <rFont val="Arial"/>
        <charset val="134"/>
      </rPr>
      <t xml:space="preserve">  </t>
    </r>
    <r>
      <rPr>
        <sz val="10"/>
        <color indexed="8"/>
        <rFont val="宋体"/>
        <charset val="134"/>
      </rPr>
      <t>交易性金融负债</t>
    </r>
  </si>
  <si>
    <r>
      <rPr>
        <sz val="10"/>
        <color indexed="8"/>
        <rFont val="Arial"/>
        <charset val="134"/>
      </rPr>
      <t xml:space="preserve">  </t>
    </r>
    <r>
      <rPr>
        <sz val="10"/>
        <color indexed="8"/>
        <rFont val="宋体"/>
        <charset val="134"/>
      </rPr>
      <t>应付票据</t>
    </r>
  </si>
  <si>
    <r>
      <rPr>
        <sz val="10"/>
        <color indexed="8"/>
        <rFont val="Arial"/>
        <charset val="134"/>
      </rPr>
      <t xml:space="preserve">  </t>
    </r>
    <r>
      <rPr>
        <sz val="10"/>
        <color indexed="8"/>
        <rFont val="宋体"/>
        <charset val="134"/>
      </rPr>
      <t>应付账款</t>
    </r>
  </si>
  <si>
    <r>
      <rPr>
        <sz val="10"/>
        <color indexed="8"/>
        <rFont val="Arial"/>
        <charset val="134"/>
      </rPr>
      <t xml:space="preserve">  </t>
    </r>
    <r>
      <rPr>
        <sz val="10"/>
        <color indexed="8"/>
        <rFont val="宋体"/>
        <charset val="134"/>
      </rPr>
      <t>预收账款</t>
    </r>
  </si>
  <si>
    <r>
      <rPr>
        <sz val="10"/>
        <color indexed="8"/>
        <rFont val="Arial"/>
        <charset val="134"/>
      </rPr>
      <t xml:space="preserve">  </t>
    </r>
    <r>
      <rPr>
        <sz val="10"/>
        <color indexed="8"/>
        <rFont val="宋体"/>
        <charset val="134"/>
      </rPr>
      <t>合同负债</t>
    </r>
  </si>
  <si>
    <r>
      <rPr>
        <sz val="10"/>
        <color indexed="8"/>
        <rFont val="Arial"/>
        <charset val="134"/>
      </rPr>
      <t xml:space="preserve">  </t>
    </r>
    <r>
      <rPr>
        <sz val="10"/>
        <color indexed="8"/>
        <rFont val="宋体"/>
        <charset val="134"/>
      </rPr>
      <t>应付职工薪酬</t>
    </r>
  </si>
  <si>
    <r>
      <rPr>
        <sz val="10"/>
        <color indexed="8"/>
        <rFont val="Arial"/>
        <charset val="134"/>
      </rPr>
      <t xml:space="preserve">  </t>
    </r>
    <r>
      <rPr>
        <sz val="10"/>
        <color indexed="8"/>
        <rFont val="宋体"/>
        <charset val="134"/>
      </rPr>
      <t>应交税费</t>
    </r>
  </si>
  <si>
    <r>
      <rPr>
        <sz val="10"/>
        <color indexed="8"/>
        <rFont val="Arial"/>
        <charset val="134"/>
      </rPr>
      <t xml:space="preserve">  </t>
    </r>
    <r>
      <rPr>
        <sz val="10"/>
        <color indexed="8"/>
        <rFont val="宋体"/>
        <charset val="134"/>
      </rPr>
      <t>应付利息</t>
    </r>
  </si>
  <si>
    <r>
      <rPr>
        <sz val="10"/>
        <color indexed="8"/>
        <rFont val="Arial"/>
        <charset val="134"/>
      </rPr>
      <t xml:space="preserve">  </t>
    </r>
    <r>
      <rPr>
        <sz val="10"/>
        <color indexed="8"/>
        <rFont val="宋体"/>
        <charset val="134"/>
      </rPr>
      <t>应付股利</t>
    </r>
  </si>
  <si>
    <r>
      <rPr>
        <sz val="10"/>
        <color indexed="8"/>
        <rFont val="Arial"/>
        <charset val="134"/>
      </rPr>
      <t xml:space="preserve">  </t>
    </r>
    <r>
      <rPr>
        <sz val="10"/>
        <color indexed="8"/>
        <rFont val="宋体"/>
        <charset val="134"/>
      </rPr>
      <t>其他应付款</t>
    </r>
  </si>
  <si>
    <r>
      <rPr>
        <sz val="10"/>
        <color indexed="8"/>
        <rFont val="Arial"/>
        <charset val="134"/>
      </rPr>
      <t xml:space="preserve">  </t>
    </r>
    <r>
      <rPr>
        <sz val="10"/>
        <color indexed="8"/>
        <rFont val="宋体"/>
        <charset val="134"/>
      </rPr>
      <t>一年内到期的非流动负债</t>
    </r>
  </si>
  <si>
    <r>
      <rPr>
        <sz val="10"/>
        <color indexed="8"/>
        <rFont val="Arial"/>
        <charset val="134"/>
      </rPr>
      <t xml:space="preserve">  </t>
    </r>
    <r>
      <rPr>
        <sz val="10"/>
        <color indexed="8"/>
        <rFont val="宋体"/>
        <charset val="134"/>
      </rPr>
      <t>其他流动负债</t>
    </r>
  </si>
  <si>
    <r>
      <rPr>
        <b/>
        <sz val="10"/>
        <color rgb="FF0E3BE4"/>
        <rFont val="Arial"/>
        <charset val="134"/>
      </rPr>
      <t xml:space="preserve">    </t>
    </r>
    <r>
      <rPr>
        <b/>
        <sz val="10"/>
        <color rgb="FF0E3BE4"/>
        <rFont val="宋体"/>
        <charset val="134"/>
      </rPr>
      <t>流动负债合计</t>
    </r>
  </si>
  <si>
    <r>
      <rPr>
        <sz val="10"/>
        <color indexed="8"/>
        <rFont val="Arial"/>
        <charset val="134"/>
      </rPr>
      <t xml:space="preserve">  </t>
    </r>
    <r>
      <rPr>
        <sz val="10"/>
        <color indexed="8"/>
        <rFont val="宋体"/>
        <charset val="134"/>
      </rPr>
      <t>长期借款</t>
    </r>
  </si>
  <si>
    <r>
      <rPr>
        <sz val="10"/>
        <color indexed="8"/>
        <rFont val="Arial"/>
        <charset val="134"/>
      </rPr>
      <t xml:space="preserve">  </t>
    </r>
    <r>
      <rPr>
        <sz val="10"/>
        <color indexed="8"/>
        <rFont val="宋体"/>
        <charset val="134"/>
      </rPr>
      <t>应付债券</t>
    </r>
  </si>
  <si>
    <r>
      <rPr>
        <sz val="10"/>
        <color indexed="8"/>
        <rFont val="Arial"/>
        <charset val="134"/>
      </rPr>
      <t xml:space="preserve">  </t>
    </r>
    <r>
      <rPr>
        <sz val="10"/>
        <color indexed="8"/>
        <rFont val="宋体"/>
        <charset val="134"/>
      </rPr>
      <t>长期应付款</t>
    </r>
  </si>
  <si>
    <r>
      <rPr>
        <sz val="10"/>
        <color indexed="8"/>
        <rFont val="Arial"/>
        <charset val="134"/>
      </rPr>
      <t xml:space="preserve">  </t>
    </r>
    <r>
      <rPr>
        <sz val="10"/>
        <color indexed="8"/>
        <rFont val="宋体"/>
        <charset val="134"/>
      </rPr>
      <t>专项应付款</t>
    </r>
  </si>
  <si>
    <r>
      <rPr>
        <sz val="10"/>
        <color indexed="8"/>
        <rFont val="Arial"/>
        <charset val="134"/>
      </rPr>
      <t xml:space="preserve">  </t>
    </r>
    <r>
      <rPr>
        <sz val="10"/>
        <color indexed="8"/>
        <rFont val="宋体"/>
        <charset val="134"/>
      </rPr>
      <t>预计负债</t>
    </r>
  </si>
  <si>
    <r>
      <rPr>
        <sz val="10"/>
        <color indexed="8"/>
        <rFont val="Arial"/>
        <charset val="134"/>
      </rPr>
      <t xml:space="preserve">  </t>
    </r>
    <r>
      <rPr>
        <sz val="10"/>
        <color indexed="8"/>
        <rFont val="宋体"/>
        <charset val="134"/>
      </rPr>
      <t>递延收益</t>
    </r>
  </si>
  <si>
    <r>
      <rPr>
        <sz val="10"/>
        <color indexed="8"/>
        <rFont val="Arial"/>
        <charset val="134"/>
      </rPr>
      <t xml:space="preserve">  </t>
    </r>
    <r>
      <rPr>
        <sz val="10"/>
        <color indexed="8"/>
        <rFont val="宋体"/>
        <charset val="134"/>
      </rPr>
      <t>递延所得税负债</t>
    </r>
  </si>
  <si>
    <r>
      <rPr>
        <sz val="10"/>
        <color indexed="8"/>
        <rFont val="Arial"/>
        <charset val="134"/>
      </rPr>
      <t xml:space="preserve">  </t>
    </r>
    <r>
      <rPr>
        <sz val="10"/>
        <color indexed="8"/>
        <rFont val="宋体"/>
        <charset val="134"/>
      </rPr>
      <t>其他非流动负债</t>
    </r>
  </si>
  <si>
    <r>
      <rPr>
        <sz val="10"/>
        <color indexed="8"/>
        <rFont val="Arial"/>
        <charset val="134"/>
      </rPr>
      <t xml:space="preserve">    </t>
    </r>
    <r>
      <rPr>
        <sz val="10"/>
        <color indexed="8"/>
        <rFont val="宋体"/>
        <charset val="134"/>
      </rPr>
      <t>非流动负债合计</t>
    </r>
  </si>
  <si>
    <r>
      <rPr>
        <b/>
        <sz val="10"/>
        <color rgb="FF0E3BE4"/>
        <rFont val="Arial"/>
        <charset val="134"/>
      </rPr>
      <t xml:space="preserve">    </t>
    </r>
    <r>
      <rPr>
        <b/>
        <sz val="10"/>
        <color rgb="FF0E3BE4"/>
        <rFont val="宋体"/>
        <charset val="134"/>
      </rPr>
      <t>负债合计</t>
    </r>
  </si>
  <si>
    <r>
      <rPr>
        <sz val="10"/>
        <color indexed="8"/>
        <rFont val="Arial"/>
        <charset val="134"/>
      </rPr>
      <t xml:space="preserve">  </t>
    </r>
    <r>
      <rPr>
        <sz val="10"/>
        <color indexed="8"/>
        <rFont val="宋体"/>
        <charset val="134"/>
      </rPr>
      <t>实收资本（或股本）</t>
    </r>
  </si>
  <si>
    <r>
      <rPr>
        <sz val="10"/>
        <color indexed="8"/>
        <rFont val="Arial"/>
        <charset val="134"/>
      </rPr>
      <t xml:space="preserve">  </t>
    </r>
    <r>
      <rPr>
        <sz val="10"/>
        <color indexed="8"/>
        <rFont val="宋体"/>
        <charset val="134"/>
      </rPr>
      <t>资本公积</t>
    </r>
  </si>
  <si>
    <r>
      <rPr>
        <sz val="10"/>
        <color indexed="8"/>
        <rFont val="Arial"/>
        <charset val="134"/>
      </rPr>
      <t xml:space="preserve">  </t>
    </r>
    <r>
      <rPr>
        <sz val="10"/>
        <color indexed="8"/>
        <rFont val="宋体"/>
        <charset val="134"/>
      </rPr>
      <t>减：库存股</t>
    </r>
  </si>
  <si>
    <r>
      <rPr>
        <b/>
        <sz val="10"/>
        <color rgb="FF0E3BE4"/>
        <rFont val="Arial"/>
        <charset val="134"/>
      </rPr>
      <t xml:space="preserve">  </t>
    </r>
    <r>
      <rPr>
        <b/>
        <sz val="10"/>
        <color rgb="FF0E3BE4"/>
        <rFont val="宋体"/>
        <charset val="134"/>
      </rPr>
      <t>盈余公积</t>
    </r>
  </si>
  <si>
    <r>
      <rPr>
        <sz val="10"/>
        <color indexed="8"/>
        <rFont val="Arial"/>
        <charset val="134"/>
      </rPr>
      <t xml:space="preserve">  </t>
    </r>
    <r>
      <rPr>
        <sz val="10"/>
        <color indexed="8"/>
        <rFont val="宋体"/>
        <charset val="134"/>
      </rPr>
      <t>未分配利润</t>
    </r>
  </si>
  <si>
    <r>
      <rPr>
        <sz val="10"/>
        <color indexed="8"/>
        <rFont val="Arial"/>
        <charset val="134"/>
      </rPr>
      <t xml:space="preserve">    </t>
    </r>
    <r>
      <rPr>
        <sz val="10"/>
        <color indexed="8"/>
        <rFont val="宋体"/>
        <charset val="134"/>
      </rPr>
      <t>所有者权益（或股东权益）合计</t>
    </r>
  </si>
  <si>
    <r>
      <rPr>
        <b/>
        <sz val="10"/>
        <color rgb="FF0E3BE4"/>
        <rFont val="Arial"/>
        <charset val="134"/>
      </rPr>
      <t xml:space="preserve">    </t>
    </r>
    <r>
      <rPr>
        <b/>
        <sz val="10"/>
        <color rgb="FF0E3BE4"/>
        <rFont val="宋体"/>
        <charset val="134"/>
      </rPr>
      <t>负债和所有者权益（或股东权益）总计</t>
    </r>
  </si>
  <si>
    <r>
      <rPr>
        <b/>
        <sz val="16"/>
        <rFont val="宋体"/>
        <charset val="134"/>
      </rPr>
      <t>利润表</t>
    </r>
  </si>
  <si>
    <r>
      <rPr>
        <sz val="10"/>
        <rFont val="宋体"/>
        <charset val="134"/>
      </rPr>
      <t>金额单位：人民币元</t>
    </r>
  </si>
  <si>
    <r>
      <rPr>
        <b/>
        <sz val="11"/>
        <rFont val="宋体"/>
        <charset val="134"/>
      </rPr>
      <t>附注</t>
    </r>
  </si>
  <si>
    <r>
      <rPr>
        <b/>
        <sz val="11"/>
        <rFont val="宋体"/>
        <charset val="134"/>
      </rPr>
      <t>本期</t>
    </r>
  </si>
  <si>
    <r>
      <rPr>
        <b/>
        <sz val="11"/>
        <rFont val="宋体"/>
        <charset val="134"/>
      </rPr>
      <t>本年累计</t>
    </r>
  </si>
  <si>
    <t>10月发生</t>
  </si>
  <si>
    <t>10月累计</t>
  </si>
  <si>
    <r>
      <rPr>
        <sz val="11"/>
        <rFont val="宋体"/>
        <charset val="134"/>
      </rPr>
      <t>（一）按经营持续性分类</t>
    </r>
  </si>
  <si>
    <r>
      <rPr>
        <sz val="11"/>
        <rFont val="宋体"/>
        <charset val="134"/>
      </rPr>
      <t>（二）按所有权归属分类</t>
    </r>
  </si>
  <si>
    <r>
      <rPr>
        <b/>
        <sz val="11"/>
        <rFont val="宋体"/>
        <charset val="134"/>
      </rPr>
      <t>五、其他综合收益的税后净额</t>
    </r>
  </si>
  <si>
    <r>
      <rPr>
        <sz val="11"/>
        <rFont val="宋体"/>
        <charset val="134"/>
      </rPr>
      <t>（一）不能重分类进损益的其他综合收益</t>
    </r>
  </si>
  <si>
    <r>
      <rPr>
        <sz val="11"/>
        <rFont val="宋体"/>
        <charset val="134"/>
      </rPr>
      <t>（二）将重分类进损益的其他综合收益</t>
    </r>
  </si>
  <si>
    <r>
      <rPr>
        <b/>
        <sz val="11"/>
        <rFont val="宋体"/>
        <charset val="134"/>
      </rPr>
      <t>六、综合收益总额</t>
    </r>
  </si>
  <si>
    <r>
      <rPr>
        <b/>
        <sz val="11"/>
        <rFont val="宋体"/>
        <charset val="134"/>
      </rPr>
      <t>七、每股收益：</t>
    </r>
  </si>
  <si>
    <t xml:space="preserve">   货币资金</t>
  </si>
  <si>
    <t xml:space="preserve">     其他货币资金</t>
  </si>
  <si>
    <t xml:space="preserve">   交易性金融资产</t>
  </si>
  <si>
    <t xml:space="preserve">   应收票据</t>
  </si>
  <si>
    <t xml:space="preserve">   应收账款</t>
  </si>
  <si>
    <t xml:space="preserve">   预付款项</t>
  </si>
  <si>
    <t xml:space="preserve">   应收利息</t>
  </si>
  <si>
    <t xml:space="preserve">   应收股利</t>
  </si>
  <si>
    <t xml:space="preserve">   其他应收款</t>
  </si>
  <si>
    <t xml:space="preserve">   存货</t>
  </si>
  <si>
    <t xml:space="preserve"> 递延收益</t>
  </si>
  <si>
    <t xml:space="preserve">   其中：库存材料 </t>
  </si>
  <si>
    <t xml:space="preserve">        在产品及自制半成品</t>
  </si>
  <si>
    <t xml:space="preserve">        产成品（库存商品）</t>
  </si>
  <si>
    <t xml:space="preserve">        周转材料        </t>
  </si>
  <si>
    <t xml:space="preserve">   一年内到期的非流动资产</t>
  </si>
  <si>
    <t xml:space="preserve">  非流动负债：</t>
  </si>
  <si>
    <t xml:space="preserve">   其他流动资产</t>
  </si>
  <si>
    <t xml:space="preserve">   可供出售金融资产</t>
  </si>
  <si>
    <t xml:space="preserve">   持有至到期投资</t>
  </si>
  <si>
    <t xml:space="preserve">   长期应收款</t>
  </si>
  <si>
    <t xml:space="preserve">   长期股权投资</t>
  </si>
  <si>
    <t xml:space="preserve">   投资性房地产</t>
  </si>
  <si>
    <t xml:space="preserve">   固定资产原价</t>
  </si>
  <si>
    <t xml:space="preserve">   减：累计折旧</t>
  </si>
  <si>
    <t xml:space="preserve">       固定资产净值     </t>
  </si>
  <si>
    <t xml:space="preserve">   在建工程</t>
  </si>
  <si>
    <t xml:space="preserve">   工程物资</t>
  </si>
  <si>
    <t xml:space="preserve">   固定资产清理</t>
  </si>
  <si>
    <t xml:space="preserve">   生产性生物资产</t>
  </si>
  <si>
    <t xml:space="preserve">   油气资产</t>
  </si>
  <si>
    <t xml:space="preserve">   无形资产</t>
  </si>
  <si>
    <t xml:space="preserve">   开发支出</t>
  </si>
  <si>
    <t xml:space="preserve">   商誉</t>
  </si>
  <si>
    <t xml:space="preserve"> </t>
  </si>
  <si>
    <t xml:space="preserve">   长期待摊费用</t>
  </si>
  <si>
    <t xml:space="preserve">   递延所得税资产</t>
  </si>
  <si>
    <t xml:space="preserve">   其他非流动资产</t>
  </si>
  <si>
    <t>　</t>
  </si>
  <si>
    <t>利润表-合并报表</t>
  </si>
  <si>
    <t xml:space="preserve">  会企02表</t>
  </si>
  <si>
    <t xml:space="preserve">  单位：元</t>
  </si>
  <si>
    <t>营业税金及附加</t>
  </si>
  <si>
    <t>加：公允价值变动收益（损失以"-"填列）</t>
  </si>
  <si>
    <t>投资收益（损失以"-"填列）</t>
  </si>
  <si>
    <t>二、营业利润（亏损以"－"号填列）</t>
  </si>
  <si>
    <t>三、利润总额（亏损总额以"－"号填列）</t>
  </si>
  <si>
    <t>四、净利润（净亏损以"－"号填列）</t>
  </si>
  <si>
    <t>归属于母公司的权益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</si>
</sst>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2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00000000_-;\-* #,##0.0000000000_-;_-* &quot;-&quot;??_-;_-@_-"/>
    <numFmt numFmtId="177" formatCode="yyyy&quot;年&quot;m&quot;月&quot;;@"/>
    <numFmt numFmtId="178" formatCode="yyyy&quot;年&quot;m&quot;月&quot;d&quot;日&quot;;@"/>
    <numFmt numFmtId="179" formatCode="#,##0.00_ "/>
    <numFmt numFmtId="180" formatCode="yyyy/m/d;@"/>
    <numFmt numFmtId="181" formatCode="0.00_);[Red]\(0.00\)"/>
    <numFmt numFmtId="182" formatCode="#,##0.00;\-#,##0.00;\ "/>
    <numFmt numFmtId="183" formatCode="#,##0.00;[Red]\(#,##0.00\);\ "/>
    <numFmt numFmtId="184" formatCode="#,##0.00_);[Red]\(#,##0.00\)"/>
    <numFmt numFmtId="185" formatCode="_ * #,##0.00_ ;_ * \-#,##0.00_ ;_ * &quot;-&quot;??.0_ ;_ @_ "/>
    <numFmt numFmtId="186" formatCode="_ * #,##0_ ;_ * \-#,##0_ ;_ * &quot;-&quot;??_ ;_ @_ "/>
    <numFmt numFmtId="187" formatCode="0.00_ "/>
    <numFmt numFmtId="188" formatCode="#,##0_ "/>
    <numFmt numFmtId="189" formatCode="0.00_ ;[Red]\-0.00\ "/>
    <numFmt numFmtId="190" formatCode="0.00000_ "/>
    <numFmt numFmtId="191" formatCode="_-* #,##0.00_-;\-* #,##0.00_-;_-* &quot;-&quot;??_-;_-@_-"/>
    <numFmt numFmtId="192" formatCode="_(* #,##0.00_);_(* \(#,##0.00\);_(* &quot;-&quot;??_);_(@_)"/>
    <numFmt numFmtId="193" formatCode="[$-F800]dddd\,\ mmmm\ dd\,\ yyyy"/>
    <numFmt numFmtId="194" formatCode="_ * #,##0.0000_ ;_ * \-#,##0.0000_ ;_ * &quot;-&quot;??_ ;_ @_ "/>
    <numFmt numFmtId="195" formatCode="_ \¥* #,##0.00_ ;_ \¥* \-#,##0.00_ ;_ \¥* &quot;-&quot;??_ ;_ @_ "/>
    <numFmt numFmtId="196" formatCode="#,##0.0000_ "/>
    <numFmt numFmtId="197" formatCode="_ * #,##0.0000_ ;_ * \-#,##0.0000_ ;_ * &quot;-&quot;??.00_ ;_ @_ "/>
    <numFmt numFmtId="198" formatCode="_ * #,##0.000000000_ ;_ * \-#,##0.000000000_ ;_ * &quot;-&quot;??_ ;_ @_ "/>
    <numFmt numFmtId="199" formatCode="#,##0.0_ "/>
    <numFmt numFmtId="200" formatCode="0.000%"/>
  </numFmts>
  <fonts count="218">
    <font>
      <sz val="11"/>
      <color theme="1"/>
      <name val="等线"/>
      <charset val="134"/>
      <scheme val="minor"/>
    </font>
    <font>
      <b/>
      <sz val="22"/>
      <color rgb="FF000000"/>
      <name val="楷体_GB2312"/>
      <charset val="134"/>
    </font>
    <font>
      <sz val="10"/>
      <color rgb="FFFF0000"/>
      <name val="宋体"/>
      <charset val="134"/>
    </font>
    <font>
      <sz val="11"/>
      <color rgb="FFFF0000"/>
      <name val="宋体"/>
      <charset val="134"/>
    </font>
    <font>
      <sz val="12"/>
      <color rgb="FFFF0000"/>
      <name val="宋体"/>
      <charset val="134"/>
    </font>
    <font>
      <b/>
      <sz val="12"/>
      <color rgb="FF000000"/>
      <name val="黑体"/>
      <charset val="134"/>
    </font>
    <font>
      <sz val="11"/>
      <color rgb="FF000000"/>
      <name val="宋体"/>
      <charset val="134"/>
    </font>
    <font>
      <sz val="10"/>
      <color rgb="FF0000FF"/>
      <name val="宋体"/>
      <charset val="134"/>
    </font>
    <font>
      <sz val="10"/>
      <color rgb="FF0000FF"/>
      <name val="等线"/>
      <charset val="134"/>
      <scheme val="minor"/>
    </font>
    <font>
      <sz val="12"/>
      <color rgb="FF000000"/>
      <name val="宋体"/>
      <charset val="134"/>
    </font>
    <font>
      <b/>
      <sz val="20"/>
      <color rgb="FF000000"/>
      <name val="宋体"/>
      <charset val="134"/>
    </font>
    <font>
      <sz val="10"/>
      <color rgb="FF000000"/>
      <name val="宋体"/>
      <charset val="134"/>
    </font>
    <font>
      <sz val="11"/>
      <color rgb="FF0000FF"/>
      <name val="宋体"/>
      <charset val="134"/>
    </font>
    <font>
      <sz val="11"/>
      <color rgb="FFFF0000"/>
      <name val="等线"/>
      <charset val="134"/>
      <scheme val="minor"/>
    </font>
    <font>
      <sz val="11"/>
      <color theme="1"/>
      <name val="Arial"/>
      <charset val="134"/>
    </font>
    <font>
      <sz val="11"/>
      <color theme="1"/>
      <name val="Times New Roman"/>
      <charset val="134"/>
    </font>
    <font>
      <b/>
      <sz val="16"/>
      <name val="Arial"/>
      <charset val="134"/>
    </font>
    <font>
      <sz val="11"/>
      <name val="Arial"/>
      <charset val="134"/>
    </font>
    <font>
      <sz val="11"/>
      <color indexed="10"/>
      <name val="Arial"/>
      <charset val="134"/>
    </font>
    <font>
      <sz val="10"/>
      <name val="Arial"/>
      <charset val="134"/>
    </font>
    <font>
      <b/>
      <sz val="11"/>
      <name val="Arial"/>
      <charset val="134"/>
    </font>
    <font>
      <sz val="11"/>
      <color theme="1"/>
      <name val="宋体"/>
      <charset val="134"/>
    </font>
    <font>
      <sz val="11"/>
      <color indexed="8"/>
      <name val="Arial"/>
      <charset val="134"/>
    </font>
    <font>
      <b/>
      <sz val="16"/>
      <color indexed="8"/>
      <name val="Arial"/>
      <charset val="134"/>
    </font>
    <font>
      <sz val="10"/>
      <color indexed="8"/>
      <name val="Arial"/>
      <charset val="134"/>
    </font>
    <font>
      <sz val="10"/>
      <color indexed="8"/>
      <name val="宋体"/>
      <charset val="134"/>
    </font>
    <font>
      <sz val="11"/>
      <color indexed="8"/>
      <name val="等线"/>
      <charset val="134"/>
      <scheme val="minor"/>
    </font>
    <font>
      <b/>
      <sz val="10"/>
      <color rgb="FF0E3BE4"/>
      <name val="Arial"/>
      <charset val="134"/>
    </font>
    <font>
      <sz val="10"/>
      <color theme="1"/>
      <name val="Arial"/>
      <charset val="134"/>
    </font>
    <font>
      <b/>
      <sz val="10"/>
      <color rgb="FF1D41D5"/>
      <name val="Arial"/>
      <charset val="134"/>
    </font>
    <font>
      <b/>
      <sz val="18"/>
      <color rgb="FF000000"/>
      <name val="Times New Roman"/>
      <charset val="134"/>
    </font>
    <font>
      <sz val="10"/>
      <color rgb="FFFF0000"/>
      <name val="Times New Roman"/>
      <charset val="134"/>
    </font>
    <font>
      <sz val="11"/>
      <color rgb="FF000000"/>
      <name val="Times New Roman"/>
      <charset val="134"/>
    </font>
    <font>
      <sz val="11"/>
      <color rgb="FF000000"/>
      <name val="黑体"/>
      <charset val="134"/>
    </font>
    <font>
      <b/>
      <sz val="11"/>
      <color rgb="FF1B48DB"/>
      <name val="宋体"/>
      <charset val="134"/>
    </font>
    <font>
      <b/>
      <sz val="11"/>
      <color rgb="FF1B48DB"/>
      <name val="Times New Roman"/>
      <charset val="134"/>
    </font>
    <font>
      <sz val="11"/>
      <name val="Times New Roman"/>
      <charset val="134"/>
    </font>
    <font>
      <sz val="10"/>
      <color theme="1"/>
      <name val="Times New Roman"/>
      <charset val="134"/>
    </font>
    <font>
      <b/>
      <sz val="10"/>
      <color theme="1"/>
      <name val="Times New Roman"/>
      <charset val="134"/>
    </font>
    <font>
      <sz val="10"/>
      <color rgb="FF000000"/>
      <name val="Times New Roman"/>
      <charset val="134"/>
    </font>
    <font>
      <b/>
      <sz val="10"/>
      <color rgb="FF000000"/>
      <name val="Times New Roman"/>
      <charset val="134"/>
    </font>
    <font>
      <sz val="10"/>
      <name val="Times New Roman"/>
      <charset val="134"/>
    </font>
    <font>
      <b/>
      <sz val="10"/>
      <color rgb="FF0000FF"/>
      <name val="Times New Roman"/>
      <charset val="134"/>
    </font>
    <font>
      <sz val="9"/>
      <color indexed="8"/>
      <name val="宋体"/>
      <charset val="134"/>
    </font>
    <font>
      <b/>
      <sz val="10"/>
      <color rgb="FF1B48DB"/>
      <name val="Times New Roman"/>
      <charset val="134"/>
    </font>
    <font>
      <b/>
      <sz val="10"/>
      <color rgb="FF4472C4"/>
      <name val="Times New Roman"/>
      <charset val="134"/>
    </font>
    <font>
      <sz val="10"/>
      <color rgb="FF0000FF"/>
      <name val="Times New Roman"/>
      <charset val="134"/>
    </font>
    <font>
      <sz val="10"/>
      <color theme="1"/>
      <name val="宋体"/>
      <charset val="134"/>
    </font>
    <font>
      <sz val="10"/>
      <color theme="1"/>
      <name val="等线"/>
      <charset val="134"/>
      <scheme val="minor"/>
    </font>
    <font>
      <sz val="22"/>
      <color rgb="FF000000"/>
      <name val="华文中宋"/>
      <charset val="134"/>
    </font>
    <font>
      <sz val="16"/>
      <color rgb="FF000000"/>
      <name val="华文中宋"/>
      <charset val="134"/>
    </font>
    <font>
      <b/>
      <sz val="14"/>
      <color theme="1"/>
      <name val="等线"/>
      <charset val="134"/>
      <scheme val="minor"/>
    </font>
    <font>
      <sz val="12"/>
      <color rgb="FF000000"/>
      <name val="华文楷体"/>
      <charset val="134"/>
    </font>
    <font>
      <b/>
      <sz val="12"/>
      <color rgb="FF000000"/>
      <name val="华文楷体"/>
      <charset val="134"/>
    </font>
    <font>
      <sz val="10"/>
      <color rgb="FF000000"/>
      <name val="华文楷体"/>
      <charset val="134"/>
    </font>
    <font>
      <b/>
      <sz val="10"/>
      <color rgb="FF0000FF"/>
      <name val="楷体_GB2312"/>
      <charset val="134"/>
    </font>
    <font>
      <b/>
      <sz val="11"/>
      <color rgb="FF0000FF"/>
      <name val="Arial"/>
      <charset val="134"/>
    </font>
    <font>
      <b/>
      <sz val="11"/>
      <color theme="1"/>
      <name val="等线"/>
      <charset val="134"/>
      <scheme val="minor"/>
    </font>
    <font>
      <sz val="10"/>
      <color rgb="FF000000"/>
      <name val="楷体_GB2312"/>
      <charset val="134"/>
    </font>
    <font>
      <sz val="11"/>
      <color rgb="FF000000"/>
      <name val="Arial"/>
      <charset val="134"/>
    </font>
    <font>
      <sz val="10"/>
      <color rgb="FF0070C0"/>
      <name val="Times New Roman"/>
      <charset val="134"/>
    </font>
    <font>
      <sz val="11"/>
      <name val="等线"/>
      <charset val="134"/>
      <scheme val="minor"/>
    </font>
    <font>
      <sz val="11"/>
      <color rgb="FF0000FF"/>
      <name val="Times New Roman"/>
      <charset val="134"/>
    </font>
    <font>
      <sz val="9"/>
      <color rgb="FF4A4A4A"/>
      <name val="Arial"/>
      <charset val="134"/>
    </font>
    <font>
      <sz val="11"/>
      <color rgb="FF000000"/>
      <name val="等线"/>
      <charset val="134"/>
    </font>
    <font>
      <b/>
      <sz val="16"/>
      <color rgb="FF000000"/>
      <name val="Arial"/>
      <charset val="134"/>
    </font>
    <font>
      <sz val="10"/>
      <color rgb="FF000000"/>
      <name val="Arial"/>
      <charset val="134"/>
    </font>
    <font>
      <b/>
      <sz val="10"/>
      <color rgb="FF000000"/>
      <name val="Arial"/>
      <charset val="134"/>
    </font>
    <font>
      <b/>
      <sz val="10"/>
      <color rgb="FF000000"/>
      <name val="华文楷体"/>
      <charset val="134"/>
    </font>
    <font>
      <b/>
      <sz val="10"/>
      <color rgb="FF000000"/>
      <name val="楷体_GB2312"/>
      <charset val="134"/>
    </font>
    <font>
      <sz val="8"/>
      <color rgb="FF000000"/>
      <name val="Arial"/>
      <charset val="134"/>
    </font>
    <font>
      <sz val="10"/>
      <color rgb="FF000000"/>
      <name val="等线"/>
      <charset val="134"/>
    </font>
    <font>
      <sz val="9"/>
      <color theme="1"/>
      <name val="等线"/>
      <charset val="134"/>
      <scheme val="minor"/>
    </font>
    <font>
      <b/>
      <sz val="10"/>
      <color rgb="FF0000FF"/>
      <name val="Arial"/>
      <charset val="134"/>
    </font>
    <font>
      <sz val="10"/>
      <name val="楷体_GB2312"/>
      <charset val="134"/>
    </font>
    <font>
      <b/>
      <sz val="10"/>
      <color rgb="FF0E0EEC"/>
      <name val="楷体_GB2312"/>
      <charset val="134"/>
    </font>
    <font>
      <b/>
      <sz val="10"/>
      <color rgb="FF0E0EEC"/>
      <name val="Arial"/>
      <charset val="134"/>
    </font>
    <font>
      <sz val="10"/>
      <color rgb="FFFF0000"/>
      <name val="Arial"/>
      <charset val="134"/>
    </font>
    <font>
      <sz val="10"/>
      <color rgb="FF0000FF"/>
      <name val="Arial"/>
      <charset val="134"/>
    </font>
    <font>
      <b/>
      <sz val="10"/>
      <color rgb="FF0E0EEC"/>
      <name val="华文楷体"/>
      <charset val="134"/>
    </font>
    <font>
      <b/>
      <sz val="10"/>
      <color theme="1"/>
      <name val="Arial"/>
      <charset val="134"/>
    </font>
    <font>
      <sz val="10"/>
      <color indexed="8"/>
      <name val="等线"/>
      <charset val="134"/>
      <scheme val="minor"/>
    </font>
    <font>
      <sz val="36"/>
      <color indexed="8"/>
      <name val="黑体"/>
      <charset val="134"/>
    </font>
    <font>
      <sz val="6"/>
      <color indexed="8"/>
      <name val="等线"/>
      <charset val="134"/>
      <scheme val="minor"/>
    </font>
    <font>
      <b/>
      <sz val="11"/>
      <color indexed="8"/>
      <name val="等线"/>
      <charset val="134"/>
      <scheme val="minor"/>
    </font>
    <font>
      <sz val="8"/>
      <color indexed="8"/>
      <name val="等线"/>
      <charset val="134"/>
      <scheme val="minor"/>
    </font>
    <font>
      <sz val="9"/>
      <color indexed="8"/>
      <name val="等线"/>
      <charset val="134"/>
      <scheme val="minor"/>
    </font>
    <font>
      <sz val="22"/>
      <color rgb="FF000000"/>
      <name val="Times New Roman"/>
      <charset val="134"/>
    </font>
    <font>
      <b/>
      <sz val="10"/>
      <color theme="4" tint="-0.25"/>
      <name val="楷体_GB2312"/>
      <charset val="134"/>
    </font>
    <font>
      <b/>
      <sz val="10"/>
      <color theme="4" tint="-0.25"/>
      <name val="Times New Roman"/>
      <charset val="134"/>
    </font>
    <font>
      <b/>
      <sz val="22"/>
      <color rgb="FF000000"/>
      <name val="华文中宋"/>
      <charset val="134"/>
    </font>
    <font>
      <b/>
      <sz val="16"/>
      <name val="宋体"/>
      <charset val="134"/>
    </font>
    <font>
      <sz val="11"/>
      <name val="宋体"/>
      <charset val="134"/>
    </font>
    <font>
      <sz val="10"/>
      <name val="宋体"/>
      <charset val="134"/>
    </font>
    <font>
      <b/>
      <sz val="11"/>
      <name val="宋体"/>
      <charset val="134"/>
    </font>
    <font>
      <b/>
      <sz val="18"/>
      <color rgb="FF000000"/>
      <name val="Arial"/>
      <charset val="134"/>
    </font>
    <font>
      <sz val="11"/>
      <color rgb="FFFF0000"/>
      <name val="Arial"/>
      <charset val="134"/>
    </font>
    <font>
      <b/>
      <sz val="11"/>
      <color rgb="FF1B48DB"/>
      <name val="Arial"/>
      <charset val="134"/>
    </font>
    <font>
      <b/>
      <sz val="10"/>
      <color rgb="FF1B48DB"/>
      <name val="Arial"/>
      <charset val="134"/>
    </font>
    <font>
      <b/>
      <sz val="16"/>
      <color theme="1"/>
      <name val="宋体"/>
      <charset val="134"/>
    </font>
    <font>
      <sz val="10"/>
      <color theme="1"/>
      <name val="黑体"/>
      <charset val="134"/>
    </font>
    <font>
      <b/>
      <sz val="10"/>
      <color theme="1"/>
      <name val="宋体"/>
      <charset val="134"/>
    </font>
    <font>
      <b/>
      <sz val="10"/>
      <color rgb="FF1B48DB"/>
      <name val="宋体"/>
      <charset val="134"/>
    </font>
    <font>
      <b/>
      <sz val="10"/>
      <color rgb="FF4472C4"/>
      <name val="Arial"/>
      <charset val="134"/>
    </font>
    <font>
      <sz val="10"/>
      <color indexed="8"/>
      <name val="Times New Roman"/>
      <charset val="134"/>
    </font>
    <font>
      <b/>
      <sz val="9"/>
      <color indexed="8"/>
      <name val="宋体"/>
      <charset val="134"/>
    </font>
    <font>
      <sz val="12"/>
      <name val="Arial Narrow"/>
      <charset val="134"/>
    </font>
    <font>
      <sz val="10"/>
      <name val="Arial Narrow"/>
      <charset val="134"/>
    </font>
    <font>
      <b/>
      <sz val="9"/>
      <color theme="1"/>
      <name val="Arial"/>
      <charset val="134"/>
    </font>
    <font>
      <sz val="9"/>
      <color theme="1"/>
      <name val="Arial"/>
      <charset val="134"/>
    </font>
    <font>
      <b/>
      <sz val="9"/>
      <color theme="1"/>
      <name val="宋体"/>
      <charset val="134"/>
    </font>
    <font>
      <sz val="9"/>
      <color theme="1"/>
      <name val="宋体"/>
      <charset val="134"/>
    </font>
    <font>
      <sz val="9"/>
      <color rgb="FFFF0000"/>
      <name val="Arial"/>
      <charset val="134"/>
    </font>
    <font>
      <sz val="12"/>
      <color theme="1"/>
      <name val="等线"/>
      <charset val="134"/>
    </font>
    <font>
      <sz val="10"/>
      <name val="等线"/>
      <charset val="134"/>
    </font>
    <font>
      <sz val="10"/>
      <color theme="1"/>
      <name val="等线"/>
      <charset val="134"/>
    </font>
    <font>
      <sz val="9"/>
      <color rgb="FF000000"/>
      <name val="宋体"/>
      <charset val="134"/>
    </font>
    <font>
      <sz val="8"/>
      <name val="等线"/>
      <charset val="134"/>
    </font>
    <font>
      <sz val="8"/>
      <color theme="1"/>
      <name val="等线"/>
      <charset val="134"/>
      <scheme val="minor"/>
    </font>
    <font>
      <b/>
      <sz val="10"/>
      <name val="MS Sans Serif"/>
      <charset val="134"/>
    </font>
    <font>
      <b/>
      <sz val="10"/>
      <name val="宋体"/>
      <charset val="134"/>
    </font>
    <font>
      <sz val="10"/>
      <name val="微软雅黑"/>
      <charset val="134"/>
    </font>
    <font>
      <sz val="10"/>
      <name val="MS Sans Serif"/>
      <charset val="134"/>
    </font>
    <font>
      <sz val="10"/>
      <name val="SimSun"/>
      <charset val="134"/>
    </font>
    <font>
      <b/>
      <sz val="11"/>
      <name val="黑体"/>
      <charset val="134"/>
    </font>
    <font>
      <b/>
      <sz val="18"/>
      <color theme="1"/>
      <name val="黑体"/>
      <charset val="134"/>
    </font>
    <font>
      <b/>
      <sz val="10"/>
      <name val="黑体"/>
      <charset val="134"/>
    </font>
    <font>
      <b/>
      <sz val="9"/>
      <name val="宋体"/>
      <charset val="134"/>
    </font>
    <font>
      <b/>
      <sz val="9"/>
      <name val="Arial"/>
      <charset val="134"/>
    </font>
    <font>
      <b/>
      <sz val="10"/>
      <color theme="1"/>
      <name val="黑体"/>
      <charset val="134"/>
    </font>
    <font>
      <u/>
      <sz val="9"/>
      <color theme="1"/>
      <name val="等线"/>
      <charset val="134"/>
      <scheme val="minor"/>
    </font>
    <font>
      <b/>
      <sz val="8"/>
      <color rgb="FFFF0000"/>
      <name val="宋体"/>
      <charset val="134"/>
    </font>
    <font>
      <sz val="6"/>
      <name val="宋体"/>
      <charset val="134"/>
    </font>
    <font>
      <b/>
      <sz val="10"/>
      <color rgb="FFFF0000"/>
      <name val="黑体"/>
      <charset val="134"/>
    </font>
    <font>
      <b/>
      <sz val="18"/>
      <name val="黑体"/>
      <charset val="134"/>
    </font>
    <font>
      <u/>
      <sz val="10"/>
      <color rgb="FF800080"/>
      <name val="宋体"/>
      <charset val="134"/>
    </font>
    <font>
      <u/>
      <sz val="10"/>
      <color theme="10"/>
      <name val="宋体"/>
      <charset val="134"/>
    </font>
    <font>
      <b/>
      <sz val="10"/>
      <name val="Arial"/>
      <charset val="134"/>
    </font>
    <font>
      <b/>
      <sz val="10"/>
      <name val="等线"/>
      <charset val="134"/>
      <scheme val="minor"/>
    </font>
    <font>
      <b/>
      <sz val="9"/>
      <color theme="1"/>
      <name val="等线"/>
      <charset val="134"/>
      <scheme val="minor"/>
    </font>
    <font>
      <b/>
      <sz val="28"/>
      <name val="宋体"/>
      <charset val="134"/>
    </font>
    <font>
      <sz val="24"/>
      <name val="华文中宋"/>
      <charset val="134"/>
    </font>
    <font>
      <b/>
      <sz val="10"/>
      <color indexed="10"/>
      <name val="Times New Roman"/>
      <charset val="134"/>
    </font>
    <font>
      <b/>
      <sz val="12"/>
      <name val="Times New Roman"/>
      <charset val="134"/>
    </font>
    <font>
      <sz val="12"/>
      <name val="Times New Roman"/>
      <charset val="134"/>
    </font>
    <font>
      <b/>
      <sz val="11"/>
      <name val="Times New Roman"/>
      <charset val="134"/>
    </font>
    <font>
      <b/>
      <sz val="40"/>
      <name val="宋体"/>
      <charset val="134"/>
    </font>
    <font>
      <b/>
      <sz val="18"/>
      <name val="宋体"/>
      <charset val="134"/>
    </font>
    <font>
      <sz val="18"/>
      <color indexed="10"/>
      <name val="宋体"/>
      <charset val="134"/>
    </font>
    <font>
      <sz val="18"/>
      <name val="宋体"/>
      <charset val="134"/>
    </font>
    <font>
      <b/>
      <sz val="18"/>
      <name val="Times New Roman"/>
      <charset val="134"/>
    </font>
    <font>
      <sz val="18"/>
      <color theme="1"/>
      <name val="等线"/>
      <charset val="134"/>
      <scheme val="minor"/>
    </font>
    <font>
      <sz val="18"/>
      <name val="Times New Roman"/>
      <charset val="134"/>
    </font>
    <font>
      <b/>
      <sz val="20"/>
      <name val="Times New Roman"/>
      <charset val="134"/>
    </font>
    <font>
      <sz val="20"/>
      <name val="宋体"/>
      <charset val="134"/>
    </font>
    <font>
      <b/>
      <sz val="20"/>
      <name val="宋体"/>
      <charset val="134"/>
    </font>
    <font>
      <b/>
      <sz val="20"/>
      <color theme="0"/>
      <name val="宋体"/>
      <charset val="134"/>
    </font>
    <font>
      <b/>
      <sz val="20"/>
      <color rgb="FF000000"/>
      <name val="Times New Roman"/>
      <charset val="134"/>
    </font>
    <font>
      <sz val="20"/>
      <color rgb="FF000000"/>
      <name val="宋体"/>
      <charset val="134"/>
    </font>
    <font>
      <sz val="20"/>
      <color rgb="FF000000"/>
      <name val="Times New Roman"/>
      <charset val="134"/>
    </font>
    <font>
      <b/>
      <sz val="40"/>
      <color rgb="FF000000"/>
      <name val="宋体"/>
      <charset val="134"/>
    </font>
    <font>
      <sz val="18"/>
      <color indexed="8"/>
      <name val="黑体"/>
      <charset val="134"/>
    </font>
    <font>
      <sz val="26"/>
      <color indexed="8"/>
      <name val="黑体"/>
      <charset val="134"/>
    </font>
    <font>
      <b/>
      <sz val="6"/>
      <name val="宋体"/>
      <charset val="134"/>
    </font>
    <font>
      <b/>
      <sz val="8"/>
      <name val="Times New Roman"/>
      <charset val="134"/>
    </font>
    <font>
      <sz val="6"/>
      <name val="Times New Roman"/>
      <charset val="134"/>
    </font>
    <font>
      <sz val="9"/>
      <name val="Times New Roman"/>
      <charset val="134"/>
    </font>
    <font>
      <sz val="9"/>
      <name val="宋体"/>
      <charset val="134"/>
    </font>
    <font>
      <sz val="6"/>
      <color theme="1"/>
      <name val="等线"/>
      <charset val="134"/>
      <scheme val="minor"/>
    </font>
    <font>
      <sz val="21.5"/>
      <color indexed="8"/>
      <name val="黑体"/>
      <charset val="134"/>
    </font>
    <font>
      <sz val="9.45"/>
      <color indexed="8"/>
      <name val="宋体"/>
      <charset val="134"/>
    </font>
    <font>
      <sz val="10.75"/>
      <color indexed="0"/>
      <name val="宋体"/>
      <charset val="134"/>
    </font>
    <font>
      <b/>
      <sz val="7.55"/>
      <color indexed="0"/>
      <name val="宋体"/>
      <charset val="134"/>
    </font>
    <font>
      <sz val="7.55"/>
      <color indexed="0"/>
      <name val="宋体"/>
      <charset val="134"/>
    </font>
    <font>
      <sz val="8.85"/>
      <color indexed="0"/>
      <name val="宋体"/>
      <charset val="134"/>
    </font>
    <font>
      <b/>
      <sz val="10"/>
      <name val="Times New Roman"/>
      <charset val="134"/>
    </font>
    <font>
      <b/>
      <sz val="8"/>
      <name val="宋体"/>
      <charset val="134"/>
    </font>
    <font>
      <b/>
      <sz val="22"/>
      <name val="Times New Roman"/>
      <charset val="134"/>
    </font>
    <font>
      <sz val="28"/>
      <color indexed="8"/>
      <name val="黑体"/>
      <charset val="134"/>
    </font>
    <font>
      <sz val="11"/>
      <color theme="0" tint="-0.15"/>
      <name val="Times New Roman"/>
      <charset val="134"/>
    </font>
    <font>
      <b/>
      <sz val="12"/>
      <name val="宋体"/>
      <charset val="134"/>
    </font>
    <font>
      <sz val="8"/>
      <name val="宋体"/>
      <charset val="134"/>
    </font>
    <font>
      <b/>
      <sz val="10"/>
      <color theme="1"/>
      <name val="等线"/>
      <charset val="134"/>
      <scheme val="minor"/>
    </font>
    <font>
      <sz val="11"/>
      <color rgb="FF000000"/>
      <name val="微软雅黑"/>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b/>
      <sz val="12"/>
      <name val="黑体"/>
      <charset val="134"/>
    </font>
    <font>
      <b/>
      <sz val="22"/>
      <name val="宋体"/>
      <charset val="134"/>
    </font>
    <font>
      <b/>
      <sz val="18"/>
      <color rgb="FF000000"/>
      <name val="宋体"/>
      <charset val="134"/>
    </font>
    <font>
      <b/>
      <sz val="10"/>
      <color rgb="FF0E3BE4"/>
      <name val="宋体"/>
      <charset val="134"/>
    </font>
    <font>
      <b/>
      <sz val="11"/>
      <name val="等线"/>
      <charset val="134"/>
    </font>
    <font>
      <sz val="8"/>
      <name val="Times New Roman"/>
      <charset val="134"/>
    </font>
    <font>
      <b/>
      <sz val="16"/>
      <color indexed="8"/>
      <name val="宋体"/>
      <charset val="134"/>
    </font>
    <font>
      <sz val="11"/>
      <name val="等线"/>
      <charset val="134"/>
    </font>
    <font>
      <sz val="11"/>
      <color rgb="FFFF0000"/>
      <name val="Times New Roman"/>
      <charset val="134"/>
    </font>
    <font>
      <b/>
      <sz val="10"/>
      <color rgb="FF0000FF"/>
      <name val="宋体"/>
      <charset val="134"/>
    </font>
    <font>
      <b/>
      <sz val="16"/>
      <color rgb="FF000000"/>
      <name val="华文中宋"/>
      <charset val="134"/>
    </font>
    <font>
      <b/>
      <sz val="10"/>
      <color rgb="FF1D41D5"/>
      <name val="宋体"/>
      <charset val="134"/>
    </font>
    <font>
      <b/>
      <sz val="9"/>
      <name val="宋体"/>
      <charset val="134"/>
    </font>
    <font>
      <sz val="9"/>
      <name val="宋体"/>
      <charset val="134"/>
    </font>
  </fonts>
  <fills count="63">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tint="-0.149876400036622"/>
        <bgColor indexed="64"/>
      </patternFill>
    </fill>
    <fill>
      <patternFill patternType="solid">
        <fgColor theme="0" tint="-0.349986266670736"/>
        <bgColor indexed="64"/>
      </patternFill>
    </fill>
    <fill>
      <patternFill patternType="solid">
        <fgColor theme="9" tint="0.599993896298105"/>
        <bgColor indexed="64"/>
      </patternFill>
    </fill>
    <fill>
      <patternFill patternType="solid">
        <fgColor theme="0" tint="-0.25"/>
        <bgColor indexed="64"/>
      </patternFill>
    </fill>
    <fill>
      <patternFill patternType="solid">
        <fgColor theme="0"/>
        <bgColor indexed="64"/>
      </patternFill>
    </fill>
    <fill>
      <patternFill patternType="solid">
        <fgColor rgb="FF999999"/>
        <bgColor rgb="FF000000"/>
      </patternFill>
    </fill>
    <fill>
      <patternFill patternType="solid">
        <fgColor rgb="FFC0C0C0"/>
        <bgColor rgb="FF000000"/>
      </patternFill>
    </fill>
    <fill>
      <patternFill patternType="solid">
        <fgColor rgb="FFFEFEFE"/>
        <bgColor indexed="64"/>
      </patternFill>
    </fill>
    <fill>
      <patternFill patternType="solid">
        <fgColor rgb="FFA9D08E"/>
        <bgColor rgb="FF000000"/>
      </patternFill>
    </fill>
    <fill>
      <patternFill patternType="solid">
        <fgColor rgb="FFFF0000"/>
        <bgColor indexed="64"/>
      </patternFill>
    </fill>
    <fill>
      <patternFill patternType="solid">
        <fgColor rgb="FFFFC000"/>
        <bgColor indexed="64"/>
      </patternFill>
    </fill>
    <fill>
      <patternFill patternType="solid">
        <fgColor theme="0" tint="-0.14996795556505"/>
        <bgColor indexed="64"/>
      </patternFill>
    </fill>
    <fill>
      <patternFill patternType="solid">
        <fgColor indexed="22"/>
        <bgColor indexed="64"/>
      </patternFill>
    </fill>
    <fill>
      <patternFill patternType="solid">
        <fgColor indexed="9"/>
        <bgColor indexed="64"/>
      </patternFill>
    </fill>
    <fill>
      <patternFill patternType="solid">
        <fgColor rgb="FF00FF00"/>
        <bgColor indexed="64"/>
      </patternFill>
    </fill>
    <fill>
      <patternFill patternType="solid">
        <fgColor theme="3" tint="0.799951170384838"/>
        <bgColor indexed="64"/>
      </patternFill>
    </fill>
    <fill>
      <patternFill patternType="solid">
        <fgColor theme="9" tint="0.399945066682943"/>
        <bgColor indexed="64"/>
      </patternFill>
    </fill>
    <fill>
      <patternFill patternType="solid">
        <fgColor rgb="FF00B0F0"/>
        <bgColor indexed="64"/>
      </patternFill>
    </fill>
    <fill>
      <patternFill patternType="solid">
        <fgColor theme="4" tint="0.6"/>
        <bgColor indexed="64"/>
      </patternFill>
    </fill>
    <fill>
      <patternFill patternType="solid">
        <fgColor rgb="FF92D050"/>
        <bgColor indexed="64"/>
      </patternFill>
    </fill>
    <fill>
      <patternFill patternType="solid">
        <fgColor theme="7" tint="0.6"/>
        <bgColor indexed="64"/>
      </patternFill>
    </fill>
    <fill>
      <patternFill patternType="solid">
        <fgColor theme="5" tint="0.6"/>
        <bgColor indexed="64"/>
      </patternFill>
    </fill>
    <fill>
      <patternFill patternType="solid">
        <fgColor theme="8" tint="0.8"/>
        <bgColor indexed="64"/>
      </patternFill>
    </fill>
    <fill>
      <patternFill patternType="solid">
        <fgColor theme="8" tint="0.799951170384838"/>
        <bgColor indexed="64"/>
      </patternFill>
    </fill>
    <fill>
      <patternFill patternType="solid">
        <fgColor theme="5" tint="0.8"/>
        <bgColor indexed="64"/>
      </patternFill>
    </fill>
    <fill>
      <patternFill patternType="solid">
        <fgColor theme="8" tint="0.6"/>
        <bgColor indexed="64"/>
      </patternFill>
    </fill>
    <fill>
      <patternFill patternType="solid">
        <fgColor rgb="FFFFFF66"/>
        <bgColor indexed="64"/>
      </patternFill>
    </fill>
    <fill>
      <patternFill patternType="solid">
        <fgColor theme="4" tint="0.4"/>
        <bgColor indexed="64"/>
      </patternFill>
    </fill>
    <fill>
      <patternFill patternType="solid">
        <fgColor theme="3"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8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right style="thin">
        <color rgb="FF000000"/>
      </right>
      <top/>
      <bottom/>
      <diagonal/>
    </border>
    <border>
      <left style="thin">
        <color auto="1"/>
      </left>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auto="1"/>
      </top>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style="thin">
        <color indexed="8"/>
      </left>
      <right style="thin">
        <color indexed="8"/>
      </right>
      <top style="thick">
        <color indexed="8"/>
      </top>
      <bottom style="thin">
        <color indexed="8"/>
      </bottom>
      <diagonal/>
    </border>
    <border>
      <left style="thin">
        <color indexed="8"/>
      </left>
      <right style="medium">
        <color indexed="8"/>
      </right>
      <top style="thick">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0" fillId="33" borderId="75" applyNumberFormat="0" applyFont="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76" applyNumberFormat="0" applyFill="0" applyAlignment="0" applyProtection="0">
      <alignment vertical="center"/>
    </xf>
    <xf numFmtId="0" fontId="190" fillId="0" borderId="76" applyNumberFormat="0" applyFill="0" applyAlignment="0" applyProtection="0">
      <alignment vertical="center"/>
    </xf>
    <xf numFmtId="0" fontId="191" fillId="0" borderId="77" applyNumberFormat="0" applyFill="0" applyAlignment="0" applyProtection="0">
      <alignment vertical="center"/>
    </xf>
    <xf numFmtId="0" fontId="191" fillId="0" borderId="0" applyNumberFormat="0" applyFill="0" applyBorder="0" applyAlignment="0" applyProtection="0">
      <alignment vertical="center"/>
    </xf>
    <xf numFmtId="0" fontId="192" fillId="34" borderId="78" applyNumberFormat="0" applyAlignment="0" applyProtection="0">
      <alignment vertical="center"/>
    </xf>
    <xf numFmtId="0" fontId="193" fillId="35" borderId="79" applyNumberFormat="0" applyAlignment="0" applyProtection="0">
      <alignment vertical="center"/>
    </xf>
    <xf numFmtId="0" fontId="194" fillId="35" borderId="78" applyNumberFormat="0" applyAlignment="0" applyProtection="0">
      <alignment vertical="center"/>
    </xf>
    <xf numFmtId="0" fontId="195" fillId="36" borderId="80" applyNumberFormat="0" applyAlignment="0" applyProtection="0">
      <alignment vertical="center"/>
    </xf>
    <xf numFmtId="0" fontId="196" fillId="0" borderId="81" applyNumberFormat="0" applyFill="0" applyAlignment="0" applyProtection="0">
      <alignment vertical="center"/>
    </xf>
    <xf numFmtId="0" fontId="197" fillId="0" borderId="82" applyNumberFormat="0" applyFill="0" applyAlignment="0" applyProtection="0">
      <alignment vertical="center"/>
    </xf>
    <xf numFmtId="0" fontId="198" fillId="37" borderId="0" applyNumberFormat="0" applyBorder="0" applyAlignment="0" applyProtection="0">
      <alignment vertical="center"/>
    </xf>
    <xf numFmtId="0" fontId="199" fillId="38" borderId="0" applyNumberFormat="0" applyBorder="0" applyAlignment="0" applyProtection="0">
      <alignment vertical="center"/>
    </xf>
    <xf numFmtId="0" fontId="200" fillId="39" borderId="0" applyNumberFormat="0" applyBorder="0" applyAlignment="0" applyProtection="0">
      <alignment vertical="center"/>
    </xf>
    <xf numFmtId="0" fontId="201" fillId="40" borderId="0" applyNumberFormat="0" applyBorder="0" applyAlignment="0" applyProtection="0">
      <alignment vertical="center"/>
    </xf>
    <xf numFmtId="0" fontId="202" fillId="41" borderId="0" applyNumberFormat="0" applyBorder="0" applyAlignment="0" applyProtection="0">
      <alignment vertical="center"/>
    </xf>
    <xf numFmtId="0" fontId="202" fillId="42" borderId="0" applyNumberFormat="0" applyBorder="0" applyAlignment="0" applyProtection="0">
      <alignment vertical="center"/>
    </xf>
    <xf numFmtId="0" fontId="201" fillId="43" borderId="0" applyNumberFormat="0" applyBorder="0" applyAlignment="0" applyProtection="0">
      <alignment vertical="center"/>
    </xf>
    <xf numFmtId="0" fontId="201" fillId="44" borderId="0" applyNumberFormat="0" applyBorder="0" applyAlignment="0" applyProtection="0">
      <alignment vertical="center"/>
    </xf>
    <xf numFmtId="0" fontId="202" fillId="45" borderId="0" applyNumberFormat="0" applyBorder="0" applyAlignment="0" applyProtection="0">
      <alignment vertical="center"/>
    </xf>
    <xf numFmtId="0" fontId="202" fillId="46" borderId="0" applyNumberFormat="0" applyBorder="0" applyAlignment="0" applyProtection="0">
      <alignment vertical="center"/>
    </xf>
    <xf numFmtId="0" fontId="201" fillId="47" borderId="0" applyNumberFormat="0" applyBorder="0" applyAlignment="0" applyProtection="0">
      <alignment vertical="center"/>
    </xf>
    <xf numFmtId="0" fontId="201" fillId="48" borderId="0" applyNumberFormat="0" applyBorder="0" applyAlignment="0" applyProtection="0">
      <alignment vertical="center"/>
    </xf>
    <xf numFmtId="0" fontId="202" fillId="49" borderId="0" applyNumberFormat="0" applyBorder="0" applyAlignment="0" applyProtection="0">
      <alignment vertical="center"/>
    </xf>
    <xf numFmtId="0" fontId="202" fillId="50" borderId="0" applyNumberFormat="0" applyBorder="0" applyAlignment="0" applyProtection="0">
      <alignment vertical="center"/>
    </xf>
    <xf numFmtId="0" fontId="201" fillId="51" borderId="0" applyNumberFormat="0" applyBorder="0" applyAlignment="0" applyProtection="0">
      <alignment vertical="center"/>
    </xf>
    <xf numFmtId="0" fontId="201" fillId="52" borderId="0" applyNumberFormat="0" applyBorder="0" applyAlignment="0" applyProtection="0">
      <alignment vertical="center"/>
    </xf>
    <xf numFmtId="0" fontId="202" fillId="53" borderId="0" applyNumberFormat="0" applyBorder="0" applyAlignment="0" applyProtection="0">
      <alignment vertical="center"/>
    </xf>
    <xf numFmtId="0" fontId="202" fillId="54" borderId="0" applyNumberFormat="0" applyBorder="0" applyAlignment="0" applyProtection="0">
      <alignment vertical="center"/>
    </xf>
    <xf numFmtId="0" fontId="201" fillId="55" borderId="0" applyNumberFormat="0" applyBorder="0" applyAlignment="0" applyProtection="0">
      <alignment vertical="center"/>
    </xf>
    <xf numFmtId="0" fontId="201" fillId="56" borderId="0" applyNumberFormat="0" applyBorder="0" applyAlignment="0" applyProtection="0">
      <alignment vertical="center"/>
    </xf>
    <xf numFmtId="0" fontId="202" fillId="57" borderId="0" applyNumberFormat="0" applyBorder="0" applyAlignment="0" applyProtection="0">
      <alignment vertical="center"/>
    </xf>
    <xf numFmtId="0" fontId="202" fillId="58" borderId="0" applyNumberFormat="0" applyBorder="0" applyAlignment="0" applyProtection="0">
      <alignment vertical="center"/>
    </xf>
    <xf numFmtId="0" fontId="201" fillId="59" borderId="0" applyNumberFormat="0" applyBorder="0" applyAlignment="0" applyProtection="0">
      <alignment vertical="center"/>
    </xf>
    <xf numFmtId="0" fontId="201" fillId="60" borderId="0" applyNumberFormat="0" applyBorder="0" applyAlignment="0" applyProtection="0">
      <alignment vertical="center"/>
    </xf>
    <xf numFmtId="0" fontId="202" fillId="61" borderId="0" applyNumberFormat="0" applyBorder="0" applyAlignment="0" applyProtection="0">
      <alignment vertical="center"/>
    </xf>
    <xf numFmtId="0" fontId="202" fillId="6" borderId="0" applyNumberFormat="0" applyBorder="0" applyAlignment="0" applyProtection="0">
      <alignment vertical="center"/>
    </xf>
    <xf numFmtId="0" fontId="201" fillId="62" borderId="0" applyNumberFormat="0" applyBorder="0" applyAlignment="0" applyProtection="0">
      <alignment vertical="center"/>
    </xf>
    <xf numFmtId="9" fontId="203" fillId="0" borderId="0" applyFont="0" applyFill="0" applyBorder="0" applyAlignment="0" applyProtection="0"/>
    <xf numFmtId="0" fontId="0" fillId="0" borderId="0"/>
    <xf numFmtId="0" fontId="203" fillId="0" borderId="0">
      <alignment vertical="center"/>
    </xf>
    <xf numFmtId="0" fontId="0" fillId="0" borderId="0">
      <alignment vertical="center"/>
    </xf>
    <xf numFmtId="0" fontId="0" fillId="0" borderId="0">
      <alignment vertical="center"/>
    </xf>
    <xf numFmtId="0" fontId="0" fillId="0" borderId="0"/>
    <xf numFmtId="0" fontId="122" fillId="0" borderId="0">
      <alignment vertical="center"/>
    </xf>
    <xf numFmtId="0" fontId="203" fillId="0" borderId="0"/>
    <xf numFmtId="0" fontId="0" fillId="0" borderId="0"/>
    <xf numFmtId="0" fontId="0" fillId="0" borderId="0"/>
    <xf numFmtId="0" fontId="0" fillId="0" borderId="0"/>
    <xf numFmtId="0" fontId="0" fillId="0" borderId="0"/>
    <xf numFmtId="0" fontId="19" fillId="0" borderId="0"/>
    <xf numFmtId="43" fontId="203" fillId="0" borderId="0" applyFont="0" applyFill="0" applyBorder="0" applyAlignment="0" applyProtection="0"/>
    <xf numFmtId="43" fontId="0" fillId="0" borderId="0" applyFont="0" applyFill="0" applyBorder="0" applyAlignment="0" applyProtection="0">
      <alignment vertical="center"/>
    </xf>
    <xf numFmtId="4" fontId="122" fillId="0" borderId="0" applyFont="0" applyFill="0" applyBorder="0" applyAlignment="0" applyProtection="0">
      <alignment vertical="center"/>
    </xf>
    <xf numFmtId="43" fontId="203" fillId="0" borderId="0" applyFont="0" applyFill="0" applyBorder="0" applyAlignment="0" applyProtection="0"/>
    <xf numFmtId="176" fontId="203"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203" fillId="0" borderId="0"/>
    <xf numFmtId="0" fontId="144" fillId="0" borderId="0"/>
    <xf numFmtId="43" fontId="203" fillId="0" borderId="0" applyFont="0" applyFill="0" applyBorder="0" applyAlignment="0" applyProtection="0">
      <alignment vertical="center"/>
    </xf>
  </cellStyleXfs>
  <cellXfs count="1512">
    <xf numFmtId="0" fontId="0" fillId="0" borderId="0" xfId="0">
      <alignment vertical="center"/>
    </xf>
    <xf numFmtId="0" fontId="0" fillId="0" borderId="0" xfId="53">
      <alignment vertical="center"/>
    </xf>
    <xf numFmtId="43" fontId="0" fillId="0" borderId="0" xfId="1" applyFont="1" applyAlignment="1">
      <alignment horizontal="center" vertical="center"/>
    </xf>
    <xf numFmtId="10" fontId="0" fillId="0" borderId="0" xfId="53" applyNumberFormat="1">
      <alignment vertical="center"/>
    </xf>
    <xf numFmtId="49" fontId="1" fillId="0" borderId="1" xfId="53" applyNumberFormat="1" applyFont="1" applyBorder="1" applyAlignment="1">
      <alignment horizontal="center" vertical="justify"/>
    </xf>
    <xf numFmtId="49" fontId="1" fillId="0" borderId="2" xfId="53" applyNumberFormat="1" applyFont="1" applyBorder="1" applyAlignment="1">
      <alignment horizontal="center" vertical="justify"/>
    </xf>
    <xf numFmtId="49" fontId="1" fillId="0" borderId="3" xfId="53" applyNumberFormat="1" applyFont="1" applyBorder="1" applyAlignment="1">
      <alignment horizontal="center" vertical="justify"/>
    </xf>
    <xf numFmtId="0" fontId="2" fillId="0" borderId="4" xfId="53" applyFont="1" applyBorder="1" applyAlignment="1">
      <alignment horizontal="justify" vertical="justify"/>
    </xf>
    <xf numFmtId="43" fontId="2" fillId="0" borderId="0" xfId="1" applyFont="1" applyAlignment="1">
      <alignment horizontal="center" vertical="center"/>
    </xf>
    <xf numFmtId="43" fontId="2" fillId="0" borderId="5" xfId="1" applyFont="1" applyBorder="1" applyAlignment="1">
      <alignment horizontal="center" vertical="center"/>
    </xf>
    <xf numFmtId="49" fontId="3" fillId="0" borderId="6" xfId="53" applyNumberFormat="1" applyFont="1" applyBorder="1" applyAlignment="1">
      <alignment horizontal="justify" vertical="justify"/>
    </xf>
    <xf numFmtId="177" fontId="4" fillId="0" borderId="7" xfId="1" applyNumberFormat="1" applyFont="1" applyBorder="1" applyAlignment="1">
      <alignment horizontal="center" vertical="center"/>
    </xf>
    <xf numFmtId="43" fontId="2" fillId="0" borderId="8" xfId="1" applyFont="1" applyBorder="1" applyAlignment="1">
      <alignment horizontal="center" vertical="center"/>
    </xf>
    <xf numFmtId="49" fontId="5" fillId="0" borderId="9" xfId="53" applyNumberFormat="1" applyFont="1" applyBorder="1" applyAlignment="1">
      <alignment horizontal="center" vertical="center"/>
    </xf>
    <xf numFmtId="43" fontId="5" fillId="0" borderId="8" xfId="1" applyFont="1" applyBorder="1" applyAlignment="1">
      <alignment horizontal="center" vertical="center"/>
    </xf>
    <xf numFmtId="49" fontId="6" fillId="0" borderId="9" xfId="53" applyNumberFormat="1" applyFont="1" applyBorder="1" applyAlignment="1">
      <alignment horizontal="justify" vertical="justify"/>
    </xf>
    <xf numFmtId="43" fontId="7" fillId="2" borderId="8" xfId="1" applyFont="1" applyFill="1" applyBorder="1" applyAlignment="1">
      <alignment horizontal="center" vertical="center"/>
    </xf>
    <xf numFmtId="43" fontId="7" fillId="0" borderId="8" xfId="1" applyFont="1" applyBorder="1" applyAlignment="1">
      <alignment horizontal="center" vertical="center"/>
    </xf>
    <xf numFmtId="43" fontId="0" fillId="0" borderId="0" xfId="53" applyNumberFormat="1">
      <alignment vertical="center"/>
    </xf>
    <xf numFmtId="43" fontId="7" fillId="3" borderId="8" xfId="1" applyFont="1" applyFill="1" applyBorder="1" applyAlignment="1">
      <alignment horizontal="center" vertical="center"/>
    </xf>
    <xf numFmtId="43" fontId="8" fillId="0" borderId="10" xfId="1" applyFont="1" applyBorder="1" applyAlignment="1">
      <alignment horizontal="center" vertical="center"/>
    </xf>
    <xf numFmtId="0" fontId="9" fillId="0" borderId="6" xfId="53" applyFont="1" applyBorder="1" applyAlignment="1">
      <alignment horizontal="justify" vertical="justify"/>
    </xf>
    <xf numFmtId="43" fontId="9" fillId="0" borderId="7" xfId="1" applyFont="1" applyBorder="1" applyAlignment="1">
      <alignment horizontal="center" vertical="center"/>
    </xf>
    <xf numFmtId="43" fontId="9" fillId="0" borderId="8" xfId="1" applyFont="1" applyBorder="1" applyAlignment="1">
      <alignment horizontal="center" vertical="center"/>
    </xf>
    <xf numFmtId="0" fontId="0" fillId="0" borderId="0" xfId="52">
      <alignment vertical="center"/>
    </xf>
    <xf numFmtId="49" fontId="10" fillId="0" borderId="1" xfId="52" applyNumberFormat="1" applyFont="1" applyBorder="1" applyAlignment="1">
      <alignment horizontal="center" vertical="center"/>
    </xf>
    <xf numFmtId="49" fontId="10" fillId="0" borderId="2" xfId="52" applyNumberFormat="1" applyFont="1" applyBorder="1" applyAlignment="1">
      <alignment horizontal="center" vertical="center"/>
    </xf>
    <xf numFmtId="49" fontId="10" fillId="0" borderId="3" xfId="52" applyNumberFormat="1" applyFont="1" applyBorder="1" applyAlignment="1">
      <alignment horizontal="center" vertical="center"/>
    </xf>
    <xf numFmtId="0" fontId="3" fillId="0" borderId="4" xfId="52" applyFont="1" applyBorder="1" applyAlignment="1">
      <alignment horizontal="justify" vertical="justify"/>
    </xf>
    <xf numFmtId="43" fontId="3" fillId="0" borderId="0" xfId="1" applyFont="1" applyAlignment="1">
      <alignment horizontal="center" vertical="center"/>
    </xf>
    <xf numFmtId="0" fontId="3" fillId="0" borderId="0" xfId="52" applyFont="1" applyAlignment="1">
      <alignment horizontal="justify" vertical="justify"/>
    </xf>
    <xf numFmtId="43" fontId="3" fillId="0" borderId="5" xfId="1" applyFont="1" applyBorder="1" applyAlignment="1">
      <alignment horizontal="center" vertical="center"/>
    </xf>
    <xf numFmtId="49" fontId="3" fillId="0" borderId="6" xfId="52" applyNumberFormat="1" applyFont="1" applyBorder="1" applyAlignment="1">
      <alignment horizontal="justify" vertical="justify"/>
    </xf>
    <xf numFmtId="49" fontId="3" fillId="0" borderId="7" xfId="52" applyNumberFormat="1" applyFont="1" applyBorder="1" applyAlignment="1">
      <alignment horizontal="justify" vertical="justify"/>
    </xf>
    <xf numFmtId="58" fontId="3" fillId="0" borderId="7" xfId="1" applyNumberFormat="1" applyFont="1" applyBorder="1" applyAlignment="1">
      <alignment horizontal="center" vertical="center"/>
    </xf>
    <xf numFmtId="178" fontId="3" fillId="0" borderId="7" xfId="52" applyNumberFormat="1" applyFont="1" applyBorder="1" applyAlignment="1">
      <alignment horizontal="center" vertical="center"/>
    </xf>
    <xf numFmtId="43" fontId="3" fillId="0" borderId="7" xfId="1" applyFont="1" applyBorder="1" applyAlignment="1">
      <alignment horizontal="center" vertical="center"/>
    </xf>
    <xf numFmtId="43" fontId="3" fillId="0" borderId="8" xfId="1" applyFont="1" applyBorder="1" applyAlignment="1">
      <alignment horizontal="center" vertical="center"/>
    </xf>
    <xf numFmtId="49" fontId="5" fillId="0" borderId="9" xfId="52" applyNumberFormat="1" applyFont="1" applyBorder="1" applyAlignment="1">
      <alignment horizontal="center" vertical="center"/>
    </xf>
    <xf numFmtId="49" fontId="5" fillId="0" borderId="8" xfId="52" applyNumberFormat="1" applyFont="1" applyBorder="1" applyAlignment="1">
      <alignment horizontal="center" vertical="center"/>
    </xf>
    <xf numFmtId="49" fontId="11" fillId="0" borderId="9" xfId="52" applyNumberFormat="1" applyFont="1" applyBorder="1" applyAlignment="1">
      <alignment horizontal="justify" vertical="justify"/>
    </xf>
    <xf numFmtId="49" fontId="11" fillId="0" borderId="8" xfId="52" applyNumberFormat="1" applyFont="1" applyBorder="1" applyAlignment="1">
      <alignment horizontal="justify" vertical="justify"/>
    </xf>
    <xf numFmtId="43" fontId="12" fillId="0" borderId="8" xfId="1" applyFont="1" applyBorder="1" applyAlignment="1">
      <alignment horizontal="center" vertical="center"/>
    </xf>
    <xf numFmtId="43" fontId="8" fillId="4" borderId="10" xfId="67" applyFont="1" applyFill="1" applyBorder="1" applyAlignment="1">
      <alignment horizontal="center" vertical="center"/>
    </xf>
    <xf numFmtId="43" fontId="8" fillId="0" borderId="10" xfId="67" applyFont="1" applyBorder="1" applyAlignment="1">
      <alignment horizontal="center" vertical="center"/>
    </xf>
    <xf numFmtId="43" fontId="7" fillId="4" borderId="8" xfId="1" applyFont="1" applyFill="1" applyBorder="1" applyAlignment="1">
      <alignment horizontal="center" vertical="center"/>
    </xf>
    <xf numFmtId="43" fontId="8" fillId="4" borderId="10" xfId="1" applyFont="1" applyFill="1" applyBorder="1" applyAlignment="1">
      <alignment horizontal="center" vertical="center"/>
    </xf>
    <xf numFmtId="43" fontId="0" fillId="0" borderId="0" xfId="52" applyNumberFormat="1">
      <alignment vertical="center"/>
    </xf>
    <xf numFmtId="43" fontId="8" fillId="3" borderId="10" xfId="1" applyFont="1" applyFill="1" applyBorder="1" applyAlignment="1">
      <alignment horizontal="center" vertical="center"/>
    </xf>
    <xf numFmtId="0" fontId="11" fillId="0" borderId="8" xfId="52" applyFont="1" applyBorder="1" applyAlignment="1">
      <alignment horizontal="justify" vertical="justify"/>
    </xf>
    <xf numFmtId="49" fontId="11" fillId="0" borderId="9" xfId="52" applyNumberFormat="1" applyFont="1" applyBorder="1" applyAlignment="1">
      <alignment horizontal="center" vertical="justify"/>
    </xf>
    <xf numFmtId="43" fontId="11" fillId="4" borderId="8" xfId="1" applyFont="1" applyFill="1" applyBorder="1" applyAlignment="1">
      <alignment horizontal="center" vertical="center"/>
    </xf>
    <xf numFmtId="43" fontId="11" fillId="0" borderId="8" xfId="1" applyFont="1" applyBorder="1" applyAlignment="1">
      <alignment horizontal="center" vertical="center"/>
    </xf>
    <xf numFmtId="43" fontId="8" fillId="2" borderId="10" xfId="1" applyFont="1" applyFill="1" applyBorder="1" applyAlignment="1">
      <alignment horizontal="center" vertical="center"/>
    </xf>
    <xf numFmtId="43" fontId="8" fillId="5" borderId="10" xfId="1" applyFont="1" applyFill="1" applyBorder="1" applyAlignment="1">
      <alignment horizontal="center" vertical="center"/>
    </xf>
    <xf numFmtId="49" fontId="11" fillId="0" borderId="8" xfId="52" applyNumberFormat="1" applyFont="1" applyBorder="1" applyAlignment="1">
      <alignment horizontal="left" vertical="justify"/>
    </xf>
    <xf numFmtId="43" fontId="7" fillId="0" borderId="8" xfId="1" applyFont="1" applyFill="1" applyBorder="1" applyAlignment="1">
      <alignment horizontal="center" vertical="center"/>
    </xf>
    <xf numFmtId="43" fontId="7" fillId="0" borderId="8" xfId="1" applyNumberFormat="1" applyFont="1" applyBorder="1" applyAlignment="1">
      <alignment horizontal="center" vertical="center"/>
    </xf>
    <xf numFmtId="43" fontId="7" fillId="2" borderId="8" xfId="1" applyNumberFormat="1" applyFont="1" applyFill="1" applyBorder="1" applyAlignment="1">
      <alignment horizontal="center" vertical="center"/>
    </xf>
    <xf numFmtId="43" fontId="13" fillId="6" borderId="0" xfId="1" applyFont="1" applyFill="1" applyAlignment="1">
      <alignment horizontal="center" vertical="center"/>
    </xf>
    <xf numFmtId="43" fontId="9" fillId="0" borderId="8" xfId="1" applyNumberFormat="1" applyFont="1" applyBorder="1" applyAlignment="1">
      <alignment horizontal="center" vertical="center"/>
    </xf>
    <xf numFmtId="10" fontId="0" fillId="0" borderId="0" xfId="52" applyNumberFormat="1">
      <alignment vertical="center"/>
    </xf>
    <xf numFmtId="0" fontId="9" fillId="0" borderId="6" xfId="52" applyFont="1" applyBorder="1" applyAlignment="1">
      <alignment horizontal="justify" vertical="justify"/>
    </xf>
    <xf numFmtId="0" fontId="9" fillId="0" borderId="7" xfId="52" applyFont="1" applyBorder="1" applyAlignment="1">
      <alignment horizontal="justify" vertical="justify"/>
    </xf>
    <xf numFmtId="0" fontId="14" fillId="0" borderId="0" xfId="0" applyFont="1">
      <alignment vertical="center"/>
    </xf>
    <xf numFmtId="43" fontId="15" fillId="0" borderId="0" xfId="0" applyNumberFormat="1" applyFont="1" applyAlignment="1">
      <alignment horizontal="center" vertical="center"/>
    </xf>
    <xf numFmtId="0" fontId="16" fillId="0" borderId="0" xfId="70" applyFont="1" applyAlignment="1" applyProtection="1">
      <alignment horizontal="center"/>
      <protection hidden="1"/>
    </xf>
    <xf numFmtId="10" fontId="14" fillId="0" borderId="0" xfId="3" applyNumberFormat="1" applyFont="1" applyAlignment="1">
      <alignment horizontal="center" vertical="center"/>
    </xf>
    <xf numFmtId="0" fontId="17" fillId="0" borderId="7" xfId="0" applyNumberFormat="1" applyFont="1" applyFill="1" applyBorder="1" applyAlignment="1" applyProtection="1">
      <alignment horizontal="left" vertical="center"/>
      <protection hidden="1"/>
    </xf>
    <xf numFmtId="179" fontId="18" fillId="0" borderId="7" xfId="0" applyNumberFormat="1" applyFont="1" applyFill="1" applyBorder="1" applyAlignment="1" applyProtection="1">
      <alignment horizontal="left" vertical="center"/>
      <protection hidden="1"/>
    </xf>
    <xf numFmtId="57" fontId="17" fillId="0" borderId="0" xfId="0" applyNumberFormat="1" applyFont="1" applyFill="1" applyBorder="1" applyAlignment="1" applyProtection="1">
      <alignment horizontal="center" vertical="center"/>
      <protection hidden="1"/>
    </xf>
    <xf numFmtId="180" fontId="19" fillId="0" borderId="0" xfId="0" applyNumberFormat="1" applyFont="1" applyFill="1" applyBorder="1" applyAlignment="1" applyProtection="1">
      <alignment horizontal="right" vertical="center"/>
      <protection hidden="1"/>
    </xf>
    <xf numFmtId="43" fontId="14" fillId="0" borderId="0" xfId="0" applyNumberFormat="1" applyFont="1">
      <alignment vertical="center"/>
    </xf>
    <xf numFmtId="0" fontId="20" fillId="7" borderId="11" xfId="0" applyNumberFormat="1" applyFont="1" applyFill="1" applyBorder="1" applyAlignment="1" applyProtection="1">
      <alignment horizontal="center" vertical="center"/>
      <protection locked="0" hidden="1"/>
    </xf>
    <xf numFmtId="49" fontId="20" fillId="7" borderId="12" xfId="0" applyNumberFormat="1" applyFont="1" applyFill="1" applyBorder="1" applyAlignment="1" applyProtection="1">
      <alignment horizontal="center" vertical="center"/>
      <protection locked="0" hidden="1"/>
    </xf>
    <xf numFmtId="181" fontId="20" fillId="7" borderId="13" xfId="0" applyNumberFormat="1" applyFont="1" applyFill="1" applyBorder="1" applyAlignment="1" applyProtection="1">
      <alignment horizontal="center" vertical="center"/>
      <protection locked="0" hidden="1"/>
    </xf>
    <xf numFmtId="179" fontId="20" fillId="7" borderId="13" xfId="0" applyNumberFormat="1" applyFont="1" applyFill="1" applyBorder="1" applyAlignment="1" applyProtection="1">
      <alignment horizontal="center" vertical="center"/>
      <protection locked="0" hidden="1"/>
    </xf>
    <xf numFmtId="0" fontId="14" fillId="0" borderId="0" xfId="0" applyFont="1" applyBorder="1">
      <alignment vertical="center"/>
    </xf>
    <xf numFmtId="43" fontId="21" fillId="0" borderId="0" xfId="0" applyNumberFormat="1" applyFont="1" applyAlignment="1">
      <alignment horizontal="center" vertical="center"/>
    </xf>
    <xf numFmtId="0" fontId="20" fillId="0" borderId="14" xfId="0" applyNumberFormat="1" applyFont="1" applyFill="1" applyBorder="1" applyAlignment="1" applyProtection="1">
      <protection hidden="1"/>
    </xf>
    <xf numFmtId="49" fontId="20" fillId="0" borderId="15" xfId="1" applyNumberFormat="1" applyFont="1" applyFill="1" applyBorder="1" applyAlignment="1" applyProtection="1">
      <alignment horizontal="center"/>
      <protection locked="0" hidden="1"/>
    </xf>
    <xf numFmtId="43" fontId="20" fillId="0" borderId="16" xfId="1" applyNumberFormat="1" applyFont="1" applyFill="1" applyBorder="1" applyAlignment="1" applyProtection="1">
      <alignment shrinkToFit="1"/>
      <protection hidden="1"/>
    </xf>
    <xf numFmtId="179" fontId="20" fillId="0" borderId="16" xfId="1" applyNumberFormat="1" applyFont="1" applyFill="1" applyBorder="1" applyAlignment="1" applyProtection="1">
      <alignment shrinkToFit="1"/>
      <protection hidden="1"/>
    </xf>
    <xf numFmtId="0" fontId="17" fillId="0" borderId="14" xfId="0" applyNumberFormat="1" applyFont="1" applyFill="1" applyBorder="1" applyAlignment="1" applyProtection="1">
      <protection hidden="1"/>
    </xf>
    <xf numFmtId="179" fontId="17" fillId="0" borderId="16" xfId="1" applyNumberFormat="1" applyFont="1" applyFill="1" applyBorder="1" applyAlignment="1" applyProtection="1">
      <alignment wrapText="1" shrinkToFit="1"/>
      <protection locked="0" hidden="1"/>
    </xf>
    <xf numFmtId="179" fontId="20" fillId="0" borderId="16" xfId="1" applyNumberFormat="1" applyFont="1" applyFill="1" applyBorder="1" applyAlignment="1" applyProtection="1">
      <alignment shrinkToFit="1"/>
      <protection locked="0" hidden="1"/>
    </xf>
    <xf numFmtId="179" fontId="17" fillId="0" borderId="16" xfId="1" applyNumberFormat="1" applyFont="1" applyFill="1" applyBorder="1" applyAlignment="1" applyProtection="1">
      <alignment shrinkToFit="1"/>
      <protection locked="0" hidden="1"/>
    </xf>
    <xf numFmtId="49" fontId="17" fillId="0" borderId="15" xfId="1" applyNumberFormat="1" applyFont="1" applyFill="1" applyBorder="1" applyAlignment="1" applyProtection="1">
      <alignment horizontal="center"/>
      <protection locked="0"/>
    </xf>
    <xf numFmtId="179" fontId="17" fillId="0" borderId="16" xfId="1" applyNumberFormat="1" applyFont="1" applyFill="1" applyBorder="1" applyAlignment="1" applyProtection="1">
      <alignment shrinkToFit="1"/>
      <protection locked="0"/>
    </xf>
    <xf numFmtId="0" fontId="17" fillId="0" borderId="14" xfId="0" applyNumberFormat="1" applyFont="1" applyFill="1" applyBorder="1" applyAlignment="1" applyProtection="1">
      <alignment shrinkToFit="1"/>
      <protection hidden="1"/>
    </xf>
    <xf numFmtId="179" fontId="14" fillId="0" borderId="0" xfId="0" applyNumberFormat="1" applyFont="1">
      <alignment vertical="center"/>
    </xf>
    <xf numFmtId="49" fontId="20" fillId="0" borderId="15" xfId="1" applyNumberFormat="1" applyFont="1" applyFill="1" applyBorder="1" applyAlignment="1" applyProtection="1">
      <alignment horizontal="center"/>
      <protection locked="0"/>
    </xf>
    <xf numFmtId="179" fontId="20" fillId="0" borderId="16" xfId="1" applyNumberFormat="1" applyFont="1" applyFill="1" applyBorder="1" applyAlignment="1" applyProtection="1">
      <alignment shrinkToFit="1"/>
    </xf>
    <xf numFmtId="49" fontId="17" fillId="0" borderId="15" xfId="1" applyNumberFormat="1" applyFont="1" applyFill="1" applyBorder="1" applyAlignment="1" applyProtection="1">
      <alignment horizontal="center"/>
      <protection locked="0" hidden="1"/>
    </xf>
    <xf numFmtId="179" fontId="17" fillId="0" borderId="16" xfId="1" applyNumberFormat="1" applyFont="1" applyFill="1" applyBorder="1" applyAlignment="1" applyProtection="1">
      <alignment shrinkToFit="1"/>
      <protection hidden="1"/>
    </xf>
    <xf numFmtId="179" fontId="17" fillId="0" borderId="16" xfId="1" applyNumberFormat="1" applyFont="1" applyFill="1" applyBorder="1" applyAlignment="1" applyProtection="1">
      <alignment shrinkToFit="1"/>
    </xf>
    <xf numFmtId="0" fontId="17" fillId="0" borderId="17" xfId="0" applyNumberFormat="1" applyFont="1" applyFill="1" applyBorder="1" applyAlignment="1" applyProtection="1">
      <protection hidden="1"/>
    </xf>
    <xf numFmtId="49" fontId="17" fillId="0" borderId="18" xfId="1" applyNumberFormat="1" applyFont="1" applyFill="1" applyBorder="1" applyAlignment="1" applyProtection="1">
      <alignment horizontal="center"/>
      <protection locked="0"/>
    </xf>
    <xf numFmtId="179" fontId="17" fillId="0" borderId="19" xfId="1" applyNumberFormat="1" applyFont="1" applyFill="1" applyBorder="1" applyAlignment="1" applyProtection="1">
      <alignment shrinkToFit="1"/>
      <protection locked="0"/>
    </xf>
    <xf numFmtId="49" fontId="20" fillId="0" borderId="20" xfId="1" applyNumberFormat="1" applyFont="1" applyFill="1" applyBorder="1" applyAlignment="1" applyProtection="1">
      <alignment horizontal="center"/>
      <protection locked="0"/>
    </xf>
    <xf numFmtId="179" fontId="20" fillId="0" borderId="21" xfId="1" applyNumberFormat="1" applyFont="1" applyFill="1" applyBorder="1" applyAlignment="1" applyProtection="1">
      <alignment shrinkToFit="1"/>
    </xf>
    <xf numFmtId="179" fontId="20" fillId="0" borderId="16" xfId="1" applyNumberFormat="1" applyFont="1" applyFill="1" applyBorder="1" applyAlignment="1" applyProtection="1">
      <alignment shrinkToFit="1"/>
      <protection locked="0"/>
    </xf>
    <xf numFmtId="49" fontId="17" fillId="0" borderId="22" xfId="1" applyNumberFormat="1" applyFont="1" applyFill="1" applyBorder="1" applyAlignment="1" applyProtection="1">
      <alignment horizontal="center"/>
      <protection locked="0" hidden="1"/>
    </xf>
    <xf numFmtId="179" fontId="17" fillId="0" borderId="23" xfId="1" applyNumberFormat="1" applyFont="1" applyFill="1" applyBorder="1" applyAlignment="1" applyProtection="1">
      <alignment shrinkToFit="1"/>
      <protection locked="0" hidden="1"/>
    </xf>
    <xf numFmtId="179" fontId="17" fillId="0" borderId="19" xfId="1" applyNumberFormat="1" applyFont="1" applyFill="1" applyBorder="1" applyAlignment="1" applyProtection="1">
      <alignment shrinkToFit="1"/>
      <protection locked="0" hidden="1"/>
    </xf>
    <xf numFmtId="4" fontId="14" fillId="0" borderId="0" xfId="0" applyNumberFormat="1" applyFont="1">
      <alignment vertical="center"/>
    </xf>
    <xf numFmtId="0" fontId="22" fillId="0" borderId="0" xfId="0" applyFont="1" applyFill="1" applyBorder="1" applyAlignment="1">
      <alignment vertical="center"/>
    </xf>
    <xf numFmtId="49" fontId="23" fillId="0" borderId="0" xfId="0" applyNumberFormat="1" applyFont="1" applyFill="1" applyAlignment="1">
      <alignment horizontal="center" vertical="center" wrapText="1"/>
    </xf>
    <xf numFmtId="49" fontId="24" fillId="0" borderId="0" xfId="0" applyNumberFormat="1" applyFont="1" applyFill="1" applyBorder="1" applyAlignment="1">
      <alignment horizontal="right" vertical="center"/>
    </xf>
    <xf numFmtId="49"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14" fontId="24" fillId="0" borderId="0" xfId="0" applyNumberFormat="1" applyFont="1" applyFill="1" applyBorder="1" applyAlignment="1">
      <alignment horizontal="left" vertical="center"/>
    </xf>
    <xf numFmtId="49" fontId="25" fillId="7" borderId="10" xfId="0" applyNumberFormat="1" applyFont="1" applyFill="1" applyBorder="1" applyAlignment="1">
      <alignment horizontal="center" vertical="center"/>
    </xf>
    <xf numFmtId="49" fontId="25" fillId="7" borderId="0" xfId="0" applyNumberFormat="1" applyFont="1" applyFill="1" applyBorder="1" applyAlignment="1">
      <alignment horizontal="center" vertical="center"/>
    </xf>
    <xf numFmtId="0" fontId="25" fillId="0" borderId="10" xfId="0" applyNumberFormat="1" applyFont="1" applyFill="1" applyBorder="1" applyAlignment="1">
      <alignment horizontal="left" vertical="center"/>
    </xf>
    <xf numFmtId="179" fontId="24" fillId="0" borderId="10" xfId="0" applyNumberFormat="1" applyFont="1" applyFill="1" applyBorder="1" applyAlignment="1">
      <alignment horizontal="right" vertical="center"/>
    </xf>
    <xf numFmtId="179" fontId="24" fillId="0" borderId="0" xfId="0" applyNumberFormat="1" applyFont="1" applyFill="1" applyBorder="1" applyAlignment="1">
      <alignment horizontal="right" vertical="center"/>
    </xf>
    <xf numFmtId="0" fontId="24" fillId="0" borderId="10" xfId="0" applyNumberFormat="1" applyFont="1" applyFill="1" applyBorder="1" applyAlignment="1">
      <alignment horizontal="left" vertical="center"/>
    </xf>
    <xf numFmtId="4" fontId="22" fillId="0" borderId="0" xfId="0" applyNumberFormat="1" applyFont="1" applyFill="1" applyBorder="1" applyAlignment="1">
      <alignment vertical="center"/>
    </xf>
    <xf numFmtId="43" fontId="22" fillId="0" borderId="0" xfId="0" applyNumberFormat="1" applyFont="1" applyFill="1" applyBorder="1" applyAlignment="1">
      <alignment vertical="center"/>
    </xf>
    <xf numFmtId="0" fontId="6" fillId="0" borderId="0" xfId="0" applyFont="1" applyFill="1" applyBorder="1" applyAlignment="1">
      <alignment vertical="center"/>
    </xf>
    <xf numFmtId="43" fontId="26" fillId="0" borderId="0" xfId="0" applyNumberFormat="1" applyFont="1" applyFill="1" applyAlignment="1">
      <alignment vertical="center"/>
    </xf>
    <xf numFmtId="0" fontId="26" fillId="0" borderId="0" xfId="0" applyFont="1" applyFill="1" applyAlignment="1">
      <alignment vertical="center"/>
    </xf>
    <xf numFmtId="0" fontId="27" fillId="0" borderId="10" xfId="0" applyNumberFormat="1" applyFont="1" applyFill="1" applyBorder="1" applyAlignment="1">
      <alignment horizontal="left" vertical="center"/>
    </xf>
    <xf numFmtId="179" fontId="27" fillId="0" borderId="10" xfId="0" applyNumberFormat="1" applyFont="1" applyFill="1" applyBorder="1" applyAlignment="1">
      <alignment horizontal="right" vertical="center"/>
    </xf>
    <xf numFmtId="179" fontId="27" fillId="0" borderId="0" xfId="0" applyNumberFormat="1" applyFont="1" applyFill="1" applyBorder="1" applyAlignment="1">
      <alignment horizontal="right" vertical="center"/>
    </xf>
    <xf numFmtId="0" fontId="28" fillId="0" borderId="10" xfId="0" applyNumberFormat="1" applyFont="1" applyFill="1" applyBorder="1" applyAlignment="1">
      <alignment horizontal="left" vertical="center"/>
    </xf>
    <xf numFmtId="179" fontId="28" fillId="0" borderId="10" xfId="0" applyNumberFormat="1" applyFont="1" applyFill="1" applyBorder="1" applyAlignment="1">
      <alignment horizontal="right" vertical="center"/>
    </xf>
    <xf numFmtId="179" fontId="28" fillId="3" borderId="10" xfId="0" applyNumberFormat="1" applyFont="1" applyFill="1" applyBorder="1" applyAlignment="1">
      <alignment horizontal="right" vertical="center"/>
    </xf>
    <xf numFmtId="0" fontId="29" fillId="0" borderId="10" xfId="0" applyNumberFormat="1" applyFont="1" applyFill="1" applyBorder="1" applyAlignment="1">
      <alignment horizontal="left" vertical="center"/>
    </xf>
    <xf numFmtId="179" fontId="29" fillId="0" borderId="10" xfId="0" applyNumberFormat="1" applyFont="1" applyFill="1" applyBorder="1" applyAlignment="1">
      <alignment horizontal="right" vertical="center"/>
    </xf>
    <xf numFmtId="179" fontId="22" fillId="0" borderId="0" xfId="0" applyNumberFormat="1" applyFont="1" applyFill="1" applyBorder="1" applyAlignment="1">
      <alignment vertical="center"/>
    </xf>
    <xf numFmtId="0" fontId="27" fillId="0" borderId="10" xfId="0" applyNumberFormat="1" applyFont="1" applyFill="1" applyBorder="1" applyAlignment="1">
      <alignment vertical="center"/>
    </xf>
    <xf numFmtId="43" fontId="24" fillId="0" borderId="10" xfId="0" applyNumberFormat="1" applyFont="1" applyFill="1" applyBorder="1" applyAlignment="1">
      <alignment horizontal="left" vertical="center"/>
    </xf>
    <xf numFmtId="179" fontId="24" fillId="0" borderId="10" xfId="0" applyNumberFormat="1" applyFont="1" applyFill="1" applyBorder="1" applyAlignment="1">
      <alignment horizontal="left" vertical="center"/>
    </xf>
    <xf numFmtId="179" fontId="24" fillId="0" borderId="0" xfId="0" applyNumberFormat="1" applyFont="1" applyFill="1" applyBorder="1" applyAlignment="1">
      <alignment horizontal="left" vertical="center"/>
    </xf>
    <xf numFmtId="0" fontId="24" fillId="0" borderId="10" xfId="0" applyNumberFormat="1" applyFont="1" applyFill="1" applyBorder="1" applyAlignment="1">
      <alignment vertical="center"/>
    </xf>
    <xf numFmtId="179" fontId="24" fillId="0" borderId="10" xfId="0" applyNumberFormat="1" applyFont="1" applyFill="1" applyBorder="1" applyAlignment="1">
      <alignment vertical="center"/>
    </xf>
    <xf numFmtId="0" fontId="24" fillId="0" borderId="10" xfId="0" applyNumberFormat="1" applyFont="1" applyFill="1" applyBorder="1" applyAlignment="1">
      <alignment horizontal="right" vertical="center"/>
    </xf>
    <xf numFmtId="179" fontId="24" fillId="0" borderId="0" xfId="0" applyNumberFormat="1" applyFont="1" applyFill="1" applyBorder="1" applyAlignment="1">
      <alignment vertical="center"/>
    </xf>
    <xf numFmtId="179" fontId="27" fillId="0" borderId="10" xfId="0" applyNumberFormat="1" applyFont="1" applyFill="1" applyBorder="1" applyAlignment="1">
      <alignment vertical="center"/>
    </xf>
    <xf numFmtId="179" fontId="27" fillId="0" borderId="0" xfId="0" applyNumberFormat="1" applyFont="1" applyFill="1" applyBorder="1" applyAlignment="1">
      <alignment vertical="center"/>
    </xf>
    <xf numFmtId="0" fontId="15" fillId="0" borderId="0" xfId="0" applyFont="1">
      <alignment vertical="center"/>
    </xf>
    <xf numFmtId="43" fontId="15" fillId="0" borderId="0" xfId="0" applyNumberFormat="1" applyFont="1">
      <alignment vertical="center"/>
    </xf>
    <xf numFmtId="49" fontId="30" fillId="0" borderId="0" xfId="0" applyNumberFormat="1" applyFont="1" applyBorder="1" applyAlignment="1">
      <alignment horizontal="center" vertical="center"/>
    </xf>
    <xf numFmtId="0" fontId="31" fillId="0" borderId="0" xfId="0" applyFont="1" applyBorder="1" applyAlignment="1">
      <alignment horizontal="justify" vertical="center"/>
    </xf>
    <xf numFmtId="10" fontId="31" fillId="0" borderId="0" xfId="3" applyNumberFormat="1" applyFont="1" applyBorder="1" applyAlignment="1">
      <alignment horizontal="center" vertical="center"/>
    </xf>
    <xf numFmtId="43" fontId="2" fillId="0" borderId="0" xfId="1" applyFont="1" applyBorder="1" applyAlignment="1">
      <alignment horizontal="right" vertical="center"/>
    </xf>
    <xf numFmtId="49" fontId="3" fillId="0" borderId="0" xfId="0" applyNumberFormat="1" applyFont="1" applyBorder="1" applyAlignment="1">
      <alignment horizontal="justify" vertical="center"/>
    </xf>
    <xf numFmtId="14" fontId="32" fillId="0" borderId="0" xfId="0" applyNumberFormat="1" applyFont="1" applyAlignment="1" applyProtection="1">
      <alignment horizontal="center" vertical="center"/>
      <protection locked="0"/>
    </xf>
    <xf numFmtId="43" fontId="3" fillId="0" borderId="0" xfId="1" applyFont="1" applyBorder="1" applyAlignment="1">
      <alignment horizontal="right" vertical="center"/>
    </xf>
    <xf numFmtId="49" fontId="33" fillId="0" borderId="10" xfId="0" applyNumberFormat="1" applyFont="1" applyBorder="1" applyAlignment="1">
      <alignment horizontal="center" vertical="center"/>
    </xf>
    <xf numFmtId="49" fontId="33" fillId="0" borderId="24" xfId="0" applyNumberFormat="1" applyFont="1" applyBorder="1" applyAlignment="1">
      <alignment horizontal="center" vertical="center"/>
    </xf>
    <xf numFmtId="43" fontId="33" fillId="0" borderId="24" xfId="1"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vertical="center"/>
    </xf>
    <xf numFmtId="49" fontId="34" fillId="0" borderId="9" xfId="0" applyNumberFormat="1" applyFont="1" applyBorder="1" applyAlignment="1">
      <alignment vertical="center"/>
    </xf>
    <xf numFmtId="4" fontId="35" fillId="0" borderId="25" xfId="0" applyNumberFormat="1" applyFont="1" applyBorder="1" applyAlignment="1">
      <alignment horizontal="right" vertical="center"/>
    </xf>
    <xf numFmtId="179" fontId="15" fillId="0" borderId="0" xfId="0" applyNumberFormat="1" applyFont="1">
      <alignment vertical="center"/>
    </xf>
    <xf numFmtId="49" fontId="6" fillId="0" borderId="9" xfId="0" applyNumberFormat="1" applyFont="1" applyBorder="1" applyAlignment="1">
      <alignment vertical="center"/>
    </xf>
    <xf numFmtId="182" fontId="36" fillId="0" borderId="26" xfId="0" applyNumberFormat="1" applyFont="1" applyBorder="1" applyAlignment="1">
      <alignment horizontal="right" vertical="center"/>
    </xf>
    <xf numFmtId="4" fontId="36" fillId="0" borderId="27" xfId="0" applyNumberFormat="1" applyFont="1" applyBorder="1" applyAlignment="1">
      <alignment horizontal="right" vertical="center"/>
    </xf>
    <xf numFmtId="182" fontId="36" fillId="0" borderId="28" xfId="0" applyNumberFormat="1" applyFont="1" applyBorder="1" applyAlignment="1">
      <alignment horizontal="right" vertical="center"/>
    </xf>
    <xf numFmtId="182" fontId="36" fillId="0" borderId="29" xfId="0" applyNumberFormat="1" applyFont="1" applyBorder="1" applyAlignment="1">
      <alignment horizontal="right" vertical="center"/>
    </xf>
    <xf numFmtId="182" fontId="36" fillId="0" borderId="10" xfId="0" applyNumberFormat="1" applyFont="1" applyBorder="1" applyAlignment="1">
      <alignment horizontal="right" vertical="center"/>
    </xf>
    <xf numFmtId="182" fontId="36" fillId="0" borderId="3" xfId="0" applyNumberFormat="1" applyFont="1" applyBorder="1" applyAlignment="1">
      <alignment horizontal="right" vertical="center"/>
    </xf>
    <xf numFmtId="43" fontId="15" fillId="0" borderId="10" xfId="1" applyFont="1" applyBorder="1" applyAlignment="1">
      <alignment vertical="center"/>
    </xf>
    <xf numFmtId="4" fontId="15" fillId="0" borderId="10" xfId="0" applyNumberFormat="1" applyFont="1" applyBorder="1" applyAlignment="1">
      <alignment vertical="center"/>
    </xf>
    <xf numFmtId="4" fontId="35" fillId="0" borderId="27" xfId="0" applyNumberFormat="1" applyFont="1" applyBorder="1" applyAlignment="1">
      <alignment horizontal="right" vertical="center"/>
    </xf>
    <xf numFmtId="182" fontId="36" fillId="0" borderId="27" xfId="0" applyNumberFormat="1" applyFont="1" applyBorder="1" applyAlignment="1">
      <alignment horizontal="right" vertical="center"/>
    </xf>
    <xf numFmtId="182" fontId="36" fillId="0" borderId="27" xfId="0" applyNumberFormat="1" applyFont="1" applyBorder="1" applyAlignment="1">
      <alignment horizontal="right" vertical="center" wrapText="1"/>
    </xf>
    <xf numFmtId="182" fontId="36" fillId="0" borderId="26" xfId="0" applyNumberFormat="1" applyFont="1" applyBorder="1" applyAlignment="1">
      <alignment horizontal="right" vertical="center" wrapText="1"/>
    </xf>
    <xf numFmtId="0" fontId="37" fillId="0" borderId="0" xfId="0" applyFont="1">
      <alignment vertical="center"/>
    </xf>
    <xf numFmtId="0" fontId="37" fillId="0" borderId="0" xfId="0" applyFont="1" applyFill="1">
      <alignment vertical="center"/>
    </xf>
    <xf numFmtId="49" fontId="38" fillId="0" borderId="0" xfId="0" applyNumberFormat="1" applyFont="1" applyFill="1" applyBorder="1" applyAlignment="1">
      <alignment horizontal="center" vertical="center"/>
    </xf>
    <xf numFmtId="179" fontId="38" fillId="0" borderId="0" xfId="0" applyNumberFormat="1" applyFont="1" applyFill="1" applyBorder="1" applyAlignment="1">
      <alignment horizontal="right" vertical="center"/>
    </xf>
    <xf numFmtId="0" fontId="37" fillId="0" borderId="0" xfId="0" applyFont="1" applyFill="1" applyBorder="1" applyAlignment="1">
      <alignment horizontal="justify" vertical="center"/>
    </xf>
    <xf numFmtId="179" fontId="37" fillId="0" borderId="0" xfId="1" applyNumberFormat="1" applyFont="1" applyFill="1" applyBorder="1" applyAlignment="1">
      <alignment horizontal="right" vertical="center"/>
    </xf>
    <xf numFmtId="49" fontId="37" fillId="0" borderId="7" xfId="0" applyNumberFormat="1" applyFont="1" applyFill="1" applyBorder="1" applyAlignment="1">
      <alignment horizontal="justify" vertical="center"/>
    </xf>
    <xf numFmtId="179" fontId="37" fillId="0" borderId="7" xfId="0" applyNumberFormat="1" applyFont="1" applyFill="1" applyBorder="1" applyAlignment="1">
      <alignment horizontal="right" vertical="center"/>
    </xf>
    <xf numFmtId="179" fontId="37" fillId="0" borderId="7" xfId="1" applyNumberFormat="1" applyFont="1" applyFill="1" applyBorder="1" applyAlignment="1">
      <alignment horizontal="right" vertical="center"/>
    </xf>
    <xf numFmtId="14" fontId="28" fillId="8" borderId="7" xfId="0" applyNumberFormat="1" applyFont="1" applyFill="1" applyBorder="1" applyAlignment="1">
      <alignment horizontal="center" vertical="center"/>
    </xf>
    <xf numFmtId="49" fontId="37" fillId="0" borderId="9" xfId="0" applyNumberFormat="1" applyFont="1" applyFill="1" applyBorder="1" applyAlignment="1">
      <alignment horizontal="center" vertical="center"/>
    </xf>
    <xf numFmtId="179" fontId="37" fillId="0" borderId="8" xfId="1" applyNumberFormat="1" applyFont="1" applyFill="1" applyBorder="1" applyAlignment="1">
      <alignment horizontal="center" vertical="center"/>
    </xf>
    <xf numFmtId="179" fontId="37" fillId="0" borderId="10" xfId="1" applyNumberFormat="1" applyFont="1" applyFill="1" applyBorder="1" applyAlignment="1">
      <alignment horizontal="center" vertical="center"/>
    </xf>
    <xf numFmtId="49" fontId="37" fillId="0" borderId="8" xfId="0" applyNumberFormat="1" applyFont="1" applyFill="1" applyBorder="1" applyAlignment="1">
      <alignment horizontal="center" vertical="center"/>
    </xf>
    <xf numFmtId="49" fontId="37" fillId="0" borderId="9" xfId="0" applyNumberFormat="1" applyFont="1" applyFill="1" applyBorder="1" applyAlignment="1">
      <alignment horizontal="justify" vertical="center"/>
    </xf>
    <xf numFmtId="183" fontId="39" fillId="0" borderId="10" xfId="0" applyNumberFormat="1" applyFont="1" applyFill="1" applyBorder="1" applyAlignment="1">
      <alignment horizontal="justify" vertical="center" wrapText="1"/>
    </xf>
    <xf numFmtId="183" fontId="39" fillId="0" borderId="24" xfId="0" applyNumberFormat="1" applyFont="1" applyFill="1" applyBorder="1" applyAlignment="1">
      <alignment horizontal="justify" vertical="center" wrapText="1"/>
    </xf>
    <xf numFmtId="0" fontId="40" fillId="0" borderId="24" xfId="0" applyFont="1" applyFill="1" applyBorder="1" applyAlignment="1">
      <alignment horizontal="left" vertical="center" wrapText="1"/>
    </xf>
    <xf numFmtId="182" fontId="39" fillId="0" borderId="24" xfId="0" applyNumberFormat="1" applyFont="1" applyFill="1" applyBorder="1" applyAlignment="1">
      <alignment horizontal="justify" vertical="center" wrapText="1"/>
    </xf>
    <xf numFmtId="183" fontId="39" fillId="0" borderId="9" xfId="0" applyNumberFormat="1" applyFont="1" applyFill="1" applyBorder="1" applyAlignment="1">
      <alignment horizontal="right" vertical="center"/>
    </xf>
    <xf numFmtId="183" fontId="39" fillId="0" borderId="8" xfId="0" applyNumberFormat="1" applyFont="1" applyFill="1" applyBorder="1" applyAlignment="1">
      <alignment horizontal="right" vertical="center"/>
    </xf>
    <xf numFmtId="0" fontId="39" fillId="0" borderId="10" xfId="0" applyFont="1" applyFill="1" applyBorder="1" applyAlignment="1">
      <alignment horizontal="left" vertical="center" wrapText="1"/>
    </xf>
    <xf numFmtId="183" fontId="39" fillId="0" borderId="10" xfId="0" applyNumberFormat="1" applyFont="1" applyFill="1" applyBorder="1" applyAlignment="1">
      <alignment horizontal="right" vertical="center"/>
    </xf>
    <xf numFmtId="182" fontId="39" fillId="0" borderId="10" xfId="0" applyNumberFormat="1" applyFont="1" applyFill="1" applyBorder="1" applyAlignment="1">
      <alignment horizontal="right" vertical="center"/>
    </xf>
    <xf numFmtId="183" fontId="41" fillId="0" borderId="8" xfId="0" applyNumberFormat="1" applyFont="1" applyFill="1" applyBorder="1" applyAlignment="1">
      <alignment horizontal="right" vertical="center"/>
    </xf>
    <xf numFmtId="0" fontId="37" fillId="0" borderId="10" xfId="0" applyFont="1" applyFill="1" applyBorder="1" applyAlignment="1">
      <alignment vertical="center"/>
    </xf>
    <xf numFmtId="182" fontId="39" fillId="0" borderId="10" xfId="0" applyNumberFormat="1" applyFont="1" applyFill="1" applyBorder="1" applyAlignment="1">
      <alignment horizontal="right" vertical="center" wrapText="1"/>
    </xf>
    <xf numFmtId="49" fontId="37" fillId="0" borderId="9" xfId="0" applyNumberFormat="1" applyFont="1" applyFill="1" applyBorder="1" applyAlignment="1">
      <alignment horizontal="left" vertical="center"/>
    </xf>
    <xf numFmtId="0" fontId="37" fillId="0" borderId="0" xfId="0" applyFont="1" applyFill="1" applyAlignment="1">
      <alignment vertical="center"/>
    </xf>
    <xf numFmtId="0" fontId="42" fillId="0" borderId="10" xfId="0" applyFont="1" applyFill="1" applyBorder="1" applyAlignment="1">
      <alignment horizontal="justify" vertical="center" wrapText="1"/>
    </xf>
    <xf numFmtId="182" fontId="42" fillId="0" borderId="10" xfId="0" applyNumberFormat="1" applyFont="1" applyFill="1" applyBorder="1" applyAlignment="1">
      <alignment horizontal="right" vertical="center" wrapText="1"/>
    </xf>
    <xf numFmtId="179" fontId="43" fillId="0" borderId="10" xfId="0" applyNumberFormat="1" applyFont="1" applyFill="1" applyBorder="1" applyAlignment="1">
      <alignment horizontal="right" vertical="center"/>
    </xf>
    <xf numFmtId="49" fontId="37" fillId="0" borderId="10" xfId="0" applyNumberFormat="1" applyFont="1" applyFill="1" applyBorder="1" applyAlignment="1">
      <alignment horizontal="justify" vertical="center" wrapText="1"/>
    </xf>
    <xf numFmtId="0" fontId="40" fillId="0" borderId="10" xfId="0" applyFont="1" applyFill="1" applyBorder="1" applyAlignment="1">
      <alignment horizontal="left" vertical="center" wrapText="1"/>
    </xf>
    <xf numFmtId="49" fontId="44" fillId="0" borderId="9" xfId="0" applyNumberFormat="1" applyFont="1" applyFill="1" applyBorder="1" applyAlignment="1">
      <alignment horizontal="justify" vertical="center"/>
    </xf>
    <xf numFmtId="184" fontId="42" fillId="0" borderId="9" xfId="0" applyNumberFormat="1" applyFont="1" applyFill="1" applyBorder="1" applyAlignment="1">
      <alignment horizontal="right" vertical="center" wrapText="1"/>
    </xf>
    <xf numFmtId="183" fontId="39" fillId="0" borderId="9" xfId="0" applyNumberFormat="1" applyFont="1" applyFill="1" applyBorder="1" applyAlignment="1" applyProtection="1">
      <alignment horizontal="right" vertical="center"/>
      <protection locked="0"/>
    </xf>
    <xf numFmtId="183" fontId="39" fillId="0" borderId="8" xfId="0" applyNumberFormat="1" applyFont="1" applyFill="1" applyBorder="1" applyAlignment="1" applyProtection="1">
      <alignment horizontal="right" vertical="center"/>
      <protection locked="0"/>
    </xf>
    <xf numFmtId="183" fontId="39" fillId="0" borderId="9" xfId="0" applyNumberFormat="1" applyFont="1" applyFill="1" applyBorder="1" applyAlignment="1">
      <alignment horizontal="right" vertical="center" wrapText="1"/>
    </xf>
    <xf numFmtId="183" fontId="45" fillId="0" borderId="9" xfId="0" applyNumberFormat="1" applyFont="1" applyFill="1" applyBorder="1" applyAlignment="1">
      <alignment horizontal="right" vertical="center" wrapText="1"/>
    </xf>
    <xf numFmtId="182" fontId="39" fillId="0" borderId="10" xfId="0" applyNumberFormat="1" applyFont="1" applyFill="1" applyBorder="1" applyAlignment="1" applyProtection="1">
      <alignment horizontal="right" vertical="center"/>
      <protection locked="0"/>
    </xf>
    <xf numFmtId="183" fontId="31" fillId="0" borderId="10" xfId="0" applyNumberFormat="1" applyFont="1" applyFill="1" applyBorder="1" applyAlignment="1">
      <alignment horizontal="right" vertical="center"/>
    </xf>
    <xf numFmtId="183" fontId="41" fillId="0" borderId="10" xfId="0" applyNumberFormat="1" applyFont="1" applyFill="1" applyBorder="1" applyAlignment="1">
      <alignment horizontal="right" vertical="center"/>
    </xf>
    <xf numFmtId="179" fontId="37" fillId="0" borderId="0" xfId="0" applyNumberFormat="1" applyFont="1" applyFill="1">
      <alignment vertical="center"/>
    </xf>
    <xf numFmtId="182" fontId="46" fillId="0" borderId="10" xfId="0" applyNumberFormat="1" applyFont="1" applyFill="1" applyBorder="1" applyAlignment="1">
      <alignment horizontal="right" vertical="center" wrapText="1"/>
    </xf>
    <xf numFmtId="0" fontId="39" fillId="0" borderId="0" xfId="0" applyFont="1" applyFill="1" applyAlignment="1">
      <alignment vertical="center"/>
    </xf>
    <xf numFmtId="183" fontId="42" fillId="0" borderId="9" xfId="0" applyNumberFormat="1" applyFont="1" applyFill="1" applyBorder="1" applyAlignment="1">
      <alignment horizontal="right" vertical="center" wrapText="1"/>
    </xf>
    <xf numFmtId="185" fontId="43" fillId="0" borderId="10" xfId="0" applyNumberFormat="1" applyFont="1" applyFill="1" applyBorder="1" applyAlignment="1">
      <alignment vertical="center"/>
    </xf>
    <xf numFmtId="0" fontId="42" fillId="0" borderId="8" xfId="0" applyFont="1" applyFill="1" applyBorder="1" applyAlignment="1">
      <alignment horizontal="justify" vertical="center" wrapText="1"/>
    </xf>
    <xf numFmtId="182" fontId="42" fillId="0" borderId="8" xfId="0" applyNumberFormat="1" applyFont="1" applyFill="1" applyBorder="1" applyAlignment="1">
      <alignment horizontal="right" vertical="center" wrapText="1"/>
    </xf>
    <xf numFmtId="179" fontId="37" fillId="0" borderId="0" xfId="1" applyNumberFormat="1" applyFont="1" applyFill="1" applyAlignment="1">
      <alignment horizontal="right" vertical="center"/>
    </xf>
    <xf numFmtId="43" fontId="37" fillId="0" borderId="0" xfId="0" applyNumberFormat="1" applyFont="1" applyFill="1" applyAlignment="1">
      <alignment horizontal="right" vertical="justify"/>
    </xf>
    <xf numFmtId="10" fontId="37" fillId="0" borderId="0" xfId="3" applyNumberFormat="1" applyFont="1" applyFill="1">
      <alignment vertical="center"/>
    </xf>
    <xf numFmtId="43" fontId="37" fillId="0" borderId="0" xfId="1" applyNumberFormat="1" applyFont="1" applyFill="1" applyAlignment="1">
      <alignment horizontal="right" vertical="center"/>
    </xf>
    <xf numFmtId="0" fontId="47" fillId="0" borderId="0" xfId="0" applyFont="1" applyFill="1" applyAlignment="1">
      <alignment vertical="center"/>
    </xf>
    <xf numFmtId="43" fontId="37" fillId="0" borderId="0" xfId="0" applyNumberFormat="1" applyFont="1" applyFill="1">
      <alignment vertical="center"/>
    </xf>
    <xf numFmtId="0" fontId="14" fillId="0" borderId="0" xfId="0" applyFont="1" applyAlignment="1">
      <alignment vertical="center"/>
    </xf>
    <xf numFmtId="0" fontId="14" fillId="0" borderId="0" xfId="0" applyFont="1" applyAlignment="1">
      <alignment horizontal="center" vertical="center"/>
    </xf>
    <xf numFmtId="179" fontId="48" fillId="0" borderId="0" xfId="53" applyNumberFormat="1" applyFont="1">
      <alignment vertical="center"/>
    </xf>
    <xf numFmtId="0" fontId="49" fillId="0" borderId="0" xfId="0" applyFont="1" applyAlignment="1">
      <alignment horizontal="center" vertical="center"/>
    </xf>
    <xf numFmtId="10" fontId="50" fillId="0" borderId="0" xfId="3" applyNumberFormat="1" applyFont="1" applyAlignment="1">
      <alignment horizontal="center" vertical="center"/>
    </xf>
    <xf numFmtId="179" fontId="51" fillId="0" borderId="30" xfId="53" applyNumberFormat="1" applyFont="1" applyBorder="1">
      <alignment vertical="center"/>
    </xf>
    <xf numFmtId="179" fontId="51" fillId="0" borderId="24" xfId="53" applyNumberFormat="1" applyFont="1" applyBorder="1">
      <alignment vertical="center"/>
    </xf>
    <xf numFmtId="0" fontId="0" fillId="0" borderId="24" xfId="53" applyBorder="1">
      <alignment vertical="center"/>
    </xf>
    <xf numFmtId="0" fontId="52" fillId="0" borderId="0" xfId="0" applyFont="1" applyAlignment="1">
      <alignment horizontal="center" vertical="center"/>
    </xf>
    <xf numFmtId="14" fontId="53" fillId="0" borderId="0" xfId="0" applyNumberFormat="1" applyFont="1" applyAlignment="1" applyProtection="1">
      <alignment horizontal="left" vertical="center"/>
      <protection locked="0"/>
    </xf>
    <xf numFmtId="0" fontId="52" fillId="0" borderId="0" xfId="0" applyFont="1" applyAlignment="1">
      <alignment horizontal="justify" vertical="center"/>
    </xf>
    <xf numFmtId="0" fontId="52" fillId="0" borderId="31" xfId="0" applyFont="1" applyBorder="1" applyAlignment="1">
      <alignment horizontal="center" vertical="center"/>
    </xf>
    <xf numFmtId="0" fontId="53" fillId="0" borderId="31" xfId="0" applyFont="1" applyBorder="1" applyAlignment="1" applyProtection="1">
      <alignment horizontal="left" vertical="center"/>
      <protection locked="0"/>
    </xf>
    <xf numFmtId="0" fontId="52" fillId="0" borderId="31" xfId="0" applyFont="1" applyBorder="1" applyAlignment="1">
      <alignment horizontal="justify" vertical="center"/>
    </xf>
    <xf numFmtId="0" fontId="52" fillId="9" borderId="27" xfId="0" applyFont="1" applyFill="1" applyBorder="1" applyAlignment="1">
      <alignment horizontal="center" vertical="center" wrapText="1"/>
    </xf>
    <xf numFmtId="0" fontId="52" fillId="9" borderId="26" xfId="0" applyFont="1" applyFill="1" applyBorder="1" applyAlignment="1">
      <alignment horizontal="center" vertical="center"/>
    </xf>
    <xf numFmtId="0" fontId="52" fillId="9" borderId="26" xfId="0" applyFont="1" applyFill="1" applyBorder="1" applyAlignment="1">
      <alignment horizontal="center" vertical="center" wrapText="1"/>
    </xf>
    <xf numFmtId="179" fontId="54" fillId="9" borderId="26" xfId="0" applyNumberFormat="1" applyFont="1" applyFill="1" applyBorder="1" applyAlignment="1">
      <alignment horizontal="center" vertical="center" wrapText="1"/>
    </xf>
    <xf numFmtId="0" fontId="55" fillId="0" borderId="27" xfId="0" applyFont="1" applyBorder="1" applyAlignment="1">
      <alignment horizontal="justify" vertical="center" wrapText="1"/>
    </xf>
    <xf numFmtId="0" fontId="56" fillId="0" borderId="26" xfId="0" applyFont="1" applyBorder="1" applyAlignment="1">
      <alignment horizontal="center" vertical="center" wrapText="1"/>
    </xf>
    <xf numFmtId="182" fontId="46" fillId="0" borderId="32" xfId="0" applyNumberFormat="1" applyFont="1" applyBorder="1" applyAlignment="1">
      <alignment horizontal="right" vertical="center"/>
    </xf>
    <xf numFmtId="10" fontId="57" fillId="0" borderId="0" xfId="3" applyNumberFormat="1" applyFont="1" applyFill="1" applyBorder="1" applyAlignment="1" applyProtection="1">
      <alignment horizontal="right" vertical="center"/>
    </xf>
    <xf numFmtId="179" fontId="0" fillId="0" borderId="0" xfId="53" applyNumberFormat="1">
      <alignment vertical="center"/>
    </xf>
    <xf numFmtId="0" fontId="58" fillId="0" borderId="27" xfId="0" applyFont="1" applyBorder="1" applyAlignment="1">
      <alignment horizontal="justify" vertical="center" wrapText="1"/>
    </xf>
    <xf numFmtId="0" fontId="59" fillId="0" borderId="26" xfId="0" applyFont="1" applyBorder="1" applyAlignment="1">
      <alignment horizontal="center" vertical="center" wrapText="1"/>
    </xf>
    <xf numFmtId="182" fontId="39" fillId="0" borderId="27" xfId="0" applyNumberFormat="1" applyFont="1" applyBorder="1" applyAlignment="1">
      <alignment horizontal="right" vertical="center"/>
    </xf>
    <xf numFmtId="179" fontId="48" fillId="0" borderId="0" xfId="3" applyNumberFormat="1" applyFont="1" applyFill="1" applyBorder="1" applyAlignment="1" applyProtection="1">
      <alignment vertical="center"/>
    </xf>
    <xf numFmtId="182" fontId="39" fillId="0" borderId="27" xfId="0" applyNumberFormat="1" applyFont="1" applyFill="1" applyBorder="1" applyAlignment="1">
      <alignment horizontal="right" vertical="center"/>
    </xf>
    <xf numFmtId="182" fontId="60" fillId="0" borderId="27" xfId="0" applyNumberFormat="1" applyFont="1" applyFill="1" applyBorder="1" applyAlignment="1">
      <alignment horizontal="right" vertical="center"/>
    </xf>
    <xf numFmtId="0" fontId="57" fillId="0" borderId="0" xfId="53" applyFont="1" applyAlignment="1">
      <alignment vertical="center" wrapText="1"/>
    </xf>
    <xf numFmtId="0" fontId="0" fillId="0" borderId="0" xfId="53" applyAlignment="1">
      <alignment vertical="center" wrapText="1"/>
    </xf>
    <xf numFmtId="0" fontId="61" fillId="0" borderId="0" xfId="53" applyFont="1" applyAlignment="1">
      <alignment vertical="center" wrapText="1"/>
    </xf>
    <xf numFmtId="0" fontId="61" fillId="0" borderId="0" xfId="53" applyFont="1" applyAlignment="1">
      <alignment vertical="center"/>
    </xf>
    <xf numFmtId="182" fontId="39" fillId="0" borderId="33" xfId="0" applyNumberFormat="1" applyFont="1" applyFill="1" applyBorder="1" applyAlignment="1">
      <alignment horizontal="right" vertical="center"/>
    </xf>
    <xf numFmtId="0" fontId="56" fillId="0" borderId="31" xfId="0" applyFont="1" applyBorder="1" applyAlignment="1">
      <alignment horizontal="center" vertical="center" wrapText="1"/>
    </xf>
    <xf numFmtId="179" fontId="46" fillId="0" borderId="10" xfId="0" applyNumberFormat="1" applyFont="1" applyFill="1" applyBorder="1" applyAlignment="1">
      <alignment horizontal="right" vertical="center"/>
    </xf>
    <xf numFmtId="0" fontId="59" fillId="0" borderId="31" xfId="0" applyFont="1" applyBorder="1" applyAlignment="1">
      <alignment horizontal="center" vertical="center" wrapText="1"/>
    </xf>
    <xf numFmtId="43" fontId="39" fillId="0" borderId="10" xfId="0" applyNumberFormat="1" applyFont="1" applyBorder="1" applyAlignment="1">
      <alignment horizontal="right" vertical="center"/>
    </xf>
    <xf numFmtId="0" fontId="0" fillId="0" borderId="0" xfId="53" applyAlignment="1">
      <alignment vertical="center"/>
    </xf>
    <xf numFmtId="182" fontId="39" fillId="0" borderId="10" xfId="0" applyNumberFormat="1" applyFont="1" applyBorder="1" applyAlignment="1">
      <alignment horizontal="right" vertical="center"/>
    </xf>
    <xf numFmtId="182" fontId="46" fillId="0" borderId="27" xfId="0" applyNumberFormat="1" applyFont="1" applyBorder="1" applyAlignment="1">
      <alignment horizontal="right" vertical="center"/>
    </xf>
    <xf numFmtId="182" fontId="62" fillId="0" borderId="26" xfId="0" applyNumberFormat="1" applyFont="1" applyBorder="1" applyAlignment="1">
      <alignment horizontal="justify" vertical="center"/>
    </xf>
    <xf numFmtId="182" fontId="32" fillId="0" borderId="26" xfId="0" applyNumberFormat="1" applyFont="1" applyBorder="1" applyAlignment="1">
      <alignment horizontal="justify" vertical="center"/>
    </xf>
    <xf numFmtId="182" fontId="32" fillId="0" borderId="26" xfId="0" applyNumberFormat="1" applyFont="1" applyBorder="1" applyAlignment="1">
      <alignment horizontal="justify" vertical="center" wrapText="1"/>
    </xf>
    <xf numFmtId="0" fontId="54" fillId="0" borderId="0" xfId="0" applyFont="1" applyAlignment="1">
      <alignment horizontal="center" vertical="center"/>
    </xf>
    <xf numFmtId="0" fontId="54" fillId="0" borderId="0" xfId="0" applyFont="1" applyAlignment="1">
      <alignment horizontal="left" vertical="center"/>
    </xf>
    <xf numFmtId="4" fontId="63" fillId="0" borderId="0" xfId="0" applyNumberFormat="1" applyFont="1">
      <alignment vertical="center"/>
    </xf>
    <xf numFmtId="0" fontId="64" fillId="0" borderId="0" xfId="0" applyFont="1" applyAlignment="1">
      <alignment vertical="center"/>
    </xf>
    <xf numFmtId="43" fontId="14" fillId="0" borderId="0" xfId="0" applyNumberFormat="1" applyFont="1" applyAlignment="1">
      <alignment horizontal="center" vertical="center"/>
    </xf>
    <xf numFmtId="43" fontId="28" fillId="8" borderId="0" xfId="0" applyNumberFormat="1" applyFont="1" applyFill="1" applyAlignment="1">
      <alignment vertical="center"/>
    </xf>
    <xf numFmtId="0" fontId="28" fillId="8" borderId="0" xfId="0" applyFont="1" applyFill="1" applyAlignment="1">
      <alignment vertical="center"/>
    </xf>
    <xf numFmtId="0" fontId="65" fillId="0" borderId="0" xfId="0" applyFont="1" applyAlignment="1">
      <alignment horizontal="center" vertical="center"/>
    </xf>
    <xf numFmtId="179" fontId="0" fillId="0" borderId="0" xfId="52" applyNumberFormat="1">
      <alignment vertical="center"/>
    </xf>
    <xf numFmtId="0" fontId="54" fillId="0" borderId="0" xfId="0" applyFont="1" applyAlignment="1">
      <alignment horizontal="right" vertical="center"/>
    </xf>
    <xf numFmtId="0" fontId="66" fillId="0" borderId="0" xfId="0" applyFont="1" applyAlignment="1">
      <alignment horizontal="justify" vertical="center"/>
    </xf>
    <xf numFmtId="180" fontId="67" fillId="0" borderId="0" xfId="0" applyNumberFormat="1" applyFont="1" applyAlignment="1">
      <alignment horizontal="justify" vertical="center"/>
    </xf>
    <xf numFmtId="0" fontId="66" fillId="0" borderId="0" xfId="0" applyFont="1" applyAlignment="1" applyProtection="1">
      <alignment horizontal="center" vertical="center"/>
      <protection locked="0"/>
    </xf>
    <xf numFmtId="0" fontId="54" fillId="0" borderId="0" xfId="0" applyFont="1" applyAlignment="1">
      <alignment horizontal="justify" vertical="center"/>
    </xf>
    <xf numFmtId="0" fontId="54" fillId="0" borderId="31" xfId="0" applyFont="1" applyBorder="1" applyAlignment="1">
      <alignment horizontal="right" vertical="center"/>
    </xf>
    <xf numFmtId="0" fontId="66" fillId="0" borderId="31" xfId="0" applyFont="1" applyBorder="1" applyAlignment="1">
      <alignment horizontal="justify" vertical="center"/>
    </xf>
    <xf numFmtId="0" fontId="68" fillId="0" borderId="31" xfId="0" applyFont="1" applyBorder="1" applyAlignment="1">
      <alignment horizontal="left" vertical="center"/>
    </xf>
    <xf numFmtId="0" fontId="67" fillId="0" borderId="31" xfId="0" applyFont="1" applyBorder="1" applyAlignment="1">
      <alignment horizontal="left" vertical="center"/>
    </xf>
    <xf numFmtId="0" fontId="66" fillId="0" borderId="31" xfId="0" applyFont="1" applyBorder="1" applyAlignment="1" applyProtection="1">
      <alignment horizontal="justify" vertical="center"/>
      <protection locked="0"/>
    </xf>
    <xf numFmtId="0" fontId="54" fillId="0" borderId="31" xfId="0" applyFont="1" applyBorder="1" applyAlignment="1">
      <alignment horizontal="justify" vertical="center"/>
    </xf>
    <xf numFmtId="0" fontId="0" fillId="0" borderId="0" xfId="52" applyBorder="1">
      <alignment vertical="center"/>
    </xf>
    <xf numFmtId="0" fontId="68" fillId="10" borderId="34" xfId="0" applyFont="1" applyFill="1" applyBorder="1" applyAlignment="1">
      <alignment horizontal="center" vertical="center"/>
    </xf>
    <xf numFmtId="0" fontId="68" fillId="10" borderId="35" xfId="0" applyFont="1" applyFill="1" applyBorder="1" applyAlignment="1">
      <alignment horizontal="center" vertical="center"/>
    </xf>
    <xf numFmtId="0" fontId="68" fillId="10" borderId="35" xfId="0" applyFont="1" applyFill="1" applyBorder="1" applyAlignment="1">
      <alignment horizontal="left" vertical="center"/>
    </xf>
    <xf numFmtId="4" fontId="63" fillId="11" borderId="0" xfId="0" applyNumberFormat="1" applyFont="1" applyFill="1" applyBorder="1" applyAlignment="1">
      <alignment horizontal="right" vertical="center" wrapText="1"/>
    </xf>
    <xf numFmtId="0" fontId="69" fillId="0" borderId="10" xfId="0" applyFont="1" applyBorder="1" applyAlignment="1">
      <alignment horizontal="left" vertical="center" wrapText="1"/>
    </xf>
    <xf numFmtId="0" fontId="66" fillId="0" borderId="24" xfId="0" applyFont="1" applyBorder="1" applyAlignment="1">
      <alignment horizontal="center" vertical="center"/>
    </xf>
    <xf numFmtId="183" fontId="66" fillId="0" borderId="10" xfId="0" applyNumberFormat="1" applyFont="1" applyBorder="1" applyAlignment="1">
      <alignment horizontal="justify" vertical="center" wrapText="1"/>
    </xf>
    <xf numFmtId="183" fontId="66" fillId="0" borderId="24" xfId="0" applyNumberFormat="1" applyFont="1" applyBorder="1" applyAlignment="1">
      <alignment horizontal="justify" vertical="center" wrapText="1"/>
    </xf>
    <xf numFmtId="0" fontId="69" fillId="0" borderId="24" xfId="0" applyFont="1" applyBorder="1" applyAlignment="1">
      <alignment horizontal="left" vertical="center" wrapText="1"/>
    </xf>
    <xf numFmtId="0" fontId="70" fillId="0" borderId="24" xfId="0" applyFont="1" applyBorder="1" applyAlignment="1">
      <alignment horizontal="center" vertical="center"/>
    </xf>
    <xf numFmtId="182" fontId="66" fillId="0" borderId="24" xfId="0" applyNumberFormat="1" applyFont="1" applyBorder="1" applyAlignment="1">
      <alignment horizontal="justify" vertical="center" wrapText="1"/>
    </xf>
    <xf numFmtId="4" fontId="63" fillId="0" borderId="0" xfId="0" applyNumberFormat="1" applyFont="1" applyBorder="1">
      <alignment vertical="center"/>
    </xf>
    <xf numFmtId="0" fontId="58" fillId="0" borderId="9" xfId="0" applyFont="1" applyBorder="1" applyAlignment="1">
      <alignment horizontal="left" vertical="center" wrapText="1"/>
    </xf>
    <xf numFmtId="0" fontId="66" fillId="0" borderId="8" xfId="0" applyFont="1" applyBorder="1" applyAlignment="1">
      <alignment horizontal="center" vertical="center"/>
    </xf>
    <xf numFmtId="183" fontId="66" fillId="0" borderId="9" xfId="0" applyNumberFormat="1" applyFont="1" applyBorder="1" applyAlignment="1">
      <alignment horizontal="right" vertical="center"/>
    </xf>
    <xf numFmtId="183" fontId="66" fillId="0" borderId="8" xfId="0" applyNumberFormat="1" applyFont="1" applyBorder="1" applyAlignment="1">
      <alignment horizontal="right" vertical="center"/>
    </xf>
    <xf numFmtId="0" fontId="58" fillId="0" borderId="8" xfId="0" applyFont="1" applyBorder="1" applyAlignment="1">
      <alignment horizontal="left" vertical="center" wrapText="1"/>
    </xf>
    <xf numFmtId="0" fontId="70" fillId="0" borderId="8" xfId="0" applyFont="1" applyBorder="1" applyAlignment="1">
      <alignment horizontal="center" vertical="center"/>
    </xf>
    <xf numFmtId="179" fontId="66" fillId="0" borderId="8" xfId="0" applyNumberFormat="1" applyFont="1" applyBorder="1" applyAlignment="1">
      <alignment horizontal="right" vertical="center"/>
    </xf>
    <xf numFmtId="4" fontId="0" fillId="0" borderId="0" xfId="52" applyNumberFormat="1">
      <alignment vertical="center"/>
    </xf>
    <xf numFmtId="182" fontId="66" fillId="0" borderId="8" xfId="0" applyNumberFormat="1" applyFont="1" applyBorder="1" applyAlignment="1">
      <alignment horizontal="right" vertical="center"/>
    </xf>
    <xf numFmtId="0" fontId="66" fillId="0" borderId="9" xfId="0" applyFont="1" applyBorder="1" applyAlignment="1">
      <alignment horizontal="left" vertical="center" wrapText="1"/>
    </xf>
    <xf numFmtId="183" fontId="19" fillId="0" borderId="8" xfId="0" applyNumberFormat="1" applyFont="1" applyBorder="1" applyAlignment="1">
      <alignment horizontal="right" vertical="center"/>
    </xf>
    <xf numFmtId="0" fontId="71" fillId="12" borderId="8" xfId="0" applyFont="1" applyFill="1" applyBorder="1" applyAlignment="1">
      <alignment vertical="center"/>
    </xf>
    <xf numFmtId="0" fontId="64" fillId="0" borderId="8" xfId="0" applyFont="1" applyBorder="1" applyAlignment="1">
      <alignment vertical="center"/>
    </xf>
    <xf numFmtId="179" fontId="64" fillId="0" borderId="8" xfId="0" applyNumberFormat="1" applyFont="1" applyBorder="1" applyAlignment="1">
      <alignment vertical="center"/>
    </xf>
    <xf numFmtId="4" fontId="72" fillId="0" borderId="36" xfId="52" applyNumberFormat="1" applyFont="1" applyBorder="1" applyAlignment="1">
      <alignment horizontal="right" vertical="center"/>
    </xf>
    <xf numFmtId="0" fontId="0" fillId="0" borderId="37" xfId="52" applyBorder="1">
      <alignment vertical="center"/>
    </xf>
    <xf numFmtId="0" fontId="66" fillId="3" borderId="9" xfId="0" applyFont="1" applyFill="1" applyBorder="1" applyAlignment="1">
      <alignment horizontal="left" vertical="center" wrapText="1"/>
    </xf>
    <xf numFmtId="0" fontId="58" fillId="12" borderId="8" xfId="0" applyFont="1" applyFill="1" applyBorder="1" applyAlignment="1">
      <alignment horizontal="left" vertical="center" wrapText="1"/>
    </xf>
    <xf numFmtId="182" fontId="66" fillId="0" borderId="8" xfId="0" applyNumberFormat="1" applyFont="1" applyBorder="1" applyAlignment="1">
      <alignment horizontal="right" vertical="center" wrapText="1"/>
    </xf>
    <xf numFmtId="43" fontId="66" fillId="0" borderId="7" xfId="0" applyNumberFormat="1" applyFont="1" applyBorder="1" applyAlignment="1">
      <alignment horizontal="right" vertical="center" wrapText="1"/>
    </xf>
    <xf numFmtId="43" fontId="0" fillId="0" borderId="36" xfId="52" applyNumberFormat="1" applyBorder="1">
      <alignment vertical="center"/>
    </xf>
    <xf numFmtId="43" fontId="0" fillId="0" borderId="38" xfId="52" applyNumberFormat="1" applyBorder="1">
      <alignment vertical="center"/>
    </xf>
    <xf numFmtId="0" fontId="0" fillId="0" borderId="38" xfId="52" applyBorder="1">
      <alignment vertical="center"/>
    </xf>
    <xf numFmtId="4" fontId="0" fillId="0" borderId="39" xfId="52" applyNumberFormat="1" applyBorder="1">
      <alignment vertical="center"/>
    </xf>
    <xf numFmtId="0" fontId="0" fillId="0" borderId="40" xfId="52" applyBorder="1">
      <alignment vertical="center"/>
    </xf>
    <xf numFmtId="182" fontId="66" fillId="0" borderId="7" xfId="0" applyNumberFormat="1" applyFont="1" applyBorder="1" applyAlignment="1">
      <alignment horizontal="right" vertical="center" wrapText="1"/>
    </xf>
    <xf numFmtId="43" fontId="0" fillId="0" borderId="39" xfId="52" applyNumberFormat="1" applyBorder="1">
      <alignment vertical="center"/>
    </xf>
    <xf numFmtId="179" fontId="66" fillId="0" borderId="8" xfId="0" applyNumberFormat="1" applyFont="1" applyFill="1" applyBorder="1" applyAlignment="1">
      <alignment horizontal="right" vertical="center"/>
    </xf>
    <xf numFmtId="43" fontId="0" fillId="0" borderId="41" xfId="52" applyNumberFormat="1" applyBorder="1">
      <alignment vertical="center"/>
    </xf>
    <xf numFmtId="43" fontId="0" fillId="0" borderId="42" xfId="52" applyNumberFormat="1" applyBorder="1">
      <alignment vertical="center"/>
    </xf>
    <xf numFmtId="0" fontId="0" fillId="0" borderId="42" xfId="52" applyBorder="1">
      <alignment vertical="center"/>
    </xf>
    <xf numFmtId="4" fontId="0" fillId="0" borderId="41" xfId="52" applyNumberFormat="1" applyBorder="1">
      <alignment vertical="center"/>
    </xf>
    <xf numFmtId="179" fontId="0" fillId="0" borderId="43" xfId="52" applyNumberFormat="1" applyBorder="1">
      <alignment vertical="center"/>
    </xf>
    <xf numFmtId="0" fontId="55" fillId="0" borderId="8" xfId="0" applyFont="1" applyBorder="1" applyAlignment="1">
      <alignment horizontal="justify" vertical="center" wrapText="1"/>
    </xf>
    <xf numFmtId="182" fontId="73" fillId="0" borderId="8" xfId="0" applyNumberFormat="1" applyFont="1" applyBorder="1" applyAlignment="1">
      <alignment horizontal="right" vertical="center" wrapText="1"/>
    </xf>
    <xf numFmtId="43" fontId="73" fillId="0" borderId="8" xfId="0" applyNumberFormat="1" applyFont="1" applyBorder="1" applyAlignment="1">
      <alignment horizontal="right" vertical="center" wrapText="1"/>
    </xf>
    <xf numFmtId="0" fontId="74" fillId="0" borderId="9" xfId="0" applyFont="1" applyBorder="1" applyAlignment="1">
      <alignment horizontal="left" vertical="center" wrapText="1"/>
    </xf>
    <xf numFmtId="0" fontId="19" fillId="0" borderId="8" xfId="0" applyFont="1" applyBorder="1" applyAlignment="1">
      <alignment horizontal="center" vertical="center"/>
    </xf>
    <xf numFmtId="0" fontId="69" fillId="0" borderId="8" xfId="0" applyFont="1" applyBorder="1" applyAlignment="1">
      <alignment horizontal="left" vertical="center" wrapText="1"/>
    </xf>
    <xf numFmtId="0" fontId="72" fillId="0" borderId="0" xfId="52" applyFont="1">
      <alignment vertical="center"/>
    </xf>
    <xf numFmtId="183" fontId="66" fillId="0" borderId="9" xfId="0" applyNumberFormat="1" applyFont="1" applyFill="1" applyBorder="1" applyAlignment="1">
      <alignment horizontal="right" vertical="center"/>
    </xf>
    <xf numFmtId="0" fontId="75" fillId="0" borderId="9" xfId="0" applyFont="1" applyBorder="1" applyAlignment="1">
      <alignment horizontal="left" vertical="center" wrapText="1"/>
    </xf>
    <xf numFmtId="0" fontId="76" fillId="0" borderId="8" xfId="0" applyFont="1" applyBorder="1" applyAlignment="1">
      <alignment horizontal="center" vertical="center"/>
    </xf>
    <xf numFmtId="179" fontId="73" fillId="0" borderId="9" xfId="0" applyNumberFormat="1" applyFont="1" applyBorder="1" applyAlignment="1">
      <alignment horizontal="right" vertical="center" wrapText="1"/>
    </xf>
    <xf numFmtId="186" fontId="0" fillId="0" borderId="0" xfId="52" applyNumberFormat="1">
      <alignment vertical="center"/>
    </xf>
    <xf numFmtId="183" fontId="66" fillId="0" borderId="9" xfId="0" applyNumberFormat="1" applyFont="1" applyBorder="1" applyAlignment="1" applyProtection="1">
      <alignment horizontal="right" vertical="center"/>
      <protection locked="0"/>
    </xf>
    <xf numFmtId="183" fontId="66" fillId="0" borderId="8" xfId="0" applyNumberFormat="1" applyFont="1" applyBorder="1" applyAlignment="1" applyProtection="1">
      <alignment horizontal="right" vertical="center"/>
      <protection locked="0"/>
    </xf>
    <xf numFmtId="0" fontId="0" fillId="0" borderId="36" xfId="52" applyBorder="1">
      <alignment vertical="center"/>
    </xf>
    <xf numFmtId="0" fontId="0" fillId="0" borderId="38" xfId="52" applyBorder="1" applyAlignment="1">
      <alignment horizontal="center" vertical="center"/>
    </xf>
    <xf numFmtId="179" fontId="0" fillId="0" borderId="37" xfId="52" applyNumberFormat="1" applyBorder="1">
      <alignment vertical="center"/>
    </xf>
    <xf numFmtId="0" fontId="0" fillId="0" borderId="39" xfId="52" applyBorder="1">
      <alignment vertical="center"/>
    </xf>
    <xf numFmtId="179" fontId="0" fillId="0" borderId="40" xfId="52" applyNumberFormat="1" applyBorder="1">
      <alignment vertical="center"/>
    </xf>
    <xf numFmtId="0" fontId="0" fillId="0" borderId="41" xfId="52" applyBorder="1">
      <alignment vertical="center"/>
    </xf>
    <xf numFmtId="179" fontId="0" fillId="0" borderId="42" xfId="52" applyNumberFormat="1" applyBorder="1">
      <alignment vertical="center"/>
    </xf>
    <xf numFmtId="183" fontId="66" fillId="0" borderId="9" xfId="0" applyNumberFormat="1" applyFont="1" applyBorder="1" applyAlignment="1">
      <alignment horizontal="right" vertical="center" wrapText="1"/>
    </xf>
    <xf numFmtId="182" fontId="66" fillId="0" borderId="8" xfId="0" applyNumberFormat="1" applyFont="1" applyBorder="1" applyAlignment="1" applyProtection="1">
      <alignment horizontal="right" vertical="center"/>
      <protection locked="0"/>
    </xf>
    <xf numFmtId="183" fontId="77" fillId="0" borderId="8" xfId="0" applyNumberFormat="1" applyFont="1" applyBorder="1" applyAlignment="1">
      <alignment horizontal="right" vertical="center"/>
    </xf>
    <xf numFmtId="184" fontId="0" fillId="0" borderId="0" xfId="52" applyNumberFormat="1">
      <alignment vertical="center"/>
    </xf>
    <xf numFmtId="187" fontId="57" fillId="13" borderId="0" xfId="52" applyNumberFormat="1" applyFont="1" applyFill="1">
      <alignment vertical="center"/>
    </xf>
    <xf numFmtId="187" fontId="0" fillId="0" borderId="0" xfId="52" applyNumberFormat="1">
      <alignment vertical="center"/>
    </xf>
    <xf numFmtId="182" fontId="78" fillId="0" borderId="8" xfId="0" applyNumberFormat="1" applyFont="1" applyBorder="1" applyAlignment="1">
      <alignment horizontal="right" vertical="center" wrapText="1"/>
    </xf>
    <xf numFmtId="183" fontId="66" fillId="3" borderId="8" xfId="0" applyNumberFormat="1" applyFont="1" applyFill="1" applyBorder="1" applyAlignment="1">
      <alignment horizontal="right" vertical="center"/>
    </xf>
    <xf numFmtId="0" fontId="55" fillId="0" borderId="10" xfId="0" applyFont="1" applyBorder="1" applyAlignment="1">
      <alignment horizontal="left" vertical="center" wrapText="1"/>
    </xf>
    <xf numFmtId="0" fontId="66" fillId="0" borderId="10" xfId="0" applyFont="1" applyBorder="1" applyAlignment="1">
      <alignment horizontal="center" vertical="center"/>
    </xf>
    <xf numFmtId="183" fontId="73" fillId="0" borderId="9" xfId="0" applyNumberFormat="1" applyFont="1" applyBorder="1" applyAlignment="1">
      <alignment horizontal="right" vertical="center" wrapText="1"/>
    </xf>
    <xf numFmtId="10" fontId="0" fillId="0" borderId="0" xfId="3" applyNumberFormat="1" applyFont="1" applyFill="1" applyBorder="1" applyAlignment="1" applyProtection="1">
      <alignment vertical="center"/>
    </xf>
    <xf numFmtId="0" fontId="79" fillId="0" borderId="10" xfId="0" applyFont="1" applyBorder="1" applyAlignment="1">
      <alignment horizontal="center" vertical="center"/>
    </xf>
    <xf numFmtId="0" fontId="76" fillId="0" borderId="10" xfId="0" applyFont="1" applyBorder="1" applyAlignment="1">
      <alignment horizontal="center" vertical="center"/>
    </xf>
    <xf numFmtId="0" fontId="11" fillId="8" borderId="0" xfId="0" applyFont="1" applyFill="1" applyAlignment="1" applyProtection="1">
      <alignment horizontal="justify" vertical="center"/>
      <protection locked="0"/>
    </xf>
    <xf numFmtId="0" fontId="66" fillId="8" borderId="0" xfId="0" applyFont="1" applyFill="1" applyAlignment="1" applyProtection="1">
      <alignment horizontal="center" vertical="center"/>
      <protection locked="0"/>
    </xf>
    <xf numFmtId="179" fontId="66" fillId="8" borderId="0" xfId="0" applyNumberFormat="1" applyFont="1" applyFill="1" applyAlignment="1" applyProtection="1">
      <alignment horizontal="right" vertical="center"/>
      <protection locked="0"/>
    </xf>
    <xf numFmtId="179" fontId="11" fillId="8" borderId="0" xfId="0" applyNumberFormat="1" applyFont="1" applyFill="1" applyAlignment="1" applyProtection="1">
      <alignment horizontal="right" vertical="center"/>
      <protection locked="0"/>
    </xf>
    <xf numFmtId="179" fontId="66" fillId="8" borderId="0" xfId="0" applyNumberFormat="1" applyFont="1" applyFill="1" applyAlignment="1" applyProtection="1">
      <alignment horizontal="center" vertical="center"/>
      <protection locked="0"/>
    </xf>
    <xf numFmtId="0" fontId="11" fillId="8" borderId="0" xfId="0" applyFont="1" applyFill="1" applyAlignment="1" applyProtection="1">
      <alignment horizontal="center" vertical="center"/>
      <protection locked="0"/>
    </xf>
    <xf numFmtId="43" fontId="66" fillId="8" borderId="0" xfId="0" applyNumberFormat="1" applyFont="1" applyFill="1" applyAlignment="1" applyProtection="1">
      <alignment horizontal="center" vertical="center"/>
      <protection locked="0"/>
    </xf>
    <xf numFmtId="179" fontId="28" fillId="8" borderId="0" xfId="0" applyNumberFormat="1" applyFont="1" applyFill="1" applyAlignment="1">
      <alignment horizontal="center" vertical="center"/>
    </xf>
    <xf numFmtId="43" fontId="80" fillId="13" borderId="0" xfId="0" applyNumberFormat="1" applyFont="1" applyFill="1" applyAlignment="1">
      <alignment horizontal="center" vertical="center"/>
    </xf>
    <xf numFmtId="43" fontId="28" fillId="13" borderId="0" xfId="0" applyNumberFormat="1" applyFont="1" applyFill="1" applyAlignment="1">
      <alignment vertical="center"/>
    </xf>
    <xf numFmtId="0" fontId="26" fillId="0" borderId="0" xfId="0" applyFont="1" applyFill="1" applyBorder="1" applyAlignment="1">
      <alignment horizontal="left" vertical="center" wrapText="1"/>
    </xf>
    <xf numFmtId="43" fontId="81" fillId="0" borderId="0" xfId="0" applyNumberFormat="1" applyFont="1" applyFill="1" applyAlignment="1">
      <alignment vertical="center"/>
    </xf>
    <xf numFmtId="49" fontId="82" fillId="0" borderId="0" xfId="0" applyNumberFormat="1" applyFont="1" applyFill="1" applyBorder="1" applyAlignment="1">
      <alignment horizontal="center" vertical="center"/>
    </xf>
    <xf numFmtId="49" fontId="25" fillId="0" borderId="0" xfId="0" applyNumberFormat="1" applyFont="1" applyFill="1" applyBorder="1" applyAlignment="1">
      <alignment horizontal="right" vertical="center"/>
    </xf>
    <xf numFmtId="0" fontId="25" fillId="0" borderId="0" xfId="0" applyFont="1" applyFill="1" applyBorder="1" applyAlignment="1">
      <alignment horizontal="left" vertical="center"/>
    </xf>
    <xf numFmtId="57" fontId="25" fillId="0" borderId="0" xfId="0" applyNumberFormat="1" applyFont="1" applyFill="1" applyBorder="1" applyAlignment="1">
      <alignment horizontal="left" vertical="center"/>
    </xf>
    <xf numFmtId="10" fontId="26" fillId="0" borderId="0" xfId="3" applyNumberFormat="1" applyFont="1" applyFill="1" applyBorder="1" applyAlignment="1">
      <alignment horizontal="center" vertical="center" wrapText="1"/>
    </xf>
    <xf numFmtId="49" fontId="25" fillId="0" borderId="44" xfId="0" applyNumberFormat="1" applyFont="1" applyFill="1" applyBorder="1" applyAlignment="1">
      <alignment horizontal="center" vertical="center"/>
    </xf>
    <xf numFmtId="0" fontId="43" fillId="0" borderId="44" xfId="0" applyFont="1" applyFill="1" applyBorder="1" applyAlignment="1">
      <alignment horizontal="left" vertical="center"/>
    </xf>
    <xf numFmtId="0" fontId="25" fillId="0" borderId="44" xfId="0" applyFont="1" applyFill="1" applyBorder="1" applyAlignment="1">
      <alignment horizontal="left" vertical="center"/>
    </xf>
    <xf numFmtId="179" fontId="43" fillId="0" borderId="44" xfId="0" applyNumberFormat="1" applyFont="1" applyFill="1" applyBorder="1" applyAlignment="1">
      <alignment horizontal="right" vertical="center"/>
    </xf>
    <xf numFmtId="10" fontId="26" fillId="0" borderId="0" xfId="3" applyNumberFormat="1" applyFont="1" applyFill="1" applyAlignment="1">
      <alignment vertical="center"/>
    </xf>
    <xf numFmtId="188" fontId="43" fillId="0" borderId="44" xfId="0" applyNumberFormat="1" applyFont="1" applyFill="1" applyBorder="1" applyAlignment="1">
      <alignment horizontal="right" vertical="center"/>
    </xf>
    <xf numFmtId="49" fontId="82" fillId="0" borderId="0" xfId="0" applyNumberFormat="1" applyFont="1" applyFill="1" applyBorder="1" applyAlignment="1">
      <alignment horizontal="right" vertical="center"/>
    </xf>
    <xf numFmtId="49" fontId="82" fillId="0" borderId="0" xfId="0" applyNumberFormat="1" applyFont="1" applyFill="1" applyBorder="1" applyAlignment="1">
      <alignment horizontal="left" vertical="center"/>
    </xf>
    <xf numFmtId="49" fontId="25" fillId="0" borderId="0" xfId="0" applyNumberFormat="1" applyFont="1" applyFill="1" applyBorder="1" applyAlignment="1">
      <alignment horizontal="left" vertical="center"/>
    </xf>
    <xf numFmtId="14" fontId="25" fillId="0" borderId="0" xfId="0" applyNumberFormat="1" applyFont="1" applyFill="1" applyBorder="1" applyAlignment="1">
      <alignment horizontal="left" vertical="center"/>
    </xf>
    <xf numFmtId="0" fontId="83" fillId="0" borderId="0" xfId="0" applyFont="1" applyFill="1" applyAlignment="1">
      <alignment vertical="center"/>
    </xf>
    <xf numFmtId="43" fontId="84" fillId="0" borderId="0" xfId="0" applyNumberFormat="1" applyFont="1" applyFill="1" applyAlignment="1">
      <alignment vertical="center"/>
    </xf>
    <xf numFmtId="0" fontId="85" fillId="0" borderId="0" xfId="0" applyFont="1" applyFill="1" applyAlignment="1">
      <alignment horizontal="right" vertical="center" wrapText="1"/>
    </xf>
    <xf numFmtId="43" fontId="86" fillId="14" borderId="0" xfId="0" applyNumberFormat="1" applyFont="1" applyFill="1" applyAlignment="1">
      <alignment vertical="center"/>
    </xf>
    <xf numFmtId="0" fontId="86" fillId="0" borderId="0" xfId="0" applyFont="1" applyFill="1" applyAlignment="1">
      <alignment vertical="center"/>
    </xf>
    <xf numFmtId="43" fontId="86" fillId="0" borderId="0" xfId="0" applyNumberFormat="1" applyFont="1" applyFill="1" applyAlignment="1">
      <alignment vertical="center"/>
    </xf>
    <xf numFmtId="179" fontId="43" fillId="3" borderId="44" xfId="0" applyNumberFormat="1" applyFont="1" applyFill="1" applyBorder="1" applyAlignment="1">
      <alignment horizontal="right" vertical="center"/>
    </xf>
    <xf numFmtId="43" fontId="26" fillId="0" borderId="0" xfId="0" applyNumberFormat="1" applyFont="1" applyFill="1" applyBorder="1" applyAlignment="1">
      <alignment horizontal="left" vertical="center" wrapText="1"/>
    </xf>
    <xf numFmtId="43" fontId="25" fillId="0" borderId="0" xfId="0" applyNumberFormat="1" applyFont="1" applyFill="1" applyBorder="1" applyAlignment="1">
      <alignment horizontal="left" vertical="center"/>
    </xf>
    <xf numFmtId="0" fontId="37" fillId="0" borderId="0" xfId="0" applyFont="1" applyAlignment="1"/>
    <xf numFmtId="0" fontId="15" fillId="0" borderId="0" xfId="0" applyFont="1" applyAlignment="1"/>
    <xf numFmtId="0" fontId="32" fillId="0" borderId="0" xfId="0" applyFont="1" applyAlignment="1" applyProtection="1">
      <alignment horizontal="center" vertical="center"/>
      <protection locked="0"/>
    </xf>
    <xf numFmtId="0" fontId="87" fillId="0" borderId="0" xfId="0" applyFont="1" applyAlignment="1">
      <alignment horizontal="center" vertical="center"/>
    </xf>
    <xf numFmtId="0" fontId="32" fillId="0" borderId="0" xfId="0" applyFont="1" applyAlignment="1">
      <alignment vertical="center"/>
    </xf>
    <xf numFmtId="0" fontId="39" fillId="0" borderId="0" xfId="0" applyFont="1" applyAlignment="1" applyProtection="1">
      <alignment horizontal="center" vertical="center"/>
      <protection locked="0"/>
    </xf>
    <xf numFmtId="10" fontId="37" fillId="0" borderId="0" xfId="3" applyNumberFormat="1" applyFont="1" applyAlignment="1">
      <alignment vertical="center"/>
    </xf>
    <xf numFmtId="0" fontId="39" fillId="0" borderId="0" xfId="0" applyFont="1" applyAlignment="1">
      <alignment vertical="center"/>
    </xf>
    <xf numFmtId="0" fontId="54" fillId="0" borderId="31" xfId="0" applyFont="1" applyBorder="1" applyAlignment="1">
      <alignment horizontal="center" vertical="center"/>
    </xf>
    <xf numFmtId="0" fontId="54" fillId="0" borderId="31" xfId="0" applyFont="1" applyBorder="1" applyAlignment="1" applyProtection="1">
      <alignment horizontal="left" vertical="center"/>
      <protection locked="0"/>
    </xf>
    <xf numFmtId="0" fontId="39" fillId="0" borderId="31" xfId="0" applyFont="1" applyBorder="1" applyAlignment="1">
      <alignment horizontal="justify" vertical="center"/>
    </xf>
    <xf numFmtId="0" fontId="37" fillId="0" borderId="0" xfId="0" applyFont="1" applyAlignment="1">
      <alignment vertical="center"/>
    </xf>
    <xf numFmtId="0" fontId="54" fillId="9" borderId="27" xfId="0" applyFont="1" applyFill="1" applyBorder="1" applyAlignment="1">
      <alignment horizontal="center" vertical="center" wrapText="1"/>
    </xf>
    <xf numFmtId="0" fontId="54" fillId="9" borderId="26" xfId="0" applyFont="1" applyFill="1" applyBorder="1" applyAlignment="1">
      <alignment horizontal="center" vertical="center"/>
    </xf>
    <xf numFmtId="0" fontId="54" fillId="9" borderId="26" xfId="0" applyFont="1" applyFill="1" applyBorder="1" applyAlignment="1">
      <alignment horizontal="center" vertical="center" wrapText="1"/>
    </xf>
    <xf numFmtId="0" fontId="37" fillId="0" borderId="0" xfId="0" applyFont="1" applyAlignment="1">
      <alignment horizontal="right" vertical="center"/>
    </xf>
    <xf numFmtId="0" fontId="39" fillId="0" borderId="0" xfId="0" applyFont="1" applyAlignment="1" applyProtection="1">
      <alignment horizontal="right" vertical="center"/>
      <protection locked="0"/>
    </xf>
    <xf numFmtId="0" fontId="39" fillId="0" borderId="0" xfId="0" applyFont="1" applyAlignment="1">
      <alignment horizontal="center" vertical="center"/>
    </xf>
    <xf numFmtId="0" fontId="47" fillId="0" borderId="0" xfId="0" applyFont="1" applyAlignment="1"/>
    <xf numFmtId="0" fontId="42" fillId="0" borderId="26" xfId="0" applyFont="1" applyBorder="1" applyAlignment="1">
      <alignment horizontal="center" vertical="center" wrapText="1"/>
    </xf>
    <xf numFmtId="182" fontId="46" fillId="0" borderId="25" xfId="0" applyNumberFormat="1" applyFont="1" applyFill="1" applyBorder="1" applyAlignment="1">
      <alignment horizontal="right" vertical="center"/>
    </xf>
    <xf numFmtId="179" fontId="37" fillId="0" borderId="0" xfId="0" applyNumberFormat="1" applyFont="1" applyAlignment="1">
      <alignment vertical="center"/>
    </xf>
    <xf numFmtId="179" fontId="39" fillId="0" borderId="0" xfId="3" applyNumberFormat="1" applyFont="1" applyAlignment="1" applyProtection="1">
      <alignment horizontal="center" vertical="center"/>
      <protection locked="0"/>
    </xf>
    <xf numFmtId="10" fontId="39" fillId="0" borderId="0" xfId="3" applyNumberFormat="1" applyFont="1" applyAlignment="1" applyProtection="1">
      <alignment horizontal="center" vertical="center"/>
      <protection locked="0"/>
    </xf>
    <xf numFmtId="0" fontId="11" fillId="0" borderId="0" xfId="0" applyFont="1" applyAlignment="1">
      <alignment vertical="center"/>
    </xf>
    <xf numFmtId="43" fontId="37" fillId="0" borderId="0" xfId="0" applyNumberFormat="1" applyFont="1" applyAlignment="1"/>
    <xf numFmtId="0" fontId="88" fillId="0" borderId="27" xfId="0" applyFont="1" applyBorder="1" applyAlignment="1">
      <alignment horizontal="justify" vertical="center" wrapText="1"/>
    </xf>
    <xf numFmtId="0" fontId="89" fillId="0" borderId="26" xfId="0" applyFont="1" applyBorder="1" applyAlignment="1">
      <alignment horizontal="center" vertical="center" wrapText="1"/>
    </xf>
    <xf numFmtId="182" fontId="89" fillId="0" borderId="26" xfId="0" applyNumberFormat="1" applyFont="1" applyFill="1" applyBorder="1" applyAlignment="1">
      <alignment horizontal="right" vertical="center"/>
    </xf>
    <xf numFmtId="179" fontId="39" fillId="0" borderId="0" xfId="0" applyNumberFormat="1" applyFont="1" applyAlignment="1" applyProtection="1">
      <alignment horizontal="center" vertical="center"/>
      <protection locked="0"/>
    </xf>
    <xf numFmtId="0" fontId="39" fillId="0" borderId="26" xfId="0" applyFont="1" applyBorder="1" applyAlignment="1">
      <alignment horizontal="center" vertical="center" wrapText="1"/>
    </xf>
    <xf numFmtId="182" fontId="39" fillId="0" borderId="26" xfId="0" applyNumberFormat="1" applyFont="1" applyFill="1" applyBorder="1" applyAlignment="1">
      <alignment horizontal="right" vertical="center"/>
    </xf>
    <xf numFmtId="179" fontId="39" fillId="0" borderId="26" xfId="0" applyNumberFormat="1" applyFont="1" applyFill="1" applyBorder="1" applyAlignment="1">
      <alignment horizontal="right" vertical="center"/>
    </xf>
    <xf numFmtId="179" fontId="89" fillId="0" borderId="26" xfId="0" applyNumberFormat="1" applyFont="1" applyFill="1" applyBorder="1" applyAlignment="1">
      <alignment horizontal="right" vertical="center"/>
    </xf>
    <xf numFmtId="179" fontId="37" fillId="0" borderId="0" xfId="0" applyNumberFormat="1" applyFont="1" applyAlignment="1"/>
    <xf numFmtId="179" fontId="39" fillId="0" borderId="0" xfId="0" applyNumberFormat="1" applyFont="1" applyAlignment="1">
      <alignment vertical="center"/>
    </xf>
    <xf numFmtId="179" fontId="46" fillId="0" borderId="27" xfId="0" applyNumberFormat="1" applyFont="1" applyBorder="1" applyAlignment="1">
      <alignment horizontal="right" vertical="center"/>
    </xf>
    <xf numFmtId="179" fontId="47" fillId="0" borderId="0" xfId="0" applyNumberFormat="1" applyFont="1" applyAlignment="1">
      <alignment vertical="center"/>
    </xf>
    <xf numFmtId="182" fontId="46" fillId="0" borderId="26" xfId="0" applyNumberFormat="1" applyFont="1" applyBorder="1" applyAlignment="1">
      <alignment horizontal="justify" vertical="center"/>
    </xf>
    <xf numFmtId="182" fontId="46" fillId="0" borderId="26" xfId="0" applyNumberFormat="1" applyFont="1" applyFill="1" applyBorder="1" applyAlignment="1">
      <alignment horizontal="justify" vertical="center"/>
    </xf>
    <xf numFmtId="43" fontId="39" fillId="0" borderId="0" xfId="0" applyNumberFormat="1" applyFont="1" applyAlignment="1">
      <alignment vertical="center"/>
    </xf>
    <xf numFmtId="182" fontId="39" fillId="0" borderId="26" xfId="0" applyNumberFormat="1" applyFont="1" applyBorder="1" applyAlignment="1">
      <alignment horizontal="justify" vertical="center"/>
    </xf>
    <xf numFmtId="39" fontId="39" fillId="0" borderId="0" xfId="0" applyNumberFormat="1" applyFont="1" applyAlignment="1">
      <alignment horizontal="right" vertical="center"/>
    </xf>
    <xf numFmtId="182" fontId="39" fillId="0" borderId="26" xfId="0" applyNumberFormat="1" applyFont="1" applyBorder="1" applyAlignment="1">
      <alignment horizontal="justify" vertical="center" wrapText="1"/>
    </xf>
    <xf numFmtId="0" fontId="39" fillId="0" borderId="0" xfId="0" applyFont="1" applyAlignment="1">
      <alignment horizontal="left" vertical="center"/>
    </xf>
    <xf numFmtId="0" fontId="80" fillId="8" borderId="0" xfId="0" applyFont="1" applyFill="1" applyAlignment="1">
      <alignment vertical="center"/>
    </xf>
    <xf numFmtId="179" fontId="28" fillId="8" borderId="0" xfId="0" applyNumberFormat="1" applyFont="1" applyFill="1" applyAlignment="1">
      <alignment vertical="center"/>
    </xf>
    <xf numFmtId="0" fontId="90" fillId="0" borderId="0" xfId="0" applyFont="1" applyAlignment="1">
      <alignment horizontal="center" vertical="center"/>
    </xf>
    <xf numFmtId="0" fontId="39" fillId="0" borderId="0" xfId="0" applyFont="1" applyFill="1" applyAlignment="1">
      <alignment horizontal="right" vertical="center"/>
    </xf>
    <xf numFmtId="0" fontId="39" fillId="0" borderId="0" xfId="0" applyFont="1" applyFill="1" applyAlignment="1">
      <alignment horizontal="justify" vertical="center"/>
    </xf>
    <xf numFmtId="14" fontId="28" fillId="0" borderId="7" xfId="0" applyNumberFormat="1" applyFont="1" applyFill="1" applyBorder="1" applyAlignment="1">
      <alignment horizontal="center" vertical="center"/>
    </xf>
    <xf numFmtId="0" fontId="39" fillId="0" borderId="0" xfId="0" applyFont="1" applyFill="1" applyAlignment="1" applyProtection="1">
      <alignment horizontal="center" vertical="center"/>
      <protection locked="0"/>
    </xf>
    <xf numFmtId="0" fontId="39" fillId="0" borderId="31" xfId="0" applyFont="1" applyFill="1" applyBorder="1" applyAlignment="1">
      <alignment horizontal="right" vertical="center"/>
    </xf>
    <xf numFmtId="0" fontId="39" fillId="0" borderId="31" xfId="0" applyFont="1" applyFill="1" applyBorder="1" applyAlignment="1">
      <alignment horizontal="justify" vertical="center"/>
    </xf>
    <xf numFmtId="0" fontId="68" fillId="0" borderId="31" xfId="0" applyFont="1" applyFill="1" applyBorder="1" applyAlignment="1">
      <alignment horizontal="left" vertical="center"/>
    </xf>
    <xf numFmtId="0" fontId="40" fillId="0" borderId="31" xfId="0" applyFont="1" applyFill="1" applyBorder="1" applyAlignment="1">
      <alignment horizontal="left" vertical="center"/>
    </xf>
    <xf numFmtId="0" fontId="39" fillId="0" borderId="31" xfId="0" applyFont="1" applyFill="1" applyBorder="1" applyAlignment="1" applyProtection="1">
      <alignment horizontal="justify" vertical="center"/>
      <protection locked="0"/>
    </xf>
    <xf numFmtId="0" fontId="40" fillId="0" borderId="33" xfId="0" applyFont="1" applyFill="1" applyBorder="1" applyAlignment="1">
      <alignment horizontal="center" vertical="center"/>
    </xf>
    <xf numFmtId="0" fontId="40" fillId="0" borderId="29" xfId="0" applyFont="1" applyFill="1" applyBorder="1" applyAlignment="1">
      <alignment horizontal="center" vertical="center"/>
    </xf>
    <xf numFmtId="0" fontId="40" fillId="0" borderId="35" xfId="0" applyFont="1" applyFill="1" applyBorder="1" applyAlignment="1">
      <alignment horizontal="center" vertical="center"/>
    </xf>
    <xf numFmtId="0" fontId="39" fillId="0" borderId="24" xfId="0" applyFont="1" applyFill="1" applyBorder="1" applyAlignment="1">
      <alignment horizontal="center" vertical="center"/>
    </xf>
    <xf numFmtId="0" fontId="39" fillId="0" borderId="9" xfId="0" applyFont="1" applyFill="1" applyBorder="1" applyAlignment="1">
      <alignment horizontal="left" vertical="center" wrapText="1"/>
    </xf>
    <xf numFmtId="0" fontId="39" fillId="0" borderId="8" xfId="0" applyFont="1" applyFill="1" applyBorder="1" applyAlignment="1">
      <alignment horizontal="center" vertical="center"/>
    </xf>
    <xf numFmtId="0" fontId="39" fillId="0" borderId="8" xfId="0" applyFont="1" applyFill="1" applyBorder="1" applyAlignment="1">
      <alignment horizontal="left" vertical="center" wrapText="1"/>
    </xf>
    <xf numFmtId="182" fontId="39" fillId="0" borderId="8" xfId="0" applyNumberFormat="1" applyFont="1" applyFill="1" applyBorder="1" applyAlignment="1">
      <alignment horizontal="right" vertical="center"/>
    </xf>
    <xf numFmtId="179" fontId="39" fillId="0" borderId="8" xfId="0" applyNumberFormat="1" applyFont="1" applyFill="1" applyBorder="1" applyAlignment="1">
      <alignment horizontal="right" vertical="center"/>
    </xf>
    <xf numFmtId="0" fontId="39" fillId="0" borderId="9" xfId="0" applyFont="1" applyFill="1" applyBorder="1" applyAlignment="1">
      <alignment horizontal="center" vertical="center"/>
    </xf>
    <xf numFmtId="179" fontId="39" fillId="0" borderId="8" xfId="0" applyNumberFormat="1" applyFont="1" applyFill="1" applyBorder="1" applyAlignment="1">
      <alignment vertical="center"/>
    </xf>
    <xf numFmtId="0" fontId="39" fillId="0" borderId="24" xfId="0" applyFont="1" applyFill="1" applyBorder="1" applyAlignment="1">
      <alignment horizontal="left" vertical="center" wrapText="1"/>
    </xf>
    <xf numFmtId="179" fontId="37" fillId="0" borderId="8" xfId="0" applyNumberFormat="1" applyFont="1" applyFill="1" applyBorder="1" applyAlignment="1">
      <alignment horizontal="right" vertical="center"/>
    </xf>
    <xf numFmtId="188" fontId="28" fillId="8" borderId="0" xfId="0" applyNumberFormat="1" applyFont="1" applyFill="1" applyAlignment="1">
      <alignment vertical="center"/>
    </xf>
    <xf numFmtId="0" fontId="47" fillId="8" borderId="0" xfId="0" applyFont="1" applyFill="1" applyAlignment="1">
      <alignment vertical="center"/>
    </xf>
    <xf numFmtId="179" fontId="39" fillId="0" borderId="8" xfId="0" applyNumberFormat="1" applyFont="1" applyFill="1" applyBorder="1" applyAlignment="1">
      <alignment horizontal="right" vertical="center" wrapText="1"/>
    </xf>
    <xf numFmtId="182" fontId="39" fillId="0" borderId="8" xfId="0" applyNumberFormat="1" applyFont="1" applyFill="1" applyBorder="1" applyAlignment="1">
      <alignment horizontal="right" vertical="center" wrapText="1"/>
    </xf>
    <xf numFmtId="179" fontId="28" fillId="0" borderId="0" xfId="51" applyNumberFormat="1" applyFont="1" applyFill="1" applyAlignment="1">
      <alignment vertical="center"/>
    </xf>
    <xf numFmtId="0" fontId="28" fillId="0" borderId="0" xfId="51" applyFont="1" applyFill="1" applyAlignment="1">
      <alignment vertical="center"/>
    </xf>
    <xf numFmtId="0" fontId="40" fillId="0" borderId="8" xfId="0" applyFont="1" applyFill="1" applyBorder="1" applyAlignment="1">
      <alignment horizontal="left" vertical="center" wrapText="1"/>
    </xf>
    <xf numFmtId="0" fontId="42" fillId="0" borderId="9" xfId="0" applyFont="1" applyFill="1" applyBorder="1" applyAlignment="1">
      <alignment horizontal="center" vertical="center" wrapText="1"/>
    </xf>
    <xf numFmtId="184" fontId="42" fillId="0" borderId="8" xfId="0" applyNumberFormat="1" applyFont="1" applyFill="1" applyBorder="1" applyAlignment="1">
      <alignment horizontal="right" vertical="center" wrapText="1"/>
    </xf>
    <xf numFmtId="0" fontId="40" fillId="0" borderId="9" xfId="0" applyFont="1" applyFill="1" applyBorder="1" applyAlignment="1">
      <alignment horizontal="left" vertical="center" wrapText="1"/>
    </xf>
    <xf numFmtId="183" fontId="39" fillId="0" borderId="8" xfId="0" applyNumberFormat="1" applyFont="1" applyFill="1" applyBorder="1" applyAlignment="1">
      <alignment horizontal="right" vertical="center" wrapText="1"/>
    </xf>
    <xf numFmtId="183" fontId="45" fillId="0" borderId="8" xfId="0" applyNumberFormat="1" applyFont="1" applyFill="1" applyBorder="1" applyAlignment="1">
      <alignment horizontal="right" vertical="center" wrapText="1"/>
    </xf>
    <xf numFmtId="182" fontId="39" fillId="0" borderId="8" xfId="0" applyNumberFormat="1" applyFont="1" applyFill="1" applyBorder="1" applyAlignment="1" applyProtection="1">
      <alignment horizontal="right" vertical="center"/>
      <protection locked="0"/>
    </xf>
    <xf numFmtId="4" fontId="11" fillId="0" borderId="0" xfId="0" applyNumberFormat="1" applyFont="1" applyAlignment="1"/>
    <xf numFmtId="182" fontId="46" fillId="0" borderId="8" xfId="0" applyNumberFormat="1" applyFont="1" applyFill="1" applyBorder="1" applyAlignment="1">
      <alignment horizontal="right" vertical="center" wrapText="1"/>
    </xf>
    <xf numFmtId="183" fontId="39" fillId="0" borderId="24" xfId="0" applyNumberFormat="1" applyFont="1" applyFill="1" applyBorder="1" applyAlignment="1">
      <alignment horizontal="right" vertical="center"/>
    </xf>
    <xf numFmtId="10" fontId="28" fillId="8" borderId="0" xfId="3" applyNumberFormat="1" applyFont="1" applyFill="1" applyAlignment="1">
      <alignment vertical="center"/>
    </xf>
    <xf numFmtId="0" fontId="42" fillId="0" borderId="9" xfId="0" applyFont="1" applyFill="1" applyBorder="1" applyAlignment="1">
      <alignment horizontal="left" vertical="center" wrapText="1"/>
    </xf>
    <xf numFmtId="183" fontId="42" fillId="0" borderId="8" xfId="0" applyNumberFormat="1" applyFont="1" applyFill="1" applyBorder="1" applyAlignment="1">
      <alignment horizontal="right" vertical="center" wrapText="1"/>
    </xf>
    <xf numFmtId="0" fontId="39" fillId="0" borderId="0" xfId="0" applyFont="1" applyFill="1" applyAlignment="1">
      <alignment horizontal="center" vertical="center"/>
    </xf>
    <xf numFmtId="39" fontId="39" fillId="0" borderId="0" xfId="0" applyNumberFormat="1" applyFont="1" applyFill="1" applyAlignment="1" applyProtection="1">
      <alignment horizontal="right" vertical="center"/>
      <protection locked="0"/>
    </xf>
    <xf numFmtId="39" fontId="39" fillId="0" borderId="0" xfId="0" applyNumberFormat="1" applyFont="1" applyFill="1" applyAlignment="1">
      <alignment horizontal="right" vertical="center"/>
    </xf>
    <xf numFmtId="43" fontId="37" fillId="0" borderId="0" xfId="0" applyNumberFormat="1" applyFont="1" applyFill="1" applyAlignment="1">
      <alignment vertical="center"/>
    </xf>
    <xf numFmtId="179" fontId="37" fillId="0" borderId="0" xfId="0" applyNumberFormat="1" applyFont="1" applyFill="1" applyAlignment="1">
      <alignment horizontal="center" vertical="center"/>
    </xf>
    <xf numFmtId="179" fontId="37" fillId="0" borderId="0" xfId="0" applyNumberFormat="1" applyFont="1" applyFill="1" applyAlignment="1">
      <alignment vertical="center"/>
    </xf>
    <xf numFmtId="0" fontId="47" fillId="0" borderId="0" xfId="0" applyFont="1" applyFill="1" applyAlignment="1">
      <alignment horizontal="center" vertical="center"/>
    </xf>
    <xf numFmtId="0" fontId="91" fillId="0" borderId="0" xfId="70" applyFont="1" applyAlignment="1" applyProtection="1">
      <alignment horizontal="center"/>
      <protection hidden="1"/>
    </xf>
    <xf numFmtId="0" fontId="92" fillId="0" borderId="7" xfId="0" applyNumberFormat="1" applyFont="1" applyFill="1" applyBorder="1" applyAlignment="1" applyProtection="1">
      <alignment horizontal="left" vertical="center"/>
      <protection hidden="1"/>
    </xf>
    <xf numFmtId="180" fontId="93" fillId="0" borderId="0" xfId="0" applyNumberFormat="1" applyFont="1" applyFill="1" applyBorder="1" applyAlignment="1" applyProtection="1">
      <alignment horizontal="right" vertical="center"/>
      <protection hidden="1"/>
    </xf>
    <xf numFmtId="0" fontId="94" fillId="7" borderId="11" xfId="0" applyNumberFormat="1" applyFont="1" applyFill="1" applyBorder="1" applyAlignment="1" applyProtection="1">
      <alignment horizontal="center" vertical="center"/>
      <protection locked="0" hidden="1"/>
    </xf>
    <xf numFmtId="49" fontId="94" fillId="7" borderId="12" xfId="0" applyNumberFormat="1" applyFont="1" applyFill="1" applyBorder="1" applyAlignment="1" applyProtection="1">
      <alignment horizontal="center" vertical="center"/>
      <protection locked="0" hidden="1"/>
    </xf>
    <xf numFmtId="181" fontId="94" fillId="7" borderId="13" xfId="0" applyNumberFormat="1" applyFont="1" applyFill="1" applyBorder="1" applyAlignment="1" applyProtection="1">
      <alignment horizontal="center" vertical="center"/>
      <protection locked="0" hidden="1"/>
    </xf>
    <xf numFmtId="179" fontId="94" fillId="7" borderId="13" xfId="0" applyNumberFormat="1" applyFont="1" applyFill="1" applyBorder="1" applyAlignment="1" applyProtection="1">
      <alignment horizontal="center" vertical="center"/>
      <protection locked="0" hidden="1"/>
    </xf>
    <xf numFmtId="0" fontId="94" fillId="0" borderId="14" xfId="0" applyNumberFormat="1" applyFont="1" applyFill="1" applyBorder="1" applyAlignment="1" applyProtection="1">
      <protection hidden="1"/>
    </xf>
    <xf numFmtId="10" fontId="14" fillId="0" borderId="0" xfId="3" applyNumberFormat="1" applyFont="1">
      <alignment vertical="center"/>
    </xf>
    <xf numFmtId="0" fontId="92" fillId="0" borderId="14" xfId="0" applyNumberFormat="1" applyFont="1" applyFill="1" applyBorder="1" applyAlignment="1" applyProtection="1">
      <protection hidden="1"/>
    </xf>
    <xf numFmtId="43" fontId="14" fillId="0" borderId="0" xfId="3" applyNumberFormat="1" applyFont="1">
      <alignment vertical="center"/>
    </xf>
    <xf numFmtId="0" fontId="24" fillId="0" borderId="0" xfId="0" applyFont="1" applyFill="1" applyBorder="1" applyAlignment="1">
      <alignment vertical="center"/>
    </xf>
    <xf numFmtId="182" fontId="24" fillId="0" borderId="10" xfId="0" applyNumberFormat="1" applyFont="1" applyFill="1" applyBorder="1" applyAlignment="1">
      <alignment horizontal="right" vertical="center"/>
    </xf>
    <xf numFmtId="0" fontId="61" fillId="0" borderId="0" xfId="0" applyFont="1" applyFill="1" applyBorder="1" applyAlignment="1"/>
    <xf numFmtId="4" fontId="24" fillId="0" borderId="0" xfId="0" applyNumberFormat="1" applyFont="1" applyFill="1" applyBorder="1" applyAlignment="1">
      <alignment vertical="center"/>
    </xf>
    <xf numFmtId="0" fontId="24" fillId="14" borderId="0" xfId="0" applyFont="1" applyFill="1" applyBorder="1" applyAlignment="1">
      <alignment vertical="center"/>
    </xf>
    <xf numFmtId="179" fontId="24" fillId="3" borderId="10" xfId="0" applyNumberFormat="1" applyFont="1" applyFill="1" applyBorder="1" applyAlignment="1">
      <alignment horizontal="right" vertical="center"/>
    </xf>
    <xf numFmtId="43" fontId="24" fillId="0" borderId="0" xfId="0" applyNumberFormat="1" applyFont="1" applyFill="1" applyBorder="1" applyAlignment="1">
      <alignment vertical="center"/>
    </xf>
    <xf numFmtId="0" fontId="11" fillId="0" borderId="0" xfId="0" applyFont="1" applyFill="1" applyBorder="1" applyAlignment="1">
      <alignment vertical="center"/>
    </xf>
    <xf numFmtId="10" fontId="24" fillId="0" borderId="0" xfId="3" applyNumberFormat="1" applyFont="1" applyFill="1" applyBorder="1" applyAlignment="1">
      <alignment vertical="center"/>
    </xf>
    <xf numFmtId="43" fontId="14" fillId="0" borderId="0" xfId="1" applyFont="1" applyAlignment="1">
      <alignment vertical="center"/>
    </xf>
    <xf numFmtId="43" fontId="14" fillId="0" borderId="0" xfId="0" applyNumberFormat="1" applyFont="1" applyAlignment="1">
      <alignment vertical="center"/>
    </xf>
    <xf numFmtId="49" fontId="95" fillId="0" borderId="0" xfId="0" applyNumberFormat="1" applyFont="1" applyBorder="1" applyAlignment="1">
      <alignment horizontal="center" vertical="center"/>
    </xf>
    <xf numFmtId="49" fontId="95" fillId="0" borderId="0" xfId="0" applyNumberFormat="1" applyFont="1" applyAlignment="1">
      <alignment horizontal="center" vertical="center"/>
    </xf>
    <xf numFmtId="0" fontId="96" fillId="0" borderId="0" xfId="0" applyFont="1" applyBorder="1" applyAlignment="1">
      <alignment horizontal="justify" vertical="center"/>
    </xf>
    <xf numFmtId="10" fontId="96" fillId="0" borderId="0" xfId="3" applyNumberFormat="1" applyFont="1" applyBorder="1" applyAlignment="1">
      <alignment horizontal="center" vertical="center"/>
    </xf>
    <xf numFmtId="10" fontId="3" fillId="0" borderId="0" xfId="3" applyNumberFormat="1" applyFont="1" applyAlignment="1">
      <alignment horizontal="right" vertical="center"/>
    </xf>
    <xf numFmtId="43" fontId="3" fillId="0" borderId="0" xfId="1" applyFont="1" applyAlignment="1">
      <alignment horizontal="right" vertical="center"/>
    </xf>
    <xf numFmtId="43" fontId="33" fillId="0" borderId="10" xfId="1" applyFont="1" applyBorder="1" applyAlignment="1">
      <alignment horizontal="center" vertical="center"/>
    </xf>
    <xf numFmtId="43" fontId="33" fillId="0" borderId="0" xfId="1" applyFont="1" applyBorder="1" applyAlignment="1">
      <alignment horizontal="center" vertical="center"/>
    </xf>
    <xf numFmtId="4" fontId="97" fillId="0" borderId="26" xfId="0" applyNumberFormat="1" applyFont="1" applyBorder="1" applyAlignment="1">
      <alignment horizontal="right" vertical="center"/>
    </xf>
    <xf numFmtId="179" fontId="41" fillId="0" borderId="0" xfId="0" applyNumberFormat="1" applyFont="1" applyAlignment="1">
      <alignment horizontal="right" vertical="center"/>
    </xf>
    <xf numFmtId="182" fontId="17" fillId="0" borderId="26" xfId="0" applyNumberFormat="1" applyFont="1" applyBorder="1" applyAlignment="1">
      <alignment horizontal="right" vertical="center"/>
    </xf>
    <xf numFmtId="49" fontId="59" fillId="0" borderId="9" xfId="0" applyNumberFormat="1" applyFont="1" applyBorder="1" applyAlignment="1">
      <alignment vertical="center"/>
    </xf>
    <xf numFmtId="4" fontId="17" fillId="0" borderId="27" xfId="0" applyNumberFormat="1" applyFont="1" applyBorder="1" applyAlignment="1">
      <alignment horizontal="right" vertical="center"/>
    </xf>
    <xf numFmtId="179" fontId="41" fillId="0" borderId="0" xfId="3" applyNumberFormat="1" applyFont="1" applyAlignment="1">
      <alignment horizontal="right" vertical="center"/>
    </xf>
    <xf numFmtId="179" fontId="41" fillId="0" borderId="0" xfId="0" applyNumberFormat="1" applyFont="1" applyAlignment="1">
      <alignment horizontal="right" vertical="center" wrapText="1"/>
    </xf>
    <xf numFmtId="182" fontId="17" fillId="0" borderId="29" xfId="0" applyNumberFormat="1" applyFont="1" applyBorder="1" applyAlignment="1">
      <alignment horizontal="right" vertical="center"/>
    </xf>
    <xf numFmtId="182" fontId="17" fillId="0" borderId="45" xfId="0" applyNumberFormat="1" applyFont="1" applyBorder="1" applyAlignment="1">
      <alignment horizontal="right" vertical="center"/>
    </xf>
    <xf numFmtId="43" fontId="14" fillId="0" borderId="10" xfId="1" applyFont="1" applyBorder="1" applyAlignment="1">
      <alignment vertical="center"/>
    </xf>
    <xf numFmtId="182" fontId="17" fillId="0" borderId="10" xfId="0" applyNumberFormat="1" applyFont="1" applyBorder="1" applyAlignment="1">
      <alignment horizontal="right" vertical="center"/>
    </xf>
    <xf numFmtId="4" fontId="14" fillId="0" borderId="10" xfId="0" applyNumberFormat="1" applyFont="1" applyBorder="1" applyAlignment="1">
      <alignment vertical="center"/>
    </xf>
    <xf numFmtId="4" fontId="97" fillId="0" borderId="27" xfId="0" applyNumberFormat="1" applyFont="1" applyBorder="1" applyAlignment="1">
      <alignment horizontal="right" vertical="center"/>
    </xf>
    <xf numFmtId="182" fontId="17" fillId="0" borderId="27" xfId="0" applyNumberFormat="1" applyFont="1" applyBorder="1" applyAlignment="1">
      <alignment horizontal="right" vertical="center"/>
    </xf>
    <xf numFmtId="182" fontId="17" fillId="0" borderId="0" xfId="0" applyNumberFormat="1" applyFont="1" applyAlignment="1">
      <alignment horizontal="right" vertical="center"/>
    </xf>
    <xf numFmtId="182" fontId="17" fillId="0" borderId="27" xfId="0" applyNumberFormat="1" applyFont="1" applyBorder="1" applyAlignment="1">
      <alignment horizontal="right" vertical="center" wrapText="1"/>
    </xf>
    <xf numFmtId="182" fontId="17" fillId="0" borderId="26" xfId="0" applyNumberFormat="1" applyFont="1" applyBorder="1" applyAlignment="1">
      <alignment horizontal="right" vertical="center" wrapText="1"/>
    </xf>
    <xf numFmtId="182" fontId="17" fillId="0" borderId="0" xfId="0" applyNumberFormat="1" applyFont="1" applyAlignment="1">
      <alignment horizontal="right" vertical="center" wrapText="1"/>
    </xf>
    <xf numFmtId="0" fontId="98" fillId="0" borderId="0" xfId="0" applyFont="1" applyAlignment="1">
      <alignment vertical="center"/>
    </xf>
    <xf numFmtId="0" fontId="28" fillId="0" borderId="0" xfId="0" applyFont="1" applyAlignment="1">
      <alignment vertical="center"/>
    </xf>
    <xf numFmtId="179" fontId="28" fillId="8" borderId="0" xfId="1" applyNumberFormat="1" applyFont="1" applyFill="1" applyAlignment="1">
      <alignment horizontal="right" vertical="center"/>
    </xf>
    <xf numFmtId="0" fontId="28" fillId="8" borderId="0" xfId="0" applyFont="1" applyFill="1" applyAlignment="1">
      <alignment horizontal="center" vertical="center"/>
    </xf>
    <xf numFmtId="189" fontId="28" fillId="0" borderId="0" xfId="0" applyNumberFormat="1" applyFont="1" applyAlignment="1">
      <alignment vertical="center"/>
    </xf>
    <xf numFmtId="49" fontId="99" fillId="0" borderId="0" xfId="0" applyNumberFormat="1" applyFont="1" applyBorder="1" applyAlignment="1">
      <alignment horizontal="center" vertical="center"/>
    </xf>
    <xf numFmtId="179" fontId="99" fillId="8" borderId="0" xfId="0" applyNumberFormat="1" applyFont="1" applyFill="1" applyBorder="1" applyAlignment="1">
      <alignment horizontal="right" vertical="center"/>
    </xf>
    <xf numFmtId="49" fontId="99" fillId="8" borderId="0" xfId="0" applyNumberFormat="1" applyFont="1" applyFill="1" applyBorder="1" applyAlignment="1">
      <alignment horizontal="center" vertical="center"/>
    </xf>
    <xf numFmtId="49" fontId="80" fillId="8" borderId="0" xfId="0" applyNumberFormat="1" applyFont="1" applyFill="1" applyBorder="1" applyAlignment="1">
      <alignment horizontal="center" vertical="center"/>
    </xf>
    <xf numFmtId="0" fontId="28" fillId="0" borderId="0" xfId="0" applyFont="1" applyFill="1" applyBorder="1" applyAlignment="1">
      <alignment horizontal="justify" vertical="center"/>
    </xf>
    <xf numFmtId="179" fontId="28" fillId="0" borderId="0" xfId="1" applyNumberFormat="1" applyFont="1" applyFill="1" applyBorder="1" applyAlignment="1">
      <alignment horizontal="right" vertical="center"/>
    </xf>
    <xf numFmtId="179" fontId="47" fillId="0" borderId="0" xfId="1" applyNumberFormat="1" applyFont="1" applyFill="1" applyBorder="1" applyAlignment="1">
      <alignment horizontal="right" vertical="center"/>
    </xf>
    <xf numFmtId="49" fontId="28" fillId="8" borderId="0" xfId="0" applyNumberFormat="1" applyFont="1" applyFill="1" applyBorder="1" applyAlignment="1">
      <alignment horizontal="center" vertical="center"/>
    </xf>
    <xf numFmtId="49" fontId="47" fillId="0" borderId="7" xfId="0" applyNumberFormat="1" applyFont="1" applyFill="1" applyBorder="1" applyAlignment="1">
      <alignment horizontal="justify" vertical="center"/>
    </xf>
    <xf numFmtId="179" fontId="47" fillId="0" borderId="7" xfId="0" applyNumberFormat="1" applyFont="1" applyFill="1" applyBorder="1" applyAlignment="1">
      <alignment horizontal="right" vertical="center"/>
    </xf>
    <xf numFmtId="179" fontId="28" fillId="0" borderId="7" xfId="1" applyNumberFormat="1" applyFont="1" applyFill="1" applyBorder="1" applyAlignment="1">
      <alignment horizontal="right" vertical="center"/>
    </xf>
    <xf numFmtId="179" fontId="47" fillId="0" borderId="7" xfId="1" applyNumberFormat="1" applyFont="1" applyFill="1" applyBorder="1" applyAlignment="1">
      <alignment horizontal="right" vertical="center"/>
    </xf>
    <xf numFmtId="49" fontId="100" fillId="15" borderId="9" xfId="0" applyNumberFormat="1" applyFont="1" applyFill="1" applyBorder="1" applyAlignment="1">
      <alignment horizontal="center" vertical="center"/>
    </xf>
    <xf numFmtId="179" fontId="100" fillId="15" borderId="8" xfId="1" applyNumberFormat="1" applyFont="1" applyFill="1" applyBorder="1" applyAlignment="1">
      <alignment horizontal="center" vertical="center"/>
    </xf>
    <xf numFmtId="179" fontId="100" fillId="15" borderId="10" xfId="1" applyNumberFormat="1" applyFont="1" applyFill="1" applyBorder="1" applyAlignment="1">
      <alignment horizontal="center" vertical="center"/>
    </xf>
    <xf numFmtId="49" fontId="100" fillId="15" borderId="8" xfId="0" applyNumberFormat="1" applyFont="1" applyFill="1" applyBorder="1" applyAlignment="1">
      <alignment horizontal="center" vertical="center"/>
    </xf>
    <xf numFmtId="49" fontId="47" fillId="0" borderId="9" xfId="0" applyNumberFormat="1" applyFont="1" applyBorder="1" applyAlignment="1">
      <alignment horizontal="justify" vertical="center"/>
    </xf>
    <xf numFmtId="0" fontId="58" fillId="0" borderId="10" xfId="0" applyFont="1" applyBorder="1" applyAlignment="1">
      <alignment horizontal="left" vertical="center" wrapText="1"/>
    </xf>
    <xf numFmtId="183" fontId="66" fillId="0" borderId="10" xfId="0" applyNumberFormat="1" applyFont="1" applyBorder="1" applyAlignment="1">
      <alignment horizontal="right" vertical="center"/>
    </xf>
    <xf numFmtId="179" fontId="28" fillId="0" borderId="0" xfId="0" applyNumberFormat="1" applyFont="1" applyAlignment="1">
      <alignment vertical="center"/>
    </xf>
    <xf numFmtId="182" fontId="66" fillId="0" borderId="10" xfId="0" applyNumberFormat="1" applyFont="1" applyBorder="1" applyAlignment="1">
      <alignment horizontal="right" vertical="center"/>
    </xf>
    <xf numFmtId="43" fontId="66" fillId="0" borderId="10" xfId="0" applyNumberFormat="1" applyFont="1" applyBorder="1" applyAlignment="1">
      <alignment horizontal="right" vertical="center"/>
    </xf>
    <xf numFmtId="0" fontId="28" fillId="0" borderId="10" xfId="0" applyFont="1" applyBorder="1" applyAlignment="1">
      <alignment vertical="center"/>
    </xf>
    <xf numFmtId="49" fontId="47" fillId="3" borderId="9" xfId="0" applyNumberFormat="1" applyFont="1" applyFill="1" applyBorder="1" applyAlignment="1">
      <alignment horizontal="justify" vertical="center"/>
    </xf>
    <xf numFmtId="43" fontId="28" fillId="0" borderId="0" xfId="0" applyNumberFormat="1" applyFont="1" applyAlignment="1">
      <alignment vertical="center"/>
    </xf>
    <xf numFmtId="189" fontId="101" fillId="0" borderId="0" xfId="0" applyNumberFormat="1" applyFont="1" applyAlignment="1">
      <alignment vertical="center"/>
    </xf>
    <xf numFmtId="182" fontId="66" fillId="0" borderId="10" xfId="0" applyNumberFormat="1" applyFont="1" applyBorder="1" applyAlignment="1">
      <alignment horizontal="right" vertical="center" wrapText="1"/>
    </xf>
    <xf numFmtId="184" fontId="28" fillId="0" borderId="0" xfId="0" applyNumberFormat="1" applyFont="1" applyAlignment="1">
      <alignment vertical="center"/>
    </xf>
    <xf numFmtId="0" fontId="66" fillId="0" borderId="10" xfId="0" applyFont="1" applyBorder="1" applyAlignment="1">
      <alignment horizontal="left" vertical="center" wrapText="1"/>
    </xf>
    <xf numFmtId="49" fontId="47" fillId="0" borderId="9" xfId="0" applyNumberFormat="1" applyFont="1" applyBorder="1" applyAlignment="1">
      <alignment horizontal="left" vertical="center"/>
    </xf>
    <xf numFmtId="189" fontId="80" fillId="0" borderId="0" xfId="0" applyNumberFormat="1" applyFont="1" applyAlignment="1">
      <alignment vertical="center"/>
    </xf>
    <xf numFmtId="0" fontId="55" fillId="0" borderId="10" xfId="0" applyFont="1" applyBorder="1" applyAlignment="1">
      <alignment horizontal="justify" vertical="center" wrapText="1"/>
    </xf>
    <xf numFmtId="182" fontId="73" fillId="0" borderId="10" xfId="0" applyNumberFormat="1" applyFont="1" applyBorder="1" applyAlignment="1">
      <alignment horizontal="right" vertical="center" wrapText="1"/>
    </xf>
    <xf numFmtId="49" fontId="47" fillId="0" borderId="10" xfId="0" applyNumberFormat="1" applyFont="1" applyBorder="1" applyAlignment="1">
      <alignment horizontal="justify" vertical="center"/>
    </xf>
    <xf numFmtId="49" fontId="102" fillId="0" borderId="9" xfId="0" applyNumberFormat="1" applyFont="1" applyBorder="1" applyAlignment="1">
      <alignment horizontal="justify" vertical="center"/>
    </xf>
    <xf numFmtId="184" fontId="73" fillId="0" borderId="9" xfId="0" applyNumberFormat="1" applyFont="1" applyBorder="1" applyAlignment="1">
      <alignment horizontal="right" vertical="center" wrapText="1"/>
    </xf>
    <xf numFmtId="49" fontId="47" fillId="0" borderId="9" xfId="0" applyNumberFormat="1" applyFont="1" applyBorder="1" applyAlignment="1">
      <alignment horizontal="center" vertical="center"/>
    </xf>
    <xf numFmtId="183" fontId="103" fillId="0" borderId="9" xfId="0" applyNumberFormat="1" applyFont="1" applyBorder="1" applyAlignment="1">
      <alignment horizontal="right" vertical="center" wrapText="1"/>
    </xf>
    <xf numFmtId="182" fontId="66" fillId="0" borderId="10" xfId="0" applyNumberFormat="1" applyFont="1" applyBorder="1" applyAlignment="1" applyProtection="1">
      <alignment horizontal="right" vertical="center"/>
      <protection locked="0"/>
    </xf>
    <xf numFmtId="179" fontId="77" fillId="0" borderId="10" xfId="0" applyNumberFormat="1" applyFont="1" applyBorder="1" applyAlignment="1">
      <alignment horizontal="right" vertical="center"/>
    </xf>
    <xf numFmtId="179" fontId="28" fillId="8" borderId="0" xfId="0" applyNumberFormat="1" applyFont="1" applyFill="1" applyAlignment="1">
      <alignment horizontal="right" vertical="center"/>
    </xf>
    <xf numFmtId="0" fontId="73" fillId="0" borderId="10" xfId="0" applyFont="1" applyBorder="1" applyAlignment="1">
      <alignment horizontal="justify" vertical="center" wrapText="1"/>
    </xf>
    <xf numFmtId="182" fontId="78" fillId="0" borderId="10" xfId="0" applyNumberFormat="1" applyFont="1" applyBorder="1" applyAlignment="1">
      <alignment horizontal="right" vertical="center" wrapText="1"/>
    </xf>
    <xf numFmtId="179" fontId="66" fillId="0" borderId="0" xfId="0" applyNumberFormat="1" applyFont="1" applyAlignment="1">
      <alignment vertical="center"/>
    </xf>
    <xf numFmtId="179" fontId="66" fillId="0" borderId="9" xfId="0" applyNumberFormat="1" applyFont="1" applyBorder="1" applyAlignment="1">
      <alignment horizontal="right" vertical="center"/>
    </xf>
    <xf numFmtId="43" fontId="98" fillId="0" borderId="0" xfId="0" applyNumberFormat="1" applyFont="1" applyAlignment="1">
      <alignment vertical="center"/>
    </xf>
    <xf numFmtId="189" fontId="98" fillId="0" borderId="0" xfId="0" applyNumberFormat="1" applyFont="1" applyAlignment="1">
      <alignment vertical="center"/>
    </xf>
    <xf numFmtId="43" fontId="28" fillId="8" borderId="0" xfId="1" applyNumberFormat="1" applyFont="1" applyFill="1" applyAlignment="1">
      <alignment horizontal="right" vertical="center"/>
    </xf>
    <xf numFmtId="43" fontId="28" fillId="8" borderId="0" xfId="0" applyNumberFormat="1" applyFont="1" applyFill="1" applyAlignment="1">
      <alignment horizontal="right" vertical="justify"/>
    </xf>
    <xf numFmtId="10" fontId="28" fillId="0" borderId="0" xfId="3" applyNumberFormat="1" applyFont="1" applyAlignment="1">
      <alignment vertical="center"/>
    </xf>
    <xf numFmtId="43" fontId="43" fillId="0" borderId="44" xfId="0" applyNumberFormat="1" applyFont="1" applyFill="1" applyBorder="1" applyAlignment="1">
      <alignment horizontal="right" vertical="center"/>
    </xf>
    <xf numFmtId="43" fontId="104" fillId="0" borderId="0" xfId="0" applyNumberFormat="1" applyFont="1" applyFill="1" applyAlignment="1">
      <alignment vertical="center"/>
    </xf>
    <xf numFmtId="180" fontId="25" fillId="0" borderId="0" xfId="0" applyNumberFormat="1" applyFont="1" applyFill="1" applyBorder="1" applyAlignment="1">
      <alignment horizontal="left" vertical="center"/>
    </xf>
    <xf numFmtId="0" fontId="105" fillId="0" borderId="44" xfId="0" applyFont="1" applyFill="1" applyBorder="1" applyAlignment="1">
      <alignment horizontal="left" vertical="center"/>
    </xf>
    <xf numFmtId="43" fontId="105" fillId="0" borderId="44" xfId="0" applyNumberFormat="1" applyFont="1" applyFill="1" applyBorder="1" applyAlignment="1">
      <alignment horizontal="right" vertical="center"/>
    </xf>
    <xf numFmtId="190" fontId="26" fillId="0" borderId="0" xfId="0" applyNumberFormat="1" applyFont="1" applyFill="1" applyAlignment="1">
      <alignment vertical="center"/>
    </xf>
    <xf numFmtId="0" fontId="106" fillId="0" borderId="0" xfId="56" applyFont="1" applyAlignment="1">
      <alignment horizontal="center" vertical="center"/>
    </xf>
    <xf numFmtId="0" fontId="106" fillId="0" borderId="0" xfId="56" applyFont="1" applyAlignment="1">
      <alignment vertical="center"/>
    </xf>
    <xf numFmtId="0" fontId="107" fillId="0" borderId="0" xfId="56" applyFont="1" applyAlignment="1">
      <alignment vertical="center"/>
    </xf>
    <xf numFmtId="0" fontId="107" fillId="16" borderId="46" xfId="56" applyFont="1" applyFill="1" applyBorder="1" applyAlignment="1">
      <alignment horizontal="center" vertical="center"/>
    </xf>
    <xf numFmtId="0" fontId="107" fillId="16" borderId="46" xfId="56" applyFont="1" applyFill="1" applyBorder="1" applyAlignment="1">
      <alignment horizontal="center" vertical="center" wrapText="1"/>
    </xf>
    <xf numFmtId="0" fontId="107" fillId="16" borderId="47" xfId="56" applyFont="1" applyFill="1" applyBorder="1" applyAlignment="1">
      <alignment horizontal="center" vertical="center" wrapText="1"/>
    </xf>
    <xf numFmtId="0" fontId="107" fillId="16" borderId="48" xfId="56" applyFont="1" applyFill="1" applyBorder="1" applyAlignment="1">
      <alignment horizontal="center" vertical="center" wrapText="1"/>
    </xf>
    <xf numFmtId="0" fontId="107" fillId="16" borderId="48" xfId="56" applyFont="1" applyFill="1" applyBorder="1" applyAlignment="1">
      <alignment horizontal="center" vertical="center"/>
    </xf>
    <xf numFmtId="0" fontId="107" fillId="16" borderId="47" xfId="56" applyFont="1" applyFill="1" applyBorder="1" applyAlignment="1">
      <alignment horizontal="center" vertical="center"/>
    </xf>
    <xf numFmtId="0" fontId="107" fillId="17" borderId="48" xfId="56" applyFont="1" applyFill="1" applyBorder="1" applyAlignment="1">
      <alignment horizontal="center" vertical="center"/>
    </xf>
    <xf numFmtId="0" fontId="93" fillId="17" borderId="48" xfId="56" applyFont="1" applyFill="1" applyBorder="1" applyAlignment="1">
      <alignment horizontal="left" vertical="center"/>
    </xf>
    <xf numFmtId="10" fontId="107" fillId="17" borderId="47" xfId="56" applyNumberFormat="1" applyFont="1" applyFill="1" applyBorder="1" applyAlignment="1">
      <alignment horizontal="right" vertical="center"/>
    </xf>
    <xf numFmtId="10" fontId="107" fillId="17" borderId="48" xfId="56" applyNumberFormat="1" applyFont="1" applyFill="1" applyBorder="1" applyAlignment="1">
      <alignment horizontal="right" vertical="center"/>
    </xf>
    <xf numFmtId="43" fontId="107" fillId="17" borderId="48" xfId="56" applyNumberFormat="1" applyFont="1" applyFill="1" applyBorder="1" applyAlignment="1">
      <alignment horizontal="right" vertical="center"/>
    </xf>
    <xf numFmtId="0" fontId="107" fillId="17" borderId="48" xfId="56" applyNumberFormat="1" applyFont="1" applyFill="1" applyBorder="1" applyAlignment="1">
      <alignment vertical="center" wrapText="1"/>
    </xf>
    <xf numFmtId="43" fontId="107" fillId="17" borderId="48" xfId="1" applyFont="1" applyFill="1" applyBorder="1" applyAlignment="1">
      <alignment horizontal="right" vertical="center"/>
    </xf>
    <xf numFmtId="43" fontId="107" fillId="18" borderId="48" xfId="56" applyNumberFormat="1" applyFont="1" applyFill="1" applyBorder="1" applyAlignment="1">
      <alignment horizontal="right" vertical="center"/>
    </xf>
    <xf numFmtId="43" fontId="107" fillId="17" borderId="47" xfId="56" applyNumberFormat="1" applyFont="1" applyFill="1" applyBorder="1" applyAlignment="1">
      <alignment horizontal="right" vertical="center"/>
    </xf>
    <xf numFmtId="0" fontId="107" fillId="17" borderId="48" xfId="56" applyNumberFormat="1" applyFont="1" applyFill="1" applyBorder="1" applyAlignment="1">
      <alignment vertical="center"/>
    </xf>
    <xf numFmtId="43" fontId="107" fillId="0" borderId="48" xfId="56" applyNumberFormat="1" applyFont="1" applyFill="1" applyBorder="1" applyAlignment="1">
      <alignment horizontal="right" vertical="center"/>
    </xf>
    <xf numFmtId="0" fontId="107" fillId="17" borderId="47" xfId="56" applyFont="1" applyFill="1" applyBorder="1" applyAlignment="1">
      <alignment horizontal="center" vertical="center"/>
    </xf>
    <xf numFmtId="43" fontId="107" fillId="0" borderId="47" xfId="56" applyNumberFormat="1" applyFont="1" applyFill="1" applyBorder="1" applyAlignment="1">
      <alignment horizontal="right" vertical="center"/>
    </xf>
    <xf numFmtId="0" fontId="107" fillId="17" borderId="47" xfId="56" applyNumberFormat="1" applyFont="1" applyFill="1" applyBorder="1" applyAlignment="1">
      <alignment vertical="center"/>
    </xf>
    <xf numFmtId="43" fontId="107" fillId="17" borderId="47" xfId="1" applyFont="1" applyFill="1" applyBorder="1" applyAlignment="1">
      <alignment horizontal="right" vertical="center"/>
    </xf>
    <xf numFmtId="43" fontId="107" fillId="18" borderId="47" xfId="56" applyNumberFormat="1" applyFont="1" applyFill="1" applyBorder="1" applyAlignment="1">
      <alignment horizontal="right" vertical="center"/>
    </xf>
    <xf numFmtId="0" fontId="107" fillId="17" borderId="10" xfId="56" applyFont="1" applyFill="1" applyBorder="1" applyAlignment="1">
      <alignment horizontal="center" vertical="center"/>
    </xf>
    <xf numFmtId="43" fontId="107" fillId="0" borderId="10" xfId="66" applyNumberFormat="1" applyFont="1" applyBorder="1" applyAlignment="1">
      <alignment vertical="center"/>
    </xf>
    <xf numFmtId="43" fontId="107" fillId="17" borderId="10" xfId="56" applyNumberFormat="1" applyFont="1" applyFill="1" applyBorder="1" applyAlignment="1">
      <alignment horizontal="right" vertical="center"/>
    </xf>
    <xf numFmtId="43" fontId="107" fillId="0" borderId="10" xfId="56" applyNumberFormat="1" applyFont="1" applyFill="1" applyBorder="1" applyAlignment="1">
      <alignment horizontal="right" vertical="center"/>
    </xf>
    <xf numFmtId="43" fontId="107" fillId="0" borderId="10" xfId="56" applyNumberFormat="1" applyFont="1" applyBorder="1" applyAlignment="1">
      <alignment vertical="center"/>
    </xf>
    <xf numFmtId="0" fontId="107" fillId="17" borderId="10" xfId="56" applyNumberFormat="1" applyFont="1" applyFill="1" applyBorder="1" applyAlignment="1">
      <alignment vertical="center"/>
    </xf>
    <xf numFmtId="43" fontId="107" fillId="0" borderId="10" xfId="1" applyFont="1" applyBorder="1" applyAlignment="1">
      <alignment vertical="center"/>
    </xf>
    <xf numFmtId="43" fontId="107" fillId="18" borderId="10" xfId="56" applyNumberFormat="1" applyFont="1" applyFill="1" applyBorder="1" applyAlignment="1">
      <alignment horizontal="right" vertical="center"/>
    </xf>
    <xf numFmtId="0" fontId="107" fillId="17" borderId="10" xfId="56" applyFont="1" applyFill="1" applyBorder="1" applyAlignment="1">
      <alignment horizontal="left" vertical="center"/>
    </xf>
    <xf numFmtId="10" fontId="107" fillId="17" borderId="10" xfId="56" applyNumberFormat="1" applyFont="1" applyFill="1" applyBorder="1" applyAlignment="1">
      <alignment horizontal="right" vertical="center"/>
    </xf>
    <xf numFmtId="43" fontId="107" fillId="0" borderId="0" xfId="66" applyNumberFormat="1" applyFont="1" applyAlignment="1">
      <alignment vertical="center"/>
    </xf>
    <xf numFmtId="0" fontId="107" fillId="16" borderId="49" xfId="56" applyFont="1" applyFill="1" applyBorder="1" applyAlignment="1">
      <alignment horizontal="center" vertical="center"/>
    </xf>
    <xf numFmtId="0" fontId="107" fillId="16" borderId="45" xfId="56" applyFont="1" applyFill="1" applyBorder="1" applyAlignment="1">
      <alignment vertical="center"/>
    </xf>
    <xf numFmtId="0" fontId="107" fillId="16" borderId="45" xfId="56" applyFont="1" applyFill="1" applyBorder="1" applyAlignment="1">
      <alignment horizontal="center" vertical="center"/>
    </xf>
    <xf numFmtId="0" fontId="107" fillId="16" borderId="45" xfId="56" applyFont="1" applyFill="1" applyBorder="1" applyAlignment="1">
      <alignment horizontal="center" vertical="center" wrapText="1"/>
    </xf>
    <xf numFmtId="191" fontId="107" fillId="0" borderId="0" xfId="66" applyNumberFormat="1" applyFont="1" applyAlignment="1">
      <alignment vertical="center"/>
    </xf>
    <xf numFmtId="43" fontId="107" fillId="17" borderId="10" xfId="66" applyNumberFormat="1" applyFont="1" applyFill="1" applyBorder="1" applyAlignment="1">
      <alignment horizontal="right" vertical="center"/>
    </xf>
    <xf numFmtId="191" fontId="107" fillId="0" borderId="10" xfId="66" applyNumberFormat="1" applyFont="1" applyBorder="1" applyAlignment="1">
      <alignment vertical="center"/>
    </xf>
    <xf numFmtId="43" fontId="107" fillId="0" borderId="0" xfId="56" applyNumberFormat="1" applyFont="1" applyAlignment="1">
      <alignment vertical="center"/>
    </xf>
    <xf numFmtId="0" fontId="107" fillId="0" borderId="0" xfId="56" applyFont="1" applyAlignment="1">
      <alignment horizontal="center" vertical="center"/>
    </xf>
    <xf numFmtId="0" fontId="107" fillId="0" borderId="0" xfId="56" applyFont="1" applyFill="1" applyAlignment="1">
      <alignment vertical="center"/>
    </xf>
    <xf numFmtId="0" fontId="93" fillId="0" borderId="0" xfId="56" applyFont="1" applyFill="1" applyAlignment="1">
      <alignment vertical="center"/>
    </xf>
    <xf numFmtId="43" fontId="19" fillId="0" borderId="0" xfId="1" applyFont="1" applyFill="1" applyAlignment="1">
      <alignment vertical="center"/>
    </xf>
    <xf numFmtId="43" fontId="19" fillId="0" borderId="0" xfId="56" applyNumberFormat="1" applyFont="1" applyFill="1" applyAlignment="1">
      <alignment vertical="center"/>
    </xf>
    <xf numFmtId="0" fontId="19" fillId="0" borderId="0" xfId="56" applyFont="1" applyFill="1" applyAlignment="1">
      <alignment vertical="center"/>
    </xf>
    <xf numFmtId="0" fontId="108" fillId="0" borderId="0" xfId="0" applyFont="1" applyAlignment="1">
      <alignment vertical="center"/>
    </xf>
    <xf numFmtId="0" fontId="108" fillId="0" borderId="0" xfId="0" applyFont="1" applyAlignment="1">
      <alignment horizontal="center" vertical="center"/>
    </xf>
    <xf numFmtId="0" fontId="109" fillId="0" borderId="0" xfId="0" applyFont="1" applyAlignment="1">
      <alignment vertical="center"/>
    </xf>
    <xf numFmtId="43" fontId="109" fillId="0" borderId="0" xfId="1" applyFont="1" applyAlignment="1">
      <alignment vertical="center"/>
    </xf>
    <xf numFmtId="0" fontId="109" fillId="0" borderId="0" xfId="1" applyNumberFormat="1" applyFont="1" applyAlignment="1">
      <alignment vertical="center"/>
    </xf>
    <xf numFmtId="43" fontId="109" fillId="19" borderId="0" xfId="1" applyFont="1" applyFill="1" applyAlignment="1">
      <alignment vertical="center"/>
    </xf>
    <xf numFmtId="0" fontId="109" fillId="0" borderId="0" xfId="0" applyFont="1" applyAlignment="1">
      <alignment horizontal="center" vertical="center"/>
    </xf>
    <xf numFmtId="177" fontId="109" fillId="0" borderId="0" xfId="0" applyNumberFormat="1" applyFont="1" applyAlignment="1">
      <alignment vertical="center"/>
    </xf>
    <xf numFmtId="0" fontId="108" fillId="0" borderId="0" xfId="0" applyFont="1" applyAlignment="1">
      <alignment horizontal="left" vertical="center"/>
    </xf>
    <xf numFmtId="0" fontId="110" fillId="0" borderId="0" xfId="0" applyFont="1" applyAlignment="1">
      <alignment vertical="center"/>
    </xf>
    <xf numFmtId="0" fontId="108" fillId="0" borderId="10" xfId="0" applyFont="1" applyBorder="1" applyAlignment="1">
      <alignment horizontal="center" vertical="center"/>
    </xf>
    <xf numFmtId="0" fontId="108" fillId="0" borderId="4" xfId="0" applyFont="1" applyBorder="1" applyAlignment="1">
      <alignment horizontal="center" vertical="center"/>
    </xf>
    <xf numFmtId="0" fontId="108" fillId="0" borderId="0" xfId="0" applyFont="1" applyBorder="1" applyAlignment="1">
      <alignment horizontal="center" vertical="center"/>
    </xf>
    <xf numFmtId="0" fontId="108" fillId="0" borderId="10" xfId="0" applyFont="1" applyBorder="1" applyAlignment="1">
      <alignment horizontal="center" vertical="center" wrapText="1"/>
    </xf>
    <xf numFmtId="0" fontId="108" fillId="0" borderId="45" xfId="0" applyFont="1" applyBorder="1" applyAlignment="1">
      <alignment horizontal="center" vertical="center"/>
    </xf>
    <xf numFmtId="0" fontId="108" fillId="0" borderId="30" xfId="0" applyFont="1" applyBorder="1" applyAlignment="1">
      <alignment horizontal="center" vertical="center"/>
    </xf>
    <xf numFmtId="0" fontId="108" fillId="0" borderId="50" xfId="0" applyFont="1" applyBorder="1" applyAlignment="1">
      <alignment horizontal="center" vertical="center"/>
    </xf>
    <xf numFmtId="0" fontId="108" fillId="0" borderId="24" xfId="0" applyFont="1" applyBorder="1" applyAlignment="1">
      <alignment horizontal="center" vertical="center"/>
    </xf>
    <xf numFmtId="43" fontId="108" fillId="0" borderId="10" xfId="1" applyFont="1" applyBorder="1" applyAlignment="1">
      <alignment horizontal="center" vertical="center"/>
    </xf>
    <xf numFmtId="0" fontId="108" fillId="0" borderId="10" xfId="1" applyNumberFormat="1" applyFont="1" applyBorder="1" applyAlignment="1">
      <alignment horizontal="center" vertical="center"/>
    </xf>
    <xf numFmtId="0" fontId="110" fillId="0" borderId="10" xfId="0" applyFont="1" applyBorder="1" applyAlignment="1">
      <alignment horizontal="center" vertical="center"/>
    </xf>
    <xf numFmtId="177" fontId="108" fillId="0" borderId="10" xfId="0" applyNumberFormat="1" applyFont="1" applyBorder="1" applyAlignment="1">
      <alignment horizontal="center" vertical="center"/>
    </xf>
    <xf numFmtId="0" fontId="108" fillId="0" borderId="9" xfId="0" applyFont="1" applyBorder="1" applyAlignment="1">
      <alignment horizontal="center" vertical="center"/>
    </xf>
    <xf numFmtId="0" fontId="109" fillId="0" borderId="10" xfId="0" applyFont="1" applyBorder="1" applyAlignment="1">
      <alignment vertical="center"/>
    </xf>
    <xf numFmtId="43" fontId="109" fillId="0" borderId="10" xfId="1" applyFont="1" applyBorder="1" applyAlignment="1">
      <alignment vertical="center"/>
    </xf>
    <xf numFmtId="43" fontId="109" fillId="0" borderId="10" xfId="1" applyFont="1" applyBorder="1" applyAlignment="1">
      <alignment horizontal="center" vertical="center"/>
    </xf>
    <xf numFmtId="0" fontId="109" fillId="0" borderId="45" xfId="1" applyNumberFormat="1" applyFont="1" applyBorder="1" applyAlignment="1">
      <alignment horizontal="center" vertical="center"/>
    </xf>
    <xf numFmtId="43" fontId="109" fillId="0" borderId="10" xfId="0" applyNumberFormat="1" applyFont="1" applyBorder="1" applyAlignment="1">
      <alignment vertical="center"/>
    </xf>
    <xf numFmtId="43" fontId="109" fillId="0" borderId="45" xfId="1" applyFont="1" applyBorder="1" applyAlignment="1">
      <alignment horizontal="center" vertical="center"/>
    </xf>
    <xf numFmtId="0" fontId="109" fillId="0" borderId="10" xfId="0" applyFont="1" applyBorder="1" applyAlignment="1">
      <alignment horizontal="center" vertical="center"/>
    </xf>
    <xf numFmtId="0" fontId="111" fillId="0" borderId="10" xfId="0" applyFont="1" applyBorder="1" applyAlignment="1">
      <alignment vertical="center"/>
    </xf>
    <xf numFmtId="192" fontId="109" fillId="0" borderId="10" xfId="1" applyNumberFormat="1" applyFont="1" applyBorder="1" applyAlignment="1">
      <alignment vertical="center"/>
    </xf>
    <xf numFmtId="177" fontId="109" fillId="0" borderId="10" xfId="0" applyNumberFormat="1" applyFont="1" applyBorder="1" applyAlignment="1">
      <alignment vertical="center"/>
    </xf>
    <xf numFmtId="192" fontId="109" fillId="0" borderId="10" xfId="0" applyNumberFormat="1" applyFont="1" applyBorder="1" applyAlignment="1">
      <alignment vertical="center"/>
    </xf>
    <xf numFmtId="0" fontId="109" fillId="0" borderId="9" xfId="1" applyNumberFormat="1" applyFont="1" applyBorder="1" applyAlignment="1">
      <alignment horizontal="center" vertical="center"/>
    </xf>
    <xf numFmtId="43" fontId="109" fillId="0" borderId="9" xfId="1" applyFont="1" applyBorder="1" applyAlignment="1">
      <alignment horizontal="center" vertical="center"/>
    </xf>
    <xf numFmtId="0" fontId="109" fillId="0" borderId="10" xfId="0" applyFont="1" applyFill="1" applyBorder="1" applyAlignment="1">
      <alignment horizontal="center" vertical="center"/>
    </xf>
    <xf numFmtId="0" fontId="111" fillId="0" borderId="10" xfId="0" applyFont="1" applyFill="1" applyBorder="1" applyAlignment="1">
      <alignment vertical="center"/>
    </xf>
    <xf numFmtId="0" fontId="109" fillId="0" borderId="10" xfId="0" applyFont="1" applyFill="1" applyBorder="1" applyAlignment="1">
      <alignment vertical="center"/>
    </xf>
    <xf numFmtId="192" fontId="109" fillId="0" borderId="10" xfId="1" applyNumberFormat="1" applyFont="1" applyFill="1" applyBorder="1" applyAlignment="1">
      <alignment vertical="center"/>
    </xf>
    <xf numFmtId="177" fontId="109" fillId="0" borderId="10" xfId="0" applyNumberFormat="1" applyFont="1" applyFill="1" applyBorder="1" applyAlignment="1">
      <alignment vertical="center"/>
    </xf>
    <xf numFmtId="0" fontId="111" fillId="0" borderId="10" xfId="0" applyFont="1" applyFill="1" applyBorder="1" applyAlignment="1">
      <alignment horizontal="center" vertical="center"/>
    </xf>
    <xf numFmtId="0" fontId="109" fillId="0" borderId="10" xfId="1" applyNumberFormat="1" applyFont="1" applyBorder="1" applyAlignment="1">
      <alignment horizontal="center" vertical="center"/>
    </xf>
    <xf numFmtId="0" fontId="111" fillId="0" borderId="0" xfId="0" applyFont="1" applyAlignment="1">
      <alignment vertical="center"/>
    </xf>
    <xf numFmtId="0" fontId="109" fillId="3" borderId="10" xfId="0" applyFont="1" applyFill="1" applyBorder="1" applyAlignment="1">
      <alignment horizontal="center" vertical="center"/>
    </xf>
    <xf numFmtId="0" fontId="110" fillId="3" borderId="10" xfId="0" applyFont="1" applyFill="1" applyBorder="1" applyAlignment="1">
      <alignment vertical="center"/>
    </xf>
    <xf numFmtId="0" fontId="109" fillId="3" borderId="10" xfId="0" applyFont="1" applyFill="1" applyBorder="1" applyAlignment="1">
      <alignment vertical="center"/>
    </xf>
    <xf numFmtId="192" fontId="109" fillId="3" borderId="10" xfId="1" applyNumberFormat="1" applyFont="1" applyFill="1" applyBorder="1" applyAlignment="1">
      <alignment vertical="center"/>
    </xf>
    <xf numFmtId="177" fontId="109" fillId="3" borderId="10" xfId="0" applyNumberFormat="1" applyFont="1" applyFill="1" applyBorder="1" applyAlignment="1">
      <alignment vertical="center"/>
    </xf>
    <xf numFmtId="0" fontId="111" fillId="20" borderId="10" xfId="0" applyFont="1" applyFill="1" applyBorder="1" applyAlignment="1">
      <alignment horizontal="center" vertical="center"/>
    </xf>
    <xf numFmtId="192" fontId="109" fillId="20" borderId="10" xfId="1" applyNumberFormat="1" applyFont="1" applyFill="1" applyBorder="1" applyAlignment="1">
      <alignment vertical="center"/>
    </xf>
    <xf numFmtId="177" fontId="109" fillId="20" borderId="10" xfId="0" applyNumberFormat="1" applyFont="1" applyFill="1" applyBorder="1" applyAlignment="1">
      <alignment vertical="center"/>
    </xf>
    <xf numFmtId="192" fontId="109" fillId="8" borderId="10" xfId="1" applyNumberFormat="1" applyFont="1" applyFill="1" applyBorder="1" applyAlignment="1">
      <alignment vertical="center"/>
    </xf>
    <xf numFmtId="0" fontId="111" fillId="0" borderId="0" xfId="0" applyFont="1" applyAlignment="1">
      <alignment horizontal="center" vertical="center"/>
    </xf>
    <xf numFmtId="43" fontId="111" fillId="0" borderId="0" xfId="1" applyFont="1" applyAlignment="1">
      <alignment horizontal="center" vertical="center"/>
    </xf>
    <xf numFmtId="43" fontId="111" fillId="0" borderId="0" xfId="1" applyFont="1" applyAlignment="1">
      <alignment vertical="center"/>
    </xf>
    <xf numFmtId="0" fontId="111" fillId="0" borderId="10" xfId="0" applyFont="1" applyBorder="1" applyAlignment="1">
      <alignment horizontal="center" vertical="center"/>
    </xf>
    <xf numFmtId="192" fontId="109" fillId="21" borderId="10" xfId="1" applyNumberFormat="1" applyFont="1" applyFill="1" applyBorder="1" applyAlignment="1">
      <alignment vertical="center"/>
    </xf>
    <xf numFmtId="0" fontId="109" fillId="0" borderId="45" xfId="1" applyNumberFormat="1" applyFont="1" applyBorder="1" applyAlignment="1">
      <alignment horizontal="left" vertical="center" wrapText="1"/>
    </xf>
    <xf numFmtId="4" fontId="109" fillId="0" borderId="10" xfId="0" applyNumberFormat="1" applyFont="1" applyBorder="1" applyAlignment="1">
      <alignment vertical="center"/>
    </xf>
    <xf numFmtId="57" fontId="109" fillId="0" borderId="10" xfId="0" applyNumberFormat="1" applyFont="1" applyBorder="1" applyAlignment="1">
      <alignment vertical="center"/>
    </xf>
    <xf numFmtId="0" fontId="109" fillId="0" borderId="9" xfId="1" applyNumberFormat="1" applyFont="1" applyBorder="1" applyAlignment="1">
      <alignment horizontal="left" vertical="center" wrapText="1"/>
    </xf>
    <xf numFmtId="43" fontId="109" fillId="21" borderId="10" xfId="1" applyFont="1" applyFill="1" applyBorder="1" applyAlignment="1">
      <alignment vertical="center"/>
    </xf>
    <xf numFmtId="0" fontId="111" fillId="0" borderId="10" xfId="1" applyNumberFormat="1" applyFont="1" applyBorder="1" applyAlignment="1">
      <alignment horizontal="left" vertical="center"/>
    </xf>
    <xf numFmtId="43" fontId="109" fillId="3" borderId="10" xfId="1" applyFont="1" applyFill="1" applyBorder="1" applyAlignment="1">
      <alignment vertical="center"/>
    </xf>
    <xf numFmtId="43" fontId="109" fillId="0" borderId="0" xfId="0" applyNumberFormat="1" applyFont="1" applyAlignment="1">
      <alignment vertical="center"/>
    </xf>
    <xf numFmtId="43" fontId="109" fillId="0" borderId="0" xfId="1" applyNumberFormat="1" applyFont="1" applyAlignment="1">
      <alignment vertical="center"/>
    </xf>
    <xf numFmtId="192" fontId="108" fillId="0" borderId="10" xfId="1" applyNumberFormat="1" applyFont="1" applyBorder="1" applyAlignment="1">
      <alignment horizontal="center" vertical="center"/>
    </xf>
    <xf numFmtId="193" fontId="109" fillId="0" borderId="10" xfId="1" applyNumberFormat="1" applyFont="1" applyBorder="1" applyAlignment="1">
      <alignment vertical="center"/>
    </xf>
    <xf numFmtId="0" fontId="111" fillId="0" borderId="0" xfId="0" applyFont="1" applyBorder="1" applyAlignment="1">
      <alignment horizontal="center" vertical="center"/>
    </xf>
    <xf numFmtId="0" fontId="109" fillId="0" borderId="0" xfId="0" applyFont="1" applyBorder="1" applyAlignment="1">
      <alignment vertical="center"/>
    </xf>
    <xf numFmtId="43" fontId="109" fillId="0" borderId="0" xfId="1" applyFont="1" applyBorder="1" applyAlignment="1">
      <alignment vertical="center"/>
    </xf>
    <xf numFmtId="43" fontId="109" fillId="0" borderId="0" xfId="1" applyFont="1" applyBorder="1" applyAlignment="1">
      <alignment horizontal="center" vertical="center"/>
    </xf>
    <xf numFmtId="43" fontId="109" fillId="3" borderId="0" xfId="1" applyFont="1" applyFill="1" applyBorder="1" applyAlignment="1">
      <alignment vertical="center"/>
    </xf>
    <xf numFmtId="193" fontId="109" fillId="0" borderId="0" xfId="1" applyNumberFormat="1" applyFont="1" applyBorder="1" applyAlignment="1">
      <alignment vertical="center"/>
    </xf>
    <xf numFmtId="43" fontId="109" fillId="0" borderId="0" xfId="0" applyNumberFormat="1" applyFont="1" applyBorder="1" applyAlignment="1">
      <alignment vertical="center"/>
    </xf>
    <xf numFmtId="192" fontId="109" fillId="0" borderId="0" xfId="1" applyNumberFormat="1" applyFont="1" applyBorder="1" applyAlignment="1">
      <alignment vertical="center"/>
    </xf>
    <xf numFmtId="0" fontId="110" fillId="0" borderId="10" xfId="0" applyFont="1" applyBorder="1" applyAlignment="1">
      <alignment horizontal="left" vertical="center"/>
    </xf>
    <xf numFmtId="0" fontId="110" fillId="0" borderId="30" xfId="0" applyFont="1" applyBorder="1" applyAlignment="1">
      <alignment horizontal="center" vertical="center"/>
    </xf>
    <xf numFmtId="0" fontId="110" fillId="0" borderId="50" xfId="0" applyFont="1" applyBorder="1" applyAlignment="1">
      <alignment horizontal="center" vertical="center"/>
    </xf>
    <xf numFmtId="0" fontId="110" fillId="0" borderId="24" xfId="0" applyFont="1" applyBorder="1" applyAlignment="1">
      <alignment horizontal="center" vertical="center"/>
    </xf>
    <xf numFmtId="43" fontId="109" fillId="0" borderId="10" xfId="0" applyNumberFormat="1" applyFont="1" applyBorder="1" applyAlignment="1">
      <alignment horizontal="center" vertical="center"/>
    </xf>
    <xf numFmtId="43" fontId="111" fillId="0" borderId="10" xfId="1" applyFont="1" applyBorder="1" applyAlignment="1">
      <alignment horizontal="center" vertical="center"/>
    </xf>
    <xf numFmtId="14" fontId="111" fillId="0" borderId="10" xfId="0" applyNumberFormat="1" applyFont="1" applyBorder="1" applyAlignment="1">
      <alignment horizontal="center" vertical="center"/>
    </xf>
    <xf numFmtId="43" fontId="111" fillId="0" borderId="10" xfId="1" applyFont="1" applyBorder="1" applyAlignment="1">
      <alignment vertical="center"/>
    </xf>
    <xf numFmtId="0" fontId="47" fillId="0" borderId="0" xfId="0" applyFont="1" applyAlignment="1">
      <alignment vertical="center"/>
    </xf>
    <xf numFmtId="43" fontId="48" fillId="0" borderId="0" xfId="1" applyFont="1">
      <alignment vertical="center"/>
    </xf>
    <xf numFmtId="0" fontId="47" fillId="0" borderId="0" xfId="0" applyFont="1" applyAlignment="1">
      <alignment horizontal="center" vertical="center"/>
    </xf>
    <xf numFmtId="0" fontId="28" fillId="0" borderId="0" xfId="0" applyFont="1" applyAlignment="1">
      <alignment horizontal="center" vertical="center"/>
    </xf>
    <xf numFmtId="192" fontId="109" fillId="0" borderId="0" xfId="1" applyNumberFormat="1" applyFont="1" applyAlignment="1">
      <alignment vertical="center"/>
    </xf>
    <xf numFmtId="43" fontId="28" fillId="0" borderId="0" xfId="0" applyNumberFormat="1" applyFont="1" applyAlignment="1">
      <alignment horizontal="center" vertical="center"/>
    </xf>
    <xf numFmtId="43" fontId="111" fillId="0" borderId="0" xfId="0" applyNumberFormat="1" applyFont="1" applyAlignment="1">
      <alignment vertical="center"/>
    </xf>
    <xf numFmtId="0" fontId="47" fillId="3" borderId="0" xfId="0" applyFont="1" applyFill="1" applyAlignment="1">
      <alignment vertical="center"/>
    </xf>
    <xf numFmtId="0" fontId="112" fillId="3" borderId="0" xfId="0" applyFont="1" applyFill="1" applyAlignment="1">
      <alignment vertical="center"/>
    </xf>
    <xf numFmtId="0" fontId="109" fillId="3" borderId="0" xfId="0" applyFont="1" applyFill="1" applyAlignment="1">
      <alignment vertical="center"/>
    </xf>
    <xf numFmtId="43" fontId="109" fillId="3" borderId="0" xfId="0" applyNumberFormat="1" applyFont="1" applyFill="1" applyAlignment="1">
      <alignment vertical="center"/>
    </xf>
    <xf numFmtId="43" fontId="109" fillId="0" borderId="0" xfId="0" applyNumberFormat="1" applyFont="1" applyAlignment="1">
      <alignment horizontal="center" vertical="center"/>
    </xf>
    <xf numFmtId="0" fontId="111" fillId="3" borderId="0" xfId="0" applyFont="1" applyFill="1" applyAlignment="1">
      <alignment vertical="center"/>
    </xf>
    <xf numFmtId="192" fontId="109" fillId="18" borderId="10" xfId="1" applyNumberFormat="1" applyFont="1" applyFill="1" applyBorder="1" applyAlignment="1">
      <alignment vertical="center"/>
    </xf>
    <xf numFmtId="43" fontId="109" fillId="18" borderId="10" xfId="1" applyFont="1" applyFill="1" applyBorder="1" applyAlignment="1">
      <alignment vertical="center"/>
    </xf>
    <xf numFmtId="194" fontId="109" fillId="0" borderId="0" xfId="1" applyNumberFormat="1" applyFont="1" applyAlignment="1">
      <alignment vertical="center"/>
    </xf>
    <xf numFmtId="0" fontId="111" fillId="0" borderId="45" xfId="1" applyNumberFormat="1" applyFont="1" applyBorder="1" applyAlignment="1">
      <alignment horizontal="left" vertical="center" wrapText="1"/>
    </xf>
    <xf numFmtId="192" fontId="109" fillId="14" borderId="10" xfId="1" applyNumberFormat="1" applyFont="1" applyFill="1" applyBorder="1" applyAlignment="1">
      <alignment vertical="center"/>
    </xf>
    <xf numFmtId="192" fontId="112" fillId="0" borderId="10" xfId="1" applyNumberFormat="1" applyFont="1" applyFill="1" applyBorder="1" applyAlignment="1">
      <alignment vertical="center"/>
    </xf>
    <xf numFmtId="43" fontId="109" fillId="14" borderId="10" xfId="1" applyFont="1" applyFill="1" applyBorder="1" applyAlignment="1">
      <alignment vertical="center"/>
    </xf>
    <xf numFmtId="43" fontId="109" fillId="0" borderId="10" xfId="1" applyNumberFormat="1" applyFont="1" applyFill="1" applyBorder="1" applyAlignment="1">
      <alignment vertical="center"/>
    </xf>
    <xf numFmtId="179" fontId="109" fillId="0" borderId="10" xfId="1" applyNumberFormat="1" applyFont="1" applyFill="1" applyBorder="1" applyAlignment="1">
      <alignment vertical="center"/>
    </xf>
    <xf numFmtId="43" fontId="109" fillId="0" borderId="10" xfId="1" applyFont="1" applyFill="1" applyBorder="1" applyAlignment="1">
      <alignment vertical="center"/>
    </xf>
    <xf numFmtId="0" fontId="109" fillId="0" borderId="10" xfId="1" applyNumberFormat="1" applyFont="1" applyBorder="1" applyAlignment="1">
      <alignment horizontal="left" vertical="center" wrapText="1"/>
    </xf>
    <xf numFmtId="4" fontId="109" fillId="0" borderId="10" xfId="1" applyNumberFormat="1" applyFont="1" applyFill="1" applyBorder="1" applyAlignment="1">
      <alignment vertical="center"/>
    </xf>
    <xf numFmtId="0" fontId="111" fillId="0" borderId="10" xfId="1" applyNumberFormat="1" applyFont="1" applyBorder="1" applyAlignment="1">
      <alignment horizontal="left" vertical="center" wrapText="1"/>
    </xf>
    <xf numFmtId="0" fontId="109" fillId="0" borderId="0" xfId="0" applyFont="1" applyFill="1" applyAlignment="1">
      <alignment vertical="center"/>
    </xf>
    <xf numFmtId="43" fontId="109" fillId="0" borderId="0" xfId="1" applyFont="1" applyFill="1" applyAlignment="1">
      <alignment vertical="center"/>
    </xf>
    <xf numFmtId="195" fontId="109" fillId="0" borderId="0" xfId="0" applyNumberFormat="1" applyFont="1" applyAlignment="1">
      <alignment vertical="center"/>
    </xf>
    <xf numFmtId="0" fontId="113" fillId="0" borderId="0" xfId="0" applyFont="1" applyFill="1" applyAlignment="1">
      <alignment vertical="center" wrapText="1"/>
    </xf>
    <xf numFmtId="0" fontId="113" fillId="0" borderId="0" xfId="0" applyNumberFormat="1" applyFont="1" applyFill="1" applyAlignment="1">
      <alignment horizontal="center" vertical="center" wrapText="1"/>
    </xf>
    <xf numFmtId="0" fontId="114" fillId="0" borderId="0" xfId="0" applyFont="1" applyFill="1" applyAlignment="1">
      <alignment vertical="center" wrapText="1"/>
    </xf>
    <xf numFmtId="0" fontId="115" fillId="0" borderId="0" xfId="0" applyFont="1" applyFill="1" applyAlignment="1">
      <alignment vertical="center" wrapText="1"/>
    </xf>
    <xf numFmtId="0" fontId="115" fillId="0" borderId="0" xfId="0" applyFont="1" applyFill="1" applyAlignment="1">
      <alignment horizontal="center" vertical="center" wrapText="1"/>
    </xf>
    <xf numFmtId="0" fontId="115" fillId="0" borderId="0" xfId="0" applyFont="1" applyFill="1" applyAlignment="1">
      <alignment horizontal="left" vertical="center" shrinkToFit="1"/>
    </xf>
    <xf numFmtId="43" fontId="115" fillId="0" borderId="0" xfId="0" applyNumberFormat="1" applyFont="1" applyFill="1" applyAlignment="1">
      <alignment horizontal="center" vertical="center" wrapText="1"/>
    </xf>
    <xf numFmtId="0" fontId="115" fillId="0" borderId="0" xfId="0" applyFont="1" applyFill="1" applyAlignment="1">
      <alignment vertical="center" shrinkToFit="1"/>
    </xf>
    <xf numFmtId="0" fontId="115" fillId="0" borderId="0" xfId="0" applyNumberFormat="1" applyFont="1" applyFill="1" applyAlignment="1">
      <alignment vertical="center" shrinkToFit="1"/>
    </xf>
    <xf numFmtId="43" fontId="115" fillId="0" borderId="0" xfId="0" applyNumberFormat="1" applyFont="1" applyFill="1" applyAlignment="1">
      <alignment vertical="center" wrapText="1"/>
    </xf>
    <xf numFmtId="0" fontId="115" fillId="0" borderId="0" xfId="0" applyNumberFormat="1" applyFont="1" applyFill="1" applyAlignment="1">
      <alignment vertical="center" wrapText="1"/>
    </xf>
    <xf numFmtId="43" fontId="115" fillId="0" borderId="0" xfId="0" applyNumberFormat="1" applyFont="1" applyFill="1" applyAlignment="1">
      <alignment vertical="center" shrinkToFit="1"/>
    </xf>
    <xf numFmtId="43" fontId="115" fillId="3" borderId="0" xfId="0" applyNumberFormat="1" applyFont="1" applyFill="1" applyAlignment="1">
      <alignment vertical="center" wrapText="1"/>
    </xf>
    <xf numFmtId="0" fontId="113" fillId="0" borderId="10" xfId="0" applyFont="1" applyFill="1" applyBorder="1" applyAlignment="1">
      <alignment horizontal="center" vertical="center" wrapText="1"/>
    </xf>
    <xf numFmtId="0" fontId="113" fillId="0" borderId="0" xfId="0" applyNumberFormat="1" applyFont="1" applyFill="1" applyAlignment="1">
      <alignment vertical="center" wrapText="1"/>
    </xf>
    <xf numFmtId="0" fontId="113" fillId="0" borderId="10" xfId="0" applyNumberFormat="1" applyFont="1" applyFill="1" applyBorder="1" applyAlignment="1">
      <alignment horizontal="center" vertical="center" wrapText="1"/>
    </xf>
    <xf numFmtId="0" fontId="113" fillId="0" borderId="10" xfId="0" applyNumberFormat="1" applyFont="1" applyFill="1" applyBorder="1" applyAlignment="1">
      <alignment horizontal="center" vertical="center" shrinkToFit="1"/>
    </xf>
    <xf numFmtId="179" fontId="115" fillId="0" borderId="0" xfId="0" applyNumberFormat="1" applyFont="1" applyFill="1" applyAlignment="1">
      <alignment horizontal="center" vertical="center" wrapText="1"/>
    </xf>
    <xf numFmtId="0" fontId="114" fillId="0" borderId="10" xfId="0" applyFont="1" applyFill="1" applyBorder="1" applyAlignment="1">
      <alignment horizontal="center" vertical="center" wrapText="1"/>
    </xf>
    <xf numFmtId="0" fontId="114" fillId="0" borderId="10" xfId="0" applyFont="1" applyFill="1" applyBorder="1" applyAlignment="1">
      <alignment horizontal="left" vertical="center" shrinkToFit="1"/>
    </xf>
    <xf numFmtId="43" fontId="114" fillId="0" borderId="10" xfId="0" applyNumberFormat="1" applyFont="1" applyFill="1" applyBorder="1" applyAlignment="1">
      <alignment horizontal="right" vertical="center" wrapText="1"/>
    </xf>
    <xf numFmtId="0" fontId="114" fillId="0" borderId="10" xfId="0" applyFont="1" applyFill="1" applyBorder="1" applyAlignment="1">
      <alignment horizontal="center" vertical="center" shrinkToFit="1"/>
    </xf>
    <xf numFmtId="0" fontId="114" fillId="0" borderId="10" xfId="0" applyNumberFormat="1" applyFont="1" applyFill="1" applyBorder="1" applyAlignment="1">
      <alignment vertical="center" shrinkToFit="1"/>
    </xf>
    <xf numFmtId="43" fontId="114" fillId="0" borderId="0" xfId="0" applyNumberFormat="1" applyFont="1" applyFill="1" applyAlignment="1">
      <alignment vertical="center" wrapText="1"/>
    </xf>
    <xf numFmtId="0" fontId="114" fillId="22" borderId="10" xfId="0" applyFont="1" applyFill="1" applyBorder="1" applyAlignment="1">
      <alignment horizontal="center" vertical="center" wrapText="1"/>
    </xf>
    <xf numFmtId="0" fontId="114" fillId="22" borderId="10" xfId="0" applyFont="1" applyFill="1" applyBorder="1" applyAlignment="1">
      <alignment horizontal="left" vertical="center" shrinkToFit="1"/>
    </xf>
    <xf numFmtId="43" fontId="114" fillId="22" borderId="10" xfId="0" applyNumberFormat="1" applyFont="1" applyFill="1" applyBorder="1" applyAlignment="1">
      <alignment horizontal="right" vertical="center" wrapText="1"/>
    </xf>
    <xf numFmtId="0" fontId="114" fillId="22" borderId="10" xfId="0" applyFont="1" applyFill="1" applyBorder="1" applyAlignment="1">
      <alignment horizontal="center" vertical="center" shrinkToFit="1"/>
    </xf>
    <xf numFmtId="0" fontId="114" fillId="22" borderId="10" xfId="0" applyNumberFormat="1" applyFont="1" applyFill="1" applyBorder="1" applyAlignment="1">
      <alignment vertical="center" shrinkToFit="1"/>
    </xf>
    <xf numFmtId="14" fontId="114" fillId="0" borderId="0" xfId="0" applyNumberFormat="1" applyFont="1" applyFill="1" applyAlignment="1">
      <alignment vertical="center" wrapText="1"/>
    </xf>
    <xf numFmtId="43" fontId="114" fillId="0" borderId="0" xfId="1" applyFont="1" applyFill="1" applyAlignment="1">
      <alignment vertical="center" wrapText="1"/>
    </xf>
    <xf numFmtId="4" fontId="114" fillId="0" borderId="10" xfId="0" applyNumberFormat="1" applyFont="1" applyFill="1" applyBorder="1" applyAlignment="1">
      <alignment horizontal="center" vertical="center" shrinkToFit="1"/>
    </xf>
    <xf numFmtId="0" fontId="114" fillId="0" borderId="10" xfId="0" applyFont="1" applyFill="1" applyBorder="1" applyAlignment="1">
      <alignment horizontal="left" vertical="center" wrapText="1"/>
    </xf>
    <xf numFmtId="0" fontId="116" fillId="0" borderId="10" xfId="0" applyFont="1" applyFill="1" applyBorder="1" applyAlignment="1">
      <alignment horizontal="left" vertical="center" wrapText="1"/>
    </xf>
    <xf numFmtId="0" fontId="117" fillId="0" borderId="10" xfId="0" applyFont="1" applyFill="1" applyBorder="1" applyAlignment="1">
      <alignment horizontal="left" vertical="center" wrapText="1"/>
    </xf>
    <xf numFmtId="4" fontId="114" fillId="0" borderId="10" xfId="0" applyNumberFormat="1" applyFont="1" applyFill="1" applyBorder="1" applyAlignment="1">
      <alignment horizontal="center" vertical="center" wrapText="1"/>
    </xf>
    <xf numFmtId="4" fontId="114" fillId="0" borderId="10" xfId="0" applyNumberFormat="1" applyFont="1" applyFill="1" applyBorder="1" applyAlignment="1">
      <alignment horizontal="right" vertical="center" wrapText="1"/>
    </xf>
    <xf numFmtId="0" fontId="114" fillId="0" borderId="10" xfId="0" applyFont="1" applyFill="1" applyBorder="1" applyAlignment="1">
      <alignment vertical="center" wrapText="1"/>
    </xf>
    <xf numFmtId="0" fontId="0" fillId="0" borderId="0" xfId="0" applyFill="1" applyAlignment="1"/>
    <xf numFmtId="179" fontId="115" fillId="0" borderId="0" xfId="0" applyNumberFormat="1" applyFont="1" applyFill="1" applyAlignment="1">
      <alignment vertical="center" wrapText="1"/>
    </xf>
    <xf numFmtId="179" fontId="0" fillId="0" borderId="0" xfId="0" applyNumberFormat="1" applyFill="1" applyAlignment="1"/>
    <xf numFmtId="43" fontId="0" fillId="0" borderId="0" xfId="0" applyNumberFormat="1" applyFill="1" applyAlignment="1"/>
    <xf numFmtId="0" fontId="0" fillId="0" borderId="0" xfId="0" applyFill="1">
      <alignment vertical="center"/>
    </xf>
    <xf numFmtId="179" fontId="0" fillId="0" borderId="0" xfId="0" applyNumberFormat="1" applyFill="1">
      <alignment vertical="center"/>
    </xf>
    <xf numFmtId="179" fontId="0" fillId="0" borderId="0" xfId="0" applyNumberFormat="1">
      <alignment vertical="center"/>
    </xf>
    <xf numFmtId="0" fontId="48" fillId="0" borderId="0" xfId="0" applyFont="1">
      <alignment vertical="center"/>
    </xf>
    <xf numFmtId="179" fontId="0" fillId="0" borderId="0" xfId="0" applyNumberFormat="1" applyAlignment="1">
      <alignment horizontal="center" vertical="center"/>
    </xf>
    <xf numFmtId="179" fontId="0" fillId="22" borderId="0" xfId="0" applyNumberFormat="1" applyFill="1">
      <alignment vertical="center"/>
    </xf>
    <xf numFmtId="179" fontId="0" fillId="3" borderId="0" xfId="0" applyNumberFormat="1" applyFill="1">
      <alignment vertical="center"/>
    </xf>
    <xf numFmtId="179" fontId="0" fillId="23" borderId="0" xfId="0" applyNumberFormat="1" applyFill="1">
      <alignment vertical="center"/>
    </xf>
    <xf numFmtId="0" fontId="0" fillId="3" borderId="0" xfId="0" applyFill="1">
      <alignment vertical="center"/>
    </xf>
    <xf numFmtId="0" fontId="118" fillId="3" borderId="0" xfId="0" applyFont="1" applyFill="1" applyAlignment="1">
      <alignment horizontal="right" vertical="center"/>
    </xf>
    <xf numFmtId="4" fontId="0" fillId="0" borderId="0" xfId="0" applyNumberFormat="1">
      <alignment vertical="center"/>
    </xf>
    <xf numFmtId="43" fontId="0" fillId="22" borderId="0" xfId="0" applyNumberFormat="1" applyFill="1">
      <alignment vertical="center"/>
    </xf>
    <xf numFmtId="0" fontId="48" fillId="0" borderId="0" xfId="0" applyFont="1" applyAlignment="1">
      <alignment horizontal="left" vertical="center"/>
    </xf>
    <xf numFmtId="43" fontId="0" fillId="0" borderId="0" xfId="0" applyNumberFormat="1">
      <alignment vertical="center"/>
    </xf>
    <xf numFmtId="0" fontId="0" fillId="0" borderId="0" xfId="60"/>
    <xf numFmtId="0" fontId="0" fillId="3" borderId="0" xfId="60" applyFill="1"/>
    <xf numFmtId="0" fontId="119" fillId="2" borderId="0" xfId="55" applyFont="1" applyFill="1" applyAlignment="1">
      <alignment horizontal="center" vertical="center"/>
    </xf>
    <xf numFmtId="0" fontId="120" fillId="2" borderId="0" xfId="55" applyFont="1" applyFill="1" applyAlignment="1">
      <alignment horizontal="center" vertical="center"/>
    </xf>
    <xf numFmtId="0" fontId="119" fillId="3" borderId="0" xfId="55" applyFont="1" applyFill="1" applyAlignment="1">
      <alignment horizontal="center" vertical="center"/>
    </xf>
    <xf numFmtId="0" fontId="121" fillId="0" borderId="0" xfId="55" applyFont="1">
      <alignment vertical="center"/>
    </xf>
    <xf numFmtId="0" fontId="121" fillId="3" borderId="0" xfId="55" applyFont="1" applyFill="1">
      <alignment vertical="center"/>
    </xf>
    <xf numFmtId="0" fontId="122" fillId="0" borderId="0" xfId="55">
      <alignment vertical="center"/>
    </xf>
    <xf numFmtId="4" fontId="121" fillId="0" borderId="0" xfId="55" applyNumberFormat="1" applyFont="1" applyFill="1">
      <alignment vertical="center"/>
    </xf>
    <xf numFmtId="0" fontId="121" fillId="0" borderId="0" xfId="55" applyNumberFormat="1" applyFont="1" applyFill="1">
      <alignment vertical="center"/>
    </xf>
    <xf numFmtId="43" fontId="121" fillId="0" borderId="0" xfId="55" applyNumberFormat="1" applyFont="1" applyFill="1">
      <alignment vertical="center"/>
    </xf>
    <xf numFmtId="0" fontId="123" fillId="0" borderId="0" xfId="60" applyFont="1" applyBorder="1" applyAlignment="1"/>
    <xf numFmtId="14" fontId="121" fillId="3" borderId="0" xfId="55" applyNumberFormat="1" applyFont="1" applyFill="1">
      <alignment vertical="center"/>
    </xf>
    <xf numFmtId="0" fontId="121" fillId="0" borderId="0" xfId="55" applyNumberFormat="1" applyFont="1">
      <alignment vertical="center"/>
    </xf>
    <xf numFmtId="43" fontId="121" fillId="3" borderId="0" xfId="55" applyNumberFormat="1" applyFont="1" applyFill="1">
      <alignment vertical="center"/>
    </xf>
    <xf numFmtId="4" fontId="121" fillId="0" borderId="0" xfId="55" applyNumberFormat="1" applyFont="1">
      <alignment vertical="center"/>
    </xf>
    <xf numFmtId="43" fontId="121" fillId="0" borderId="0" xfId="69" applyFont="1">
      <alignment vertical="center"/>
    </xf>
    <xf numFmtId="43" fontId="121" fillId="0" borderId="0" xfId="64" applyNumberFormat="1" applyFont="1">
      <alignment vertical="center"/>
    </xf>
    <xf numFmtId="43" fontId="122" fillId="0" borderId="0" xfId="55" applyNumberFormat="1">
      <alignment vertical="center"/>
    </xf>
    <xf numFmtId="43" fontId="0" fillId="3" borderId="0" xfId="69" applyFont="1" applyFill="1" applyAlignment="1"/>
    <xf numFmtId="179" fontId="0" fillId="0" borderId="0" xfId="60" applyNumberFormat="1"/>
    <xf numFmtId="43" fontId="0" fillId="0" borderId="0" xfId="60" applyNumberFormat="1"/>
    <xf numFmtId="0" fontId="121" fillId="0" borderId="10" xfId="0" applyFont="1" applyBorder="1" applyAlignment="1">
      <alignment horizontal="center" vertical="center"/>
    </xf>
    <xf numFmtId="0" fontId="121" fillId="0" borderId="10" xfId="0" applyFont="1" applyBorder="1" applyAlignment="1">
      <alignment horizontal="center" vertical="center" shrinkToFit="1"/>
    </xf>
    <xf numFmtId="0" fontId="93" fillId="0" borderId="10" xfId="0" applyFont="1" applyBorder="1" applyAlignment="1">
      <alignment horizontal="center" vertical="center"/>
    </xf>
    <xf numFmtId="179" fontId="121" fillId="0" borderId="10" xfId="0" applyNumberFormat="1" applyFont="1" applyBorder="1" applyAlignment="1">
      <alignment horizontal="center" vertical="center"/>
    </xf>
    <xf numFmtId="179" fontId="93" fillId="0" borderId="10" xfId="0" applyNumberFormat="1" applyFont="1" applyBorder="1" applyAlignment="1">
      <alignment horizontal="center" vertical="center"/>
    </xf>
    <xf numFmtId="179" fontId="0" fillId="0" borderId="10" xfId="0" applyNumberFormat="1" applyBorder="1" applyAlignment="1">
      <alignment horizontal="center" vertical="center"/>
    </xf>
    <xf numFmtId="180" fontId="121" fillId="0" borderId="10" xfId="0" applyNumberFormat="1" applyFont="1" applyBorder="1" applyAlignment="1">
      <alignment horizontal="center" vertical="center"/>
    </xf>
    <xf numFmtId="4" fontId="121" fillId="0" borderId="10" xfId="0" applyNumberFormat="1" applyFont="1" applyBorder="1" applyAlignment="1">
      <alignment horizontal="center" vertical="center"/>
    </xf>
    <xf numFmtId="49" fontId="121" fillId="0" borderId="10" xfId="0" applyNumberFormat="1" applyFont="1" applyBorder="1" applyAlignment="1">
      <alignment horizontal="center" vertical="center"/>
    </xf>
    <xf numFmtId="0" fontId="93" fillId="0" borderId="10" xfId="0" applyFont="1" applyBorder="1">
      <alignment vertical="center"/>
    </xf>
    <xf numFmtId="43" fontId="121" fillId="0" borderId="10" xfId="1" applyFont="1" applyFill="1" applyBorder="1" applyAlignment="1">
      <alignment horizontal="right" vertical="center"/>
    </xf>
    <xf numFmtId="43" fontId="0" fillId="0" borderId="10" xfId="1" applyFont="1" applyFill="1" applyBorder="1" applyAlignment="1">
      <alignment horizontal="right" vertical="center"/>
    </xf>
    <xf numFmtId="0" fontId="121" fillId="0" borderId="10" xfId="0" applyNumberFormat="1" applyFont="1" applyFill="1" applyBorder="1" applyAlignment="1">
      <alignment horizontal="center" vertical="center"/>
    </xf>
    <xf numFmtId="0" fontId="121" fillId="0" borderId="10" xfId="0" applyNumberFormat="1" applyFont="1" applyBorder="1" applyAlignment="1">
      <alignment horizontal="center" vertical="center"/>
    </xf>
    <xf numFmtId="4" fontId="121" fillId="0" borderId="10" xfId="0" applyNumberFormat="1" applyFont="1" applyBorder="1" applyAlignment="1">
      <alignment horizontal="center" vertical="center" shrinkToFit="1"/>
    </xf>
    <xf numFmtId="0" fontId="0" fillId="0" borderId="10" xfId="0" applyBorder="1">
      <alignment vertical="center"/>
    </xf>
    <xf numFmtId="43" fontId="0" fillId="0" borderId="10" xfId="1" applyFont="1" applyBorder="1">
      <alignment vertical="center"/>
    </xf>
    <xf numFmtId="43" fontId="41" fillId="3" borderId="0" xfId="62" applyFont="1" applyFill="1"/>
    <xf numFmtId="43" fontId="41" fillId="0" borderId="0" xfId="62" applyFont="1"/>
    <xf numFmtId="43" fontId="93" fillId="0" borderId="0" xfId="62" applyFont="1" applyAlignment="1">
      <alignment horizontal="center"/>
    </xf>
    <xf numFmtId="43" fontId="93" fillId="0" borderId="0" xfId="62" applyFont="1"/>
    <xf numFmtId="43" fontId="41" fillId="23" borderId="0" xfId="62" applyFont="1" applyFill="1"/>
    <xf numFmtId="10" fontId="41" fillId="0" borderId="0" xfId="49" applyNumberFormat="1" applyFont="1"/>
    <xf numFmtId="43" fontId="41" fillId="0" borderId="0" xfId="65" applyFont="1"/>
    <xf numFmtId="43" fontId="41" fillId="0" borderId="0" xfId="62" applyFont="1" applyBorder="1"/>
    <xf numFmtId="43" fontId="41" fillId="14" borderId="51" xfId="62" applyFont="1" applyFill="1" applyBorder="1"/>
    <xf numFmtId="43" fontId="41" fillId="0" borderId="51" xfId="62" applyFont="1" applyBorder="1"/>
    <xf numFmtId="43" fontId="93" fillId="24" borderId="0" xfId="62" applyFont="1" applyFill="1"/>
    <xf numFmtId="43" fontId="41" fillId="25" borderId="0" xfId="62" applyFont="1" applyFill="1"/>
    <xf numFmtId="43" fontId="41" fillId="3" borderId="0" xfId="62" applyFont="1" applyFill="1" applyAlignment="1">
      <alignment wrapText="1"/>
    </xf>
    <xf numFmtId="43" fontId="41" fillId="14" borderId="51" xfId="62" applyFont="1" applyFill="1" applyBorder="1" applyAlignment="1">
      <alignment wrapText="1"/>
    </xf>
    <xf numFmtId="43" fontId="41" fillId="21" borderId="0" xfId="62" applyFont="1" applyFill="1"/>
    <xf numFmtId="43" fontId="41" fillId="24" borderId="0" xfId="62" applyFont="1" applyFill="1"/>
    <xf numFmtId="43" fontId="93" fillId="3" borderId="0" xfId="62" applyFont="1" applyFill="1"/>
    <xf numFmtId="43" fontId="41" fillId="3" borderId="51" xfId="62" applyFont="1" applyFill="1" applyBorder="1"/>
    <xf numFmtId="43" fontId="41" fillId="0" borderId="0" xfId="62" applyFont="1" applyFill="1"/>
    <xf numFmtId="43" fontId="93" fillId="0" borderId="0" xfId="62" applyFont="1" applyFill="1"/>
    <xf numFmtId="9" fontId="41" fillId="0" borderId="0" xfId="62" applyNumberFormat="1" applyFont="1" applyFill="1"/>
    <xf numFmtId="0" fontId="0" fillId="0" borderId="0" xfId="0" applyNumberFormat="1">
      <alignment vertical="center"/>
    </xf>
    <xf numFmtId="43" fontId="0" fillId="26" borderId="0" xfId="0" applyNumberFormat="1" applyFill="1">
      <alignment vertical="center"/>
    </xf>
    <xf numFmtId="0" fontId="0" fillId="0" borderId="0" xfId="0" applyAlignment="1">
      <alignment horizontal="right" vertical="center"/>
    </xf>
    <xf numFmtId="0" fontId="0" fillId="0" borderId="36" xfId="0" applyNumberFormat="1" applyBorder="1">
      <alignment vertical="center"/>
    </xf>
    <xf numFmtId="43" fontId="0" fillId="26" borderId="37" xfId="0" applyNumberFormat="1" applyFill="1" applyBorder="1">
      <alignment vertical="center"/>
    </xf>
    <xf numFmtId="0" fontId="0" fillId="0" borderId="52" xfId="0" applyNumberFormat="1" applyBorder="1">
      <alignment vertical="center"/>
    </xf>
    <xf numFmtId="43" fontId="0" fillId="14" borderId="53" xfId="0" applyNumberFormat="1" applyFill="1" applyBorder="1">
      <alignment vertical="center"/>
    </xf>
    <xf numFmtId="0" fontId="0" fillId="0" borderId="39" xfId="0" applyNumberFormat="1" applyBorder="1">
      <alignment vertical="center"/>
    </xf>
    <xf numFmtId="43" fontId="0" fillId="0" borderId="40" xfId="0" applyNumberFormat="1" applyBorder="1">
      <alignment vertical="center"/>
    </xf>
    <xf numFmtId="0" fontId="0" fillId="0" borderId="41" xfId="0" applyNumberFormat="1" applyBorder="1">
      <alignment vertical="center"/>
    </xf>
    <xf numFmtId="43" fontId="0" fillId="0" borderId="43" xfId="0" applyNumberFormat="1" applyBorder="1">
      <alignment vertical="center"/>
    </xf>
    <xf numFmtId="0" fontId="0" fillId="14" borderId="0" xfId="0" applyNumberFormat="1" applyFill="1">
      <alignment vertical="center"/>
    </xf>
    <xf numFmtId="0" fontId="28" fillId="0" borderId="0" xfId="0" applyFont="1" applyAlignment="1" applyProtection="1">
      <alignment vertical="center"/>
      <protection locked="0"/>
    </xf>
    <xf numFmtId="43" fontId="124" fillId="0" borderId="0" xfId="1" applyFont="1" applyAlignment="1" applyProtection="1">
      <alignment vertical="center"/>
      <protection locked="0"/>
    </xf>
    <xf numFmtId="0" fontId="14" fillId="0" borderId="0" xfId="0" applyFont="1" applyFill="1" applyAlignment="1" applyProtection="1">
      <alignment vertical="center"/>
      <protection locked="0"/>
    </xf>
    <xf numFmtId="0" fontId="96" fillId="0" borderId="0" xfId="0" applyFont="1" applyFill="1" applyAlignment="1" applyProtection="1">
      <alignment vertical="center"/>
      <protection locked="0"/>
    </xf>
    <xf numFmtId="0" fontId="14" fillId="0" borderId="0" xfId="0" applyFont="1" applyAlignment="1" applyProtection="1">
      <alignment vertical="center"/>
      <protection locked="0"/>
    </xf>
    <xf numFmtId="0" fontId="28" fillId="0" borderId="0" xfId="0" applyFont="1" applyAlignment="1" applyProtection="1">
      <alignment vertical="center"/>
    </xf>
    <xf numFmtId="0" fontId="28" fillId="0" borderId="0" xfId="0" applyFont="1" applyAlignment="1" applyProtection="1">
      <alignment horizontal="center" vertical="center"/>
    </xf>
    <xf numFmtId="43" fontId="28" fillId="0" borderId="0" xfId="1" applyFont="1" applyAlignment="1" applyProtection="1">
      <alignment vertical="center"/>
    </xf>
    <xf numFmtId="43" fontId="28" fillId="0" borderId="0" xfId="1" applyNumberFormat="1" applyFont="1" applyAlignment="1" applyProtection="1">
      <alignment vertical="center"/>
    </xf>
    <xf numFmtId="0" fontId="47" fillId="0" borderId="0" xfId="0" applyFont="1" applyAlignment="1" applyProtection="1">
      <alignment vertical="center"/>
    </xf>
    <xf numFmtId="43" fontId="28" fillId="3" borderId="0" xfId="1" applyNumberFormat="1" applyFont="1" applyFill="1" applyAlignment="1" applyProtection="1">
      <alignment vertical="center"/>
    </xf>
    <xf numFmtId="43" fontId="28" fillId="0" borderId="0" xfId="0" applyNumberFormat="1" applyFont="1" applyAlignment="1" applyProtection="1">
      <alignment vertical="center"/>
      <protection locked="0"/>
    </xf>
    <xf numFmtId="43" fontId="28" fillId="0" borderId="0" xfId="0" applyNumberFormat="1" applyFont="1" applyAlignment="1" applyProtection="1">
      <alignment vertical="center"/>
    </xf>
    <xf numFmtId="0" fontId="14" fillId="0" borderId="0" xfId="0" applyFont="1" applyAlignment="1" applyProtection="1">
      <alignment vertical="center"/>
    </xf>
    <xf numFmtId="179" fontId="14" fillId="0" borderId="0" xfId="0" applyNumberFormat="1" applyFont="1" applyAlignment="1" applyProtection="1">
      <alignment vertical="center"/>
    </xf>
    <xf numFmtId="43" fontId="14" fillId="0" borderId="0" xfId="0" applyNumberFormat="1" applyFont="1" applyAlignment="1" applyProtection="1">
      <alignment vertical="center"/>
    </xf>
    <xf numFmtId="0" fontId="125" fillId="27" borderId="0" xfId="1" applyNumberFormat="1" applyFont="1" applyFill="1" applyAlignment="1" applyProtection="1">
      <alignment horizontal="center" vertical="center"/>
      <protection locked="0"/>
    </xf>
    <xf numFmtId="0" fontId="28" fillId="27" borderId="0" xfId="0" applyFont="1" applyFill="1" applyAlignment="1" applyProtection="1">
      <alignment vertical="center"/>
    </xf>
    <xf numFmtId="0" fontId="28" fillId="27" borderId="0" xfId="1" applyNumberFormat="1" applyFont="1" applyFill="1" applyAlignment="1" applyProtection="1">
      <alignment vertical="center"/>
    </xf>
    <xf numFmtId="0" fontId="47" fillId="27" borderId="0" xfId="1" applyNumberFormat="1" applyFont="1" applyFill="1" applyAlignment="1" applyProtection="1">
      <alignment vertical="center"/>
    </xf>
    <xf numFmtId="0" fontId="47" fillId="27" borderId="0" xfId="0" applyFont="1" applyFill="1" applyAlignment="1" applyProtection="1">
      <alignment vertical="center"/>
    </xf>
    <xf numFmtId="0" fontId="47" fillId="27" borderId="0" xfId="1" applyNumberFormat="1" applyFont="1" applyFill="1" applyAlignment="1" applyProtection="1">
      <alignment horizontal="left" vertical="center"/>
    </xf>
    <xf numFmtId="43" fontId="28" fillId="27" borderId="0" xfId="1" applyNumberFormat="1" applyFont="1" applyFill="1" applyAlignment="1" applyProtection="1">
      <alignment horizontal="left" vertical="center"/>
    </xf>
    <xf numFmtId="0" fontId="109" fillId="27" borderId="0" xfId="1" applyNumberFormat="1" applyFont="1" applyFill="1" applyAlignment="1" applyProtection="1">
      <alignment vertical="center"/>
    </xf>
    <xf numFmtId="0" fontId="28" fillId="27" borderId="0" xfId="1" applyNumberFormat="1" applyFont="1" applyFill="1" applyAlignment="1" applyProtection="1">
      <alignment horizontal="right" vertical="center"/>
    </xf>
    <xf numFmtId="43" fontId="28" fillId="27" borderId="0" xfId="1" applyNumberFormat="1" applyFont="1" applyFill="1" applyAlignment="1" applyProtection="1">
      <alignment vertical="center"/>
    </xf>
    <xf numFmtId="0" fontId="14" fillId="27" borderId="0" xfId="1" applyNumberFormat="1" applyFont="1" applyFill="1" applyAlignment="1" applyProtection="1">
      <alignment vertical="center"/>
    </xf>
    <xf numFmtId="0" fontId="14" fillId="27" borderId="0" xfId="0" applyFont="1" applyFill="1" applyAlignment="1" applyProtection="1">
      <alignment vertical="center"/>
    </xf>
    <xf numFmtId="43" fontId="124" fillId="27" borderId="0" xfId="1" applyFont="1" applyFill="1" applyAlignment="1" applyProtection="1">
      <alignment vertical="center"/>
    </xf>
    <xf numFmtId="43" fontId="126" fillId="27" borderId="0" xfId="1" applyFont="1" applyFill="1" applyAlignment="1" applyProtection="1">
      <alignment horizontal="right" vertical="center"/>
    </xf>
    <xf numFmtId="43" fontId="124" fillId="27" borderId="0" xfId="1" applyFont="1" applyFill="1" applyAlignment="1" applyProtection="1">
      <alignment horizontal="right" vertical="center"/>
    </xf>
    <xf numFmtId="196" fontId="109" fillId="27" borderId="0" xfId="1" applyNumberFormat="1" applyFont="1" applyFill="1" applyAlignment="1" applyProtection="1">
      <alignment horizontal="right" vertical="center"/>
    </xf>
    <xf numFmtId="43" fontId="109" fillId="27" borderId="0" xfId="1" applyFont="1" applyFill="1" applyAlignment="1" applyProtection="1">
      <alignment horizontal="right" vertical="center"/>
    </xf>
    <xf numFmtId="0" fontId="80" fillId="27" borderId="1" xfId="1" applyNumberFormat="1" applyFont="1" applyFill="1" applyBorder="1" applyAlignment="1" applyProtection="1">
      <alignment horizontal="center" vertical="center"/>
      <protection locked="0"/>
    </xf>
    <xf numFmtId="0" fontId="80" fillId="27" borderId="2" xfId="1" applyNumberFormat="1" applyFont="1" applyFill="1" applyBorder="1" applyAlignment="1" applyProtection="1">
      <alignment horizontal="center" vertical="center"/>
      <protection locked="0"/>
    </xf>
    <xf numFmtId="43" fontId="108" fillId="27" borderId="50" xfId="1" applyFont="1" applyFill="1" applyBorder="1" applyAlignment="1" applyProtection="1">
      <alignment horizontal="center" vertical="center"/>
      <protection locked="0"/>
    </xf>
    <xf numFmtId="0" fontId="127" fillId="27" borderId="2" xfId="1" applyNumberFormat="1" applyFont="1" applyFill="1" applyBorder="1" applyAlignment="1" applyProtection="1">
      <alignment horizontal="center" vertical="center" wrapText="1"/>
      <protection locked="0"/>
    </xf>
    <xf numFmtId="0" fontId="127" fillId="27" borderId="3" xfId="1" applyNumberFormat="1" applyFont="1" applyFill="1" applyBorder="1" applyAlignment="1" applyProtection="1">
      <alignment horizontal="center" vertical="center" wrapText="1"/>
      <protection locked="0"/>
    </xf>
    <xf numFmtId="0" fontId="80" fillId="27" borderId="4" xfId="1" applyNumberFormat="1" applyFont="1" applyFill="1" applyBorder="1" applyAlignment="1" applyProtection="1">
      <alignment horizontal="center" vertical="center"/>
      <protection locked="0"/>
    </xf>
    <xf numFmtId="0" fontId="80" fillId="27" borderId="0" xfId="1" applyNumberFormat="1" applyFont="1" applyFill="1" applyBorder="1" applyAlignment="1" applyProtection="1">
      <alignment horizontal="center" vertical="center"/>
      <protection locked="0"/>
    </xf>
    <xf numFmtId="0" fontId="128" fillId="27" borderId="0" xfId="1" applyNumberFormat="1" applyFont="1" applyFill="1" applyBorder="1" applyAlignment="1" applyProtection="1">
      <alignment horizontal="center" vertical="center" wrapText="1"/>
      <protection locked="0"/>
    </xf>
    <xf numFmtId="0" fontId="128" fillId="27" borderId="5" xfId="1" applyNumberFormat="1" applyFont="1" applyFill="1" applyBorder="1" applyAlignment="1" applyProtection="1">
      <alignment horizontal="center" vertical="center" wrapText="1"/>
      <protection locked="0"/>
    </xf>
    <xf numFmtId="0" fontId="80" fillId="27" borderId="7" xfId="1" applyNumberFormat="1" applyFont="1" applyFill="1" applyBorder="1" applyAlignment="1" applyProtection="1">
      <alignment horizontal="center" vertical="center"/>
      <protection locked="0"/>
    </xf>
    <xf numFmtId="0" fontId="128" fillId="27" borderId="8" xfId="1" applyNumberFormat="1" applyFont="1" applyFill="1" applyBorder="1" applyAlignment="1" applyProtection="1">
      <alignment horizontal="center" vertical="center" wrapText="1"/>
      <protection locked="0"/>
    </xf>
    <xf numFmtId="0" fontId="93" fillId="0" borderId="54" xfId="0" applyFont="1" applyBorder="1" applyAlignment="1">
      <alignment horizontal="center"/>
    </xf>
    <xf numFmtId="0" fontId="93" fillId="0" borderId="12" xfId="0" applyFont="1" applyFill="1" applyBorder="1" applyAlignment="1"/>
    <xf numFmtId="197" fontId="28" fillId="0" borderId="12" xfId="1" applyNumberFormat="1" applyFont="1" applyFill="1" applyBorder="1" applyAlignment="1" applyProtection="1">
      <alignment horizontal="center" vertical="center"/>
      <protection locked="0"/>
    </xf>
    <xf numFmtId="197" fontId="28" fillId="0" borderId="12" xfId="1" applyNumberFormat="1" applyFont="1" applyFill="1" applyBorder="1" applyAlignment="1" applyProtection="1">
      <alignment vertical="center"/>
      <protection locked="0"/>
    </xf>
    <xf numFmtId="43" fontId="129" fillId="0" borderId="12" xfId="1" applyFont="1" applyFill="1" applyBorder="1" applyAlignment="1" applyProtection="1">
      <alignment horizontal="center" vertical="center"/>
      <protection locked="0"/>
    </xf>
    <xf numFmtId="43" fontId="28" fillId="0" borderId="12" xfId="1" applyFont="1" applyFill="1" applyBorder="1" applyAlignment="1" applyProtection="1">
      <alignment vertical="center"/>
      <protection locked="0"/>
    </xf>
    <xf numFmtId="43" fontId="129" fillId="0" borderId="55" xfId="1" applyFont="1" applyFill="1" applyBorder="1" applyAlignment="1" applyProtection="1">
      <alignment horizontal="center" vertical="center"/>
      <protection locked="0"/>
    </xf>
    <xf numFmtId="43" fontId="28" fillId="0" borderId="11" xfId="1" applyFont="1" applyFill="1" applyBorder="1" applyAlignment="1" applyProtection="1">
      <alignment vertical="center"/>
      <protection locked="0"/>
    </xf>
    <xf numFmtId="0" fontId="93" fillId="0" borderId="56" xfId="0" applyFont="1" applyBorder="1" applyAlignment="1">
      <alignment horizontal="center"/>
    </xf>
    <xf numFmtId="179" fontId="93" fillId="0" borderId="15" xfId="0" applyNumberFormat="1" applyFont="1" applyFill="1" applyBorder="1" applyAlignment="1"/>
    <xf numFmtId="0" fontId="93" fillId="0" borderId="15" xfId="0" applyFont="1" applyFill="1" applyBorder="1" applyAlignment="1"/>
    <xf numFmtId="197" fontId="28" fillId="0" borderId="15" xfId="1" applyNumberFormat="1" applyFont="1" applyFill="1" applyBorder="1" applyAlignment="1" applyProtection="1">
      <alignment vertical="center"/>
      <protection locked="0"/>
    </xf>
    <xf numFmtId="43" fontId="129" fillId="0" borderId="15" xfId="1" applyFont="1" applyFill="1" applyBorder="1" applyAlignment="1" applyProtection="1">
      <alignment horizontal="center" vertical="center"/>
      <protection locked="0"/>
    </xf>
    <xf numFmtId="43" fontId="28" fillId="0" borderId="15" xfId="1" applyFont="1" applyFill="1" applyBorder="1" applyAlignment="1" applyProtection="1">
      <alignment vertical="center"/>
      <protection locked="0"/>
    </xf>
    <xf numFmtId="43" fontId="129" fillId="0" borderId="57" xfId="1" applyFont="1" applyFill="1" applyBorder="1" applyAlignment="1" applyProtection="1">
      <alignment horizontal="center" vertical="center"/>
      <protection locked="0"/>
    </xf>
    <xf numFmtId="43" fontId="28" fillId="0" borderId="58" xfId="1" applyFont="1" applyFill="1" applyBorder="1" applyAlignment="1" applyProtection="1">
      <alignment vertical="center"/>
      <protection locked="0"/>
    </xf>
    <xf numFmtId="196" fontId="28" fillId="3" borderId="15" xfId="1" applyNumberFormat="1" applyFont="1" applyFill="1" applyBorder="1" applyAlignment="1" applyProtection="1">
      <alignment vertical="center"/>
      <protection locked="0"/>
    </xf>
    <xf numFmtId="179" fontId="28" fillId="0" borderId="15" xfId="1" applyNumberFormat="1" applyFont="1" applyFill="1" applyBorder="1" applyAlignment="1" applyProtection="1">
      <alignment vertical="center"/>
      <protection locked="0"/>
    </xf>
    <xf numFmtId="0" fontId="93" fillId="0" borderId="56" xfId="0" applyFont="1" applyFill="1" applyBorder="1" applyAlignment="1">
      <alignment horizontal="center"/>
    </xf>
    <xf numFmtId="0" fontId="47" fillId="0" borderId="15" xfId="0" applyFont="1" applyFill="1" applyBorder="1" applyAlignment="1" applyProtection="1">
      <alignment vertical="center"/>
      <protection locked="0"/>
    </xf>
    <xf numFmtId="43" fontId="14" fillId="0" borderId="0" xfId="0" applyNumberFormat="1" applyFont="1" applyFill="1" applyAlignment="1" applyProtection="1">
      <alignment vertical="center"/>
      <protection locked="0"/>
    </xf>
    <xf numFmtId="43" fontId="93" fillId="0" borderId="15" xfId="0" applyNumberFormat="1" applyFont="1" applyFill="1" applyBorder="1" applyAlignment="1"/>
    <xf numFmtId="197" fontId="28" fillId="14" borderId="15" xfId="1" applyNumberFormat="1" applyFont="1" applyFill="1" applyBorder="1" applyAlignment="1" applyProtection="1">
      <alignment vertical="center"/>
      <protection locked="0"/>
    </xf>
    <xf numFmtId="4" fontId="130" fillId="0" borderId="15" xfId="0" applyNumberFormat="1" applyFont="1" applyFill="1" applyBorder="1">
      <alignment vertical="center"/>
    </xf>
    <xf numFmtId="197" fontId="28" fillId="3" borderId="15" xfId="1" applyNumberFormat="1" applyFont="1" applyFill="1" applyBorder="1" applyAlignment="1" applyProtection="1">
      <alignment vertical="center"/>
      <protection locked="0"/>
    </xf>
    <xf numFmtId="0" fontId="131" fillId="0" borderId="15" xfId="0" applyFont="1" applyFill="1" applyBorder="1" applyAlignment="1"/>
    <xf numFmtId="43" fontId="129" fillId="3" borderId="15" xfId="1" applyFont="1" applyFill="1" applyBorder="1" applyAlignment="1" applyProtection="1">
      <alignment horizontal="center" vertical="center"/>
      <protection locked="0"/>
    </xf>
    <xf numFmtId="0" fontId="132" fillId="0" borderId="15" xfId="0" applyFont="1" applyFill="1" applyBorder="1" applyAlignment="1">
      <alignment horizontal="right"/>
    </xf>
    <xf numFmtId="197" fontId="28" fillId="21" borderId="15" xfId="1" applyNumberFormat="1" applyFont="1" applyFill="1" applyBorder="1" applyAlignment="1" applyProtection="1">
      <alignment vertical="center"/>
      <protection locked="0"/>
    </xf>
    <xf numFmtId="179" fontId="132" fillId="0" borderId="15" xfId="0" applyNumberFormat="1" applyFont="1" applyFill="1" applyBorder="1" applyAlignment="1">
      <alignment horizontal="right"/>
    </xf>
    <xf numFmtId="43" fontId="28" fillId="21" borderId="15" xfId="1" applyFont="1" applyFill="1" applyBorder="1" applyAlignment="1" applyProtection="1">
      <alignment vertical="center"/>
      <protection locked="0"/>
    </xf>
    <xf numFmtId="0" fontId="101" fillId="0" borderId="56" xfId="0" applyFont="1" applyFill="1" applyBorder="1" applyAlignment="1" applyProtection="1">
      <alignment horizontal="center" vertical="center"/>
      <protection locked="0"/>
    </xf>
    <xf numFmtId="0" fontId="80" fillId="0" borderId="15" xfId="0" applyFont="1" applyFill="1" applyBorder="1" applyAlignment="1" applyProtection="1">
      <alignment vertical="center"/>
      <protection locked="0"/>
    </xf>
    <xf numFmtId="0" fontId="28" fillId="0" borderId="15" xfId="0" applyFont="1" applyFill="1" applyBorder="1" applyAlignment="1" applyProtection="1">
      <alignment vertical="center"/>
      <protection locked="0"/>
    </xf>
    <xf numFmtId="0" fontId="28" fillId="0" borderId="56" xfId="0" applyFont="1" applyFill="1" applyBorder="1" applyAlignment="1" applyProtection="1">
      <alignment horizontal="center" vertical="center"/>
      <protection locked="0"/>
    </xf>
    <xf numFmtId="0" fontId="47" fillId="0" borderId="56" xfId="0" applyFont="1" applyFill="1" applyBorder="1" applyAlignment="1" applyProtection="1">
      <alignment horizontal="center" vertical="center"/>
      <protection locked="0"/>
    </xf>
    <xf numFmtId="43" fontId="28" fillId="0" borderId="15" xfId="1" applyNumberFormat="1" applyFont="1" applyFill="1" applyBorder="1" applyAlignment="1" applyProtection="1">
      <alignment vertical="center"/>
      <protection locked="0"/>
    </xf>
    <xf numFmtId="0" fontId="47" fillId="3" borderId="15" xfId="0" applyFont="1" applyFill="1" applyBorder="1" applyAlignment="1" applyProtection="1">
      <alignment vertical="center"/>
      <protection locked="0"/>
    </xf>
    <xf numFmtId="4" fontId="28" fillId="0" borderId="15" xfId="0" applyNumberFormat="1" applyFont="1" applyFill="1" applyBorder="1" applyAlignment="1" applyProtection="1">
      <alignment vertical="center"/>
      <protection locked="0"/>
    </xf>
    <xf numFmtId="43" fontId="28" fillId="0" borderId="15" xfId="0" applyNumberFormat="1" applyFont="1" applyFill="1" applyBorder="1" applyAlignment="1" applyProtection="1">
      <alignment vertical="center"/>
      <protection locked="0"/>
    </xf>
    <xf numFmtId="43" fontId="111" fillId="0" borderId="15" xfId="0" applyNumberFormat="1" applyFont="1" applyFill="1" applyBorder="1" applyAlignment="1" applyProtection="1">
      <alignment vertical="center"/>
      <protection locked="0"/>
    </xf>
    <xf numFmtId="194" fontId="28" fillId="0" borderId="15" xfId="1" applyNumberFormat="1" applyFont="1" applyFill="1" applyBorder="1" applyAlignment="1" applyProtection="1">
      <alignment vertical="center"/>
      <protection locked="0"/>
    </xf>
    <xf numFmtId="194" fontId="14" fillId="0" borderId="15" xfId="1" applyNumberFormat="1" applyFont="1" applyFill="1" applyBorder="1" applyAlignment="1" applyProtection="1">
      <alignment vertical="center"/>
      <protection locked="0"/>
    </xf>
    <xf numFmtId="0" fontId="77" fillId="0" borderId="56" xfId="0" applyFont="1" applyFill="1" applyBorder="1" applyAlignment="1" applyProtection="1">
      <alignment horizontal="center" vertical="center"/>
      <protection locked="0"/>
    </xf>
    <xf numFmtId="43" fontId="77" fillId="0" borderId="15" xfId="1" applyFont="1" applyFill="1" applyBorder="1" applyAlignment="1" applyProtection="1">
      <alignment vertical="center"/>
      <protection locked="0"/>
    </xf>
    <xf numFmtId="43" fontId="133" fillId="0" borderId="15" xfId="1" applyFont="1" applyFill="1" applyBorder="1" applyAlignment="1" applyProtection="1">
      <alignment horizontal="center" vertical="center"/>
      <protection locked="0"/>
    </xf>
    <xf numFmtId="43" fontId="133" fillId="0" borderId="57" xfId="1" applyFont="1" applyFill="1" applyBorder="1" applyAlignment="1" applyProtection="1">
      <alignment horizontal="center" vertical="center"/>
      <protection locked="0"/>
    </xf>
    <xf numFmtId="43" fontId="77" fillId="0" borderId="58" xfId="1" applyFont="1" applyFill="1" applyBorder="1" applyAlignment="1" applyProtection="1">
      <alignment vertical="center"/>
      <protection locked="0"/>
    </xf>
    <xf numFmtId="10" fontId="28" fillId="0" borderId="15" xfId="3" applyNumberFormat="1" applyFont="1" applyFill="1" applyBorder="1" applyAlignment="1" applyProtection="1">
      <alignment vertical="center"/>
      <protection locked="0"/>
    </xf>
    <xf numFmtId="198" fontId="28" fillId="0" borderId="15" xfId="1" applyNumberFormat="1" applyFont="1" applyFill="1" applyBorder="1" applyAlignment="1" applyProtection="1">
      <alignment vertical="center"/>
      <protection locked="0"/>
    </xf>
    <xf numFmtId="43" fontId="101" fillId="0" borderId="15" xfId="1" applyFont="1" applyFill="1" applyBorder="1" applyAlignment="1" applyProtection="1">
      <alignment vertical="center"/>
      <protection locked="0"/>
    </xf>
    <xf numFmtId="43" fontId="47" fillId="0" borderId="15" xfId="1" applyFont="1" applyFill="1" applyBorder="1" applyAlignment="1" applyProtection="1">
      <alignment vertical="center"/>
      <protection locked="0"/>
    </xf>
    <xf numFmtId="43" fontId="28" fillId="0" borderId="56" xfId="1" applyFont="1" applyFill="1" applyBorder="1" applyAlignment="1" applyProtection="1">
      <alignment vertical="center"/>
      <protection locked="0"/>
    </xf>
    <xf numFmtId="0" fontId="14" fillId="0" borderId="15" xfId="0" applyFont="1" applyFill="1" applyBorder="1" applyAlignment="1" applyProtection="1">
      <alignment vertical="center"/>
      <protection locked="0"/>
    </xf>
    <xf numFmtId="0" fontId="28" fillId="0" borderId="56" xfId="0" applyFont="1" applyFill="1" applyBorder="1" applyAlignment="1" applyProtection="1">
      <alignment horizontal="left" vertical="center"/>
      <protection locked="0"/>
    </xf>
    <xf numFmtId="43" fontId="28" fillId="0" borderId="59" xfId="1" applyFont="1" applyFill="1" applyBorder="1" applyAlignment="1" applyProtection="1">
      <alignment vertical="center"/>
      <protection locked="0"/>
    </xf>
    <xf numFmtId="43" fontId="28" fillId="0" borderId="22" xfId="1" applyFont="1" applyFill="1" applyBorder="1" applyAlignment="1" applyProtection="1">
      <alignment vertical="center"/>
      <protection locked="0"/>
    </xf>
    <xf numFmtId="43" fontId="129" fillId="0" borderId="60" xfId="1" applyFont="1" applyFill="1" applyBorder="1" applyAlignment="1" applyProtection="1">
      <alignment horizontal="center" vertical="center"/>
      <protection locked="0"/>
    </xf>
    <xf numFmtId="0" fontId="28" fillId="0" borderId="61" xfId="0" applyFont="1" applyFill="1" applyBorder="1" applyAlignment="1" applyProtection="1">
      <alignment horizontal="center" vertical="center"/>
      <protection locked="0"/>
    </xf>
    <xf numFmtId="0" fontId="28" fillId="0" borderId="18" xfId="0" applyFont="1" applyFill="1" applyBorder="1" applyAlignment="1" applyProtection="1">
      <alignment vertical="center"/>
      <protection locked="0"/>
    </xf>
    <xf numFmtId="43" fontId="28" fillId="0" borderId="18" xfId="1" applyFont="1" applyFill="1" applyBorder="1" applyAlignment="1" applyProtection="1">
      <alignment vertical="center"/>
      <protection locked="0"/>
    </xf>
    <xf numFmtId="43" fontId="129" fillId="0" borderId="18" xfId="1" applyFont="1" applyFill="1" applyBorder="1" applyAlignment="1" applyProtection="1">
      <alignment horizontal="center" vertical="center"/>
      <protection locked="0"/>
    </xf>
    <xf numFmtId="43" fontId="129" fillId="0" borderId="62" xfId="1" applyFont="1" applyFill="1" applyBorder="1" applyAlignment="1" applyProtection="1">
      <alignment horizontal="center" vertical="center"/>
      <protection locked="0"/>
    </xf>
    <xf numFmtId="43" fontId="28" fillId="0" borderId="63" xfId="1" applyFont="1" applyFill="1" applyBorder="1" applyAlignment="1" applyProtection="1">
      <alignment vertical="center"/>
      <protection locked="0"/>
    </xf>
    <xf numFmtId="43" fontId="14" fillId="0" borderId="0" xfId="0" applyNumberFormat="1" applyFont="1" applyAlignment="1" applyProtection="1">
      <alignment vertical="center"/>
      <protection locked="0"/>
    </xf>
    <xf numFmtId="0" fontId="21" fillId="0" borderId="0" xfId="0" applyFont="1" applyAlignment="1" applyProtection="1">
      <alignment vertical="center"/>
      <protection locked="0"/>
    </xf>
    <xf numFmtId="43" fontId="14" fillId="0" borderId="0" xfId="1" applyFont="1" applyAlignment="1" applyProtection="1">
      <alignment vertical="center"/>
      <protection locked="0"/>
    </xf>
    <xf numFmtId="0" fontId="72" fillId="0" borderId="0" xfId="0" applyFont="1" applyFill="1" applyProtection="1">
      <alignment vertical="center"/>
      <protection locked="0"/>
    </xf>
    <xf numFmtId="0" fontId="28" fillId="0" borderId="0" xfId="0" applyFont="1" applyFill="1" applyProtection="1">
      <alignment vertical="center"/>
      <protection locked="0"/>
    </xf>
    <xf numFmtId="0" fontId="28" fillId="0" borderId="0" xfId="0" applyFont="1" applyFill="1" applyAlignment="1" applyProtection="1">
      <alignment horizontal="center" vertical="center"/>
      <protection locked="0"/>
    </xf>
    <xf numFmtId="0" fontId="47" fillId="0" borderId="0" xfId="0" applyFont="1" applyFill="1" applyAlignment="1" applyProtection="1">
      <alignment horizontal="center" vertical="center"/>
      <protection locked="0"/>
    </xf>
    <xf numFmtId="0" fontId="0" fillId="0" borderId="0" xfId="0" applyProtection="1">
      <alignment vertical="center"/>
      <protection locked="0"/>
    </xf>
    <xf numFmtId="43" fontId="0" fillId="0" borderId="0" xfId="1" applyFont="1" applyProtection="1">
      <alignment vertical="center"/>
      <protection locked="0"/>
    </xf>
    <xf numFmtId="43" fontId="0" fillId="0" borderId="0" xfId="0" applyNumberFormat="1" applyProtection="1">
      <alignment vertical="center"/>
      <protection locked="0"/>
    </xf>
    <xf numFmtId="194" fontId="0" fillId="0" borderId="0" xfId="0" applyNumberFormat="1" applyProtection="1">
      <alignment vertical="center"/>
      <protection locked="0"/>
    </xf>
    <xf numFmtId="0" fontId="0" fillId="0" borderId="0" xfId="0" applyFill="1" applyProtection="1">
      <alignment vertical="center"/>
      <protection locked="0"/>
    </xf>
    <xf numFmtId="43" fontId="0" fillId="0" borderId="0" xfId="1" applyFont="1" applyFill="1" applyProtection="1">
      <alignment vertical="center"/>
      <protection locked="0"/>
    </xf>
    <xf numFmtId="0" fontId="72" fillId="0" borderId="0" xfId="0" applyFont="1">
      <alignment vertical="center"/>
    </xf>
    <xf numFmtId="43" fontId="72" fillId="0" borderId="0" xfId="1" applyFont="1">
      <alignment vertical="center"/>
    </xf>
    <xf numFmtId="43" fontId="72" fillId="0" borderId="0" xfId="0" applyNumberFormat="1" applyFont="1">
      <alignment vertical="center"/>
    </xf>
    <xf numFmtId="194" fontId="72" fillId="0" borderId="0" xfId="0" applyNumberFormat="1" applyFont="1">
      <alignment vertical="center"/>
    </xf>
    <xf numFmtId="43" fontId="72" fillId="0" borderId="0" xfId="1" applyFont="1" applyFill="1" applyProtection="1">
      <alignment vertical="center"/>
      <protection locked="0"/>
    </xf>
    <xf numFmtId="43" fontId="72" fillId="0" borderId="0" xfId="1" applyNumberFormat="1" applyFont="1">
      <alignment vertical="center"/>
    </xf>
    <xf numFmtId="0" fontId="134" fillId="0" borderId="0" xfId="51" applyFont="1" applyFill="1" applyAlignment="1">
      <alignment horizontal="centerContinuous" vertical="center"/>
    </xf>
    <xf numFmtId="43" fontId="134" fillId="0" borderId="0" xfId="1" applyFont="1" applyFill="1" applyAlignment="1">
      <alignment horizontal="centerContinuous" vertical="center"/>
    </xf>
    <xf numFmtId="43" fontId="134" fillId="0" borderId="0" xfId="51" applyNumberFormat="1" applyFont="1" applyFill="1" applyAlignment="1">
      <alignment horizontal="centerContinuous" vertical="center"/>
    </xf>
    <xf numFmtId="194" fontId="134" fillId="0" borderId="0" xfId="51" applyNumberFormat="1" applyFont="1" applyFill="1" applyAlignment="1">
      <alignment horizontal="centerContinuous" vertical="center"/>
    </xf>
    <xf numFmtId="0" fontId="19" fillId="0" borderId="0" xfId="51" applyFont="1" applyFill="1" applyAlignment="1">
      <alignment vertical="center"/>
    </xf>
    <xf numFmtId="43" fontId="28" fillId="0" borderId="0" xfId="1" applyFont="1">
      <alignment vertical="center"/>
    </xf>
    <xf numFmtId="43" fontId="28" fillId="0" borderId="0" xfId="0" applyNumberFormat="1" applyFont="1">
      <alignment vertical="center"/>
    </xf>
    <xf numFmtId="194" fontId="28" fillId="0" borderId="0" xfId="0" applyNumberFormat="1" applyFont="1">
      <alignment vertical="center"/>
    </xf>
    <xf numFmtId="0" fontId="28" fillId="0" borderId="0" xfId="0" applyFont="1">
      <alignment vertical="center"/>
    </xf>
    <xf numFmtId="4" fontId="28" fillId="0" borderId="0" xfId="0" applyNumberFormat="1" applyFont="1">
      <alignment vertical="center"/>
    </xf>
    <xf numFmtId="43" fontId="111" fillId="0" borderId="0" xfId="1" applyFont="1">
      <alignment vertical="center"/>
    </xf>
    <xf numFmtId="43" fontId="47" fillId="0" borderId="0" xfId="0" applyNumberFormat="1" applyFont="1">
      <alignment vertical="center"/>
    </xf>
    <xf numFmtId="0" fontId="28" fillId="0" borderId="0" xfId="0" applyFont="1" applyFill="1">
      <alignment vertical="center"/>
    </xf>
    <xf numFmtId="0" fontId="101" fillId="0" borderId="0" xfId="0" applyFont="1" applyAlignment="1">
      <alignment horizontal="right" vertical="center"/>
    </xf>
    <xf numFmtId="0" fontId="47" fillId="0" borderId="0" xfId="0" applyFont="1" applyAlignment="1">
      <alignment horizontal="right" vertical="center"/>
    </xf>
    <xf numFmtId="43" fontId="28" fillId="0" borderId="0" xfId="1" applyFont="1" applyFill="1" applyProtection="1">
      <alignment vertical="center"/>
      <protection locked="0"/>
    </xf>
    <xf numFmtId="0" fontId="19" fillId="0" borderId="45" xfId="51" applyFont="1" applyFill="1" applyBorder="1" applyAlignment="1">
      <alignment horizontal="center" vertical="center"/>
    </xf>
    <xf numFmtId="14" fontId="28" fillId="28" borderId="30" xfId="0" applyNumberFormat="1" applyFont="1" applyFill="1" applyBorder="1" applyAlignment="1">
      <alignment horizontal="center" vertical="center"/>
    </xf>
    <xf numFmtId="14" fontId="28" fillId="28" borderId="50" xfId="0" applyNumberFormat="1" applyFont="1" applyFill="1" applyBorder="1" applyAlignment="1">
      <alignment horizontal="center" vertical="center"/>
    </xf>
    <xf numFmtId="14" fontId="28" fillId="28" borderId="24" xfId="0" applyNumberFormat="1" applyFont="1" applyFill="1" applyBorder="1" applyAlignment="1">
      <alignment horizontal="center" vertical="center"/>
    </xf>
    <xf numFmtId="0" fontId="28" fillId="28" borderId="10" xfId="0" applyFont="1" applyFill="1" applyBorder="1" applyAlignment="1">
      <alignment horizontal="center" vertical="center"/>
    </xf>
    <xf numFmtId="14" fontId="28" fillId="28" borderId="10" xfId="0" applyNumberFormat="1" applyFont="1" applyFill="1" applyBorder="1" applyAlignment="1">
      <alignment horizontal="center" vertical="center"/>
    </xf>
    <xf numFmtId="14" fontId="28" fillId="29" borderId="30" xfId="0" applyNumberFormat="1" applyFont="1" applyFill="1" applyBorder="1" applyAlignment="1">
      <alignment horizontal="center" vertical="center"/>
    </xf>
    <xf numFmtId="14" fontId="28" fillId="29" borderId="50" xfId="0" applyNumberFormat="1" applyFont="1" applyFill="1" applyBorder="1" applyAlignment="1">
      <alignment horizontal="center" vertical="center"/>
    </xf>
    <xf numFmtId="14" fontId="28" fillId="29" borderId="24" xfId="0" applyNumberFormat="1" applyFont="1" applyFill="1" applyBorder="1" applyAlignment="1">
      <alignment horizontal="center" vertical="center"/>
    </xf>
    <xf numFmtId="0" fontId="28" fillId="29" borderId="10" xfId="0" applyFont="1" applyFill="1" applyBorder="1" applyAlignment="1">
      <alignment horizontal="center" vertical="center"/>
    </xf>
    <xf numFmtId="14" fontId="28" fillId="29" borderId="10" xfId="0" applyNumberFormat="1" applyFont="1" applyFill="1" applyBorder="1" applyAlignment="1">
      <alignment horizontal="center" vertical="center"/>
    </xf>
    <xf numFmtId="14" fontId="28" fillId="0" borderId="30" xfId="0" applyNumberFormat="1" applyFont="1" applyBorder="1" applyAlignment="1">
      <alignment horizontal="center" vertical="center"/>
    </xf>
    <xf numFmtId="14" fontId="28" fillId="0" borderId="50" xfId="0" applyNumberFormat="1" applyFont="1" applyBorder="1" applyAlignment="1">
      <alignment horizontal="center" vertical="center"/>
    </xf>
    <xf numFmtId="14" fontId="28" fillId="0" borderId="24" xfId="0" applyNumberFormat="1" applyFont="1" applyBorder="1" applyAlignment="1">
      <alignment horizontal="center" vertical="center"/>
    </xf>
    <xf numFmtId="0" fontId="28" fillId="0" borderId="10" xfId="0" applyFont="1" applyBorder="1" applyAlignment="1">
      <alignment horizontal="center" vertical="center"/>
    </xf>
    <xf numFmtId="14" fontId="28" fillId="18" borderId="10" xfId="0" applyNumberFormat="1" applyFont="1" applyFill="1" applyBorder="1" applyAlignment="1">
      <alignment horizontal="center" vertical="center"/>
    </xf>
    <xf numFmtId="14" fontId="28" fillId="18" borderId="30" xfId="0" applyNumberFormat="1" applyFont="1" applyFill="1" applyBorder="1" applyAlignment="1">
      <alignment horizontal="center" vertical="center"/>
    </xf>
    <xf numFmtId="14" fontId="28" fillId="18" borderId="50" xfId="0" applyNumberFormat="1" applyFont="1" applyFill="1" applyBorder="1" applyAlignment="1">
      <alignment horizontal="center" vertical="center"/>
    </xf>
    <xf numFmtId="0" fontId="47" fillId="18" borderId="10" xfId="0" applyFont="1" applyFill="1" applyBorder="1" applyAlignment="1">
      <alignment horizontal="center" vertical="center"/>
    </xf>
    <xf numFmtId="0" fontId="28" fillId="18" borderId="10" xfId="0" applyFont="1" applyFill="1" applyBorder="1" applyAlignment="1">
      <alignment horizontal="center" vertical="center"/>
    </xf>
    <xf numFmtId="0" fontId="47" fillId="0" borderId="30" xfId="0" applyFont="1" applyBorder="1" applyAlignment="1">
      <alignment horizontal="center" vertical="center"/>
    </xf>
    <xf numFmtId="0" fontId="47" fillId="0" borderId="24" xfId="0" applyFont="1" applyBorder="1" applyAlignment="1">
      <alignment horizontal="center" vertical="center"/>
    </xf>
    <xf numFmtId="14" fontId="28" fillId="0" borderId="10" xfId="0" applyNumberFormat="1" applyFont="1" applyBorder="1" applyAlignment="1">
      <alignment horizontal="center" vertical="center"/>
    </xf>
    <xf numFmtId="43" fontId="28" fillId="0" borderId="0" xfId="1" applyFont="1" applyFill="1" applyAlignment="1" applyProtection="1">
      <alignment horizontal="center" vertical="center"/>
      <protection locked="0"/>
    </xf>
    <xf numFmtId="0" fontId="19" fillId="0" borderId="9" xfId="51" applyFont="1" applyFill="1" applyBorder="1" applyAlignment="1">
      <alignment horizontal="center" vertical="center"/>
    </xf>
    <xf numFmtId="43" fontId="135" fillId="28" borderId="10" xfId="1" applyFont="1" applyFill="1" applyBorder="1" applyAlignment="1">
      <alignment horizontal="center" vertical="center"/>
    </xf>
    <xf numFmtId="43" fontId="136" fillId="28" borderId="10" xfId="6" applyNumberFormat="1" applyFont="1" applyFill="1" applyBorder="1" applyAlignment="1">
      <alignment horizontal="center" vertical="center"/>
    </xf>
    <xf numFmtId="194" fontId="135" fillId="28" borderId="10" xfId="6" applyNumberFormat="1" applyFont="1" applyFill="1" applyBorder="1" applyAlignment="1">
      <alignment horizontal="center" vertical="center"/>
    </xf>
    <xf numFmtId="194" fontId="136" fillId="28" borderId="10" xfId="6" applyNumberFormat="1" applyFont="1" applyFill="1" applyBorder="1" applyAlignment="1">
      <alignment horizontal="center" vertical="center"/>
    </xf>
    <xf numFmtId="0" fontId="136" fillId="28" borderId="10" xfId="6" applyFont="1" applyFill="1" applyBorder="1" applyAlignment="1">
      <alignment horizontal="center" vertical="center"/>
    </xf>
    <xf numFmtId="0" fontId="47" fillId="28" borderId="10" xfId="0" applyFont="1" applyFill="1" applyBorder="1" applyAlignment="1">
      <alignment horizontal="center" vertical="center"/>
    </xf>
    <xf numFmtId="0" fontId="136" fillId="29" borderId="10" xfId="6" applyFont="1" applyFill="1" applyBorder="1" applyAlignment="1">
      <alignment horizontal="center" vertical="center"/>
    </xf>
    <xf numFmtId="0" fontId="47" fillId="29" borderId="10" xfId="0" applyFont="1" applyFill="1" applyBorder="1" applyAlignment="1">
      <alignment horizontal="center" vertical="center"/>
    </xf>
    <xf numFmtId="0" fontId="136" fillId="0" borderId="10" xfId="6" applyFont="1" applyFill="1" applyBorder="1" applyAlignment="1">
      <alignment horizontal="center" vertical="center"/>
    </xf>
    <xf numFmtId="0" fontId="47" fillId="0" borderId="10" xfId="0" applyFont="1" applyBorder="1" applyAlignment="1">
      <alignment horizontal="center" vertical="center"/>
    </xf>
    <xf numFmtId="0" fontId="136" fillId="18" borderId="10" xfId="6" applyFont="1" applyFill="1" applyBorder="1" applyAlignment="1">
      <alignment horizontal="center" vertical="center"/>
    </xf>
    <xf numFmtId="43" fontId="47" fillId="0" borderId="0" xfId="1" applyFont="1" applyFill="1" applyAlignment="1" applyProtection="1">
      <alignment horizontal="center" vertical="center"/>
      <protection locked="0"/>
    </xf>
    <xf numFmtId="0" fontId="19" fillId="0" borderId="10" xfId="51" applyFont="1" applyFill="1" applyBorder="1" applyAlignment="1">
      <alignment horizontal="left" vertical="center"/>
    </xf>
    <xf numFmtId="43" fontId="28" fillId="0" borderId="10" xfId="1" applyFont="1" applyBorder="1">
      <alignment vertical="center"/>
    </xf>
    <xf numFmtId="43" fontId="28" fillId="0" borderId="10" xfId="0" applyNumberFormat="1" applyFont="1" applyBorder="1">
      <alignment vertical="center"/>
    </xf>
    <xf numFmtId="194" fontId="28" fillId="0" borderId="10" xfId="0" applyNumberFormat="1" applyFont="1" applyBorder="1">
      <alignment vertical="center"/>
    </xf>
    <xf numFmtId="43" fontId="28" fillId="0" borderId="10" xfId="0" applyNumberFormat="1" applyFont="1" applyFill="1" applyBorder="1">
      <alignment vertical="center"/>
    </xf>
    <xf numFmtId="0" fontId="19" fillId="0" borderId="10" xfId="51" applyFont="1" applyFill="1" applyBorder="1" applyAlignment="1">
      <alignment vertical="center"/>
    </xf>
    <xf numFmtId="43" fontId="28" fillId="0" borderId="10" xfId="1" applyFont="1" applyBorder="1" applyProtection="1">
      <alignment vertical="center"/>
    </xf>
    <xf numFmtId="43" fontId="28" fillId="0" borderId="10" xfId="0" applyNumberFormat="1" applyFont="1" applyBorder="1" applyProtection="1">
      <alignment vertical="center"/>
    </xf>
    <xf numFmtId="179" fontId="28" fillId="0" borderId="10" xfId="0" applyNumberFormat="1" applyFont="1" applyBorder="1" applyProtection="1">
      <alignment vertical="center"/>
    </xf>
    <xf numFmtId="194" fontId="28" fillId="0" borderId="10" xfId="0" applyNumberFormat="1" applyFont="1" applyBorder="1" applyProtection="1">
      <alignment vertical="center"/>
    </xf>
    <xf numFmtId="43" fontId="28" fillId="30" borderId="10" xfId="0" applyNumberFormat="1" applyFont="1" applyFill="1" applyBorder="1" applyProtection="1">
      <alignment vertical="center"/>
    </xf>
    <xf numFmtId="43" fontId="28" fillId="0" borderId="10" xfId="0" applyNumberFormat="1" applyFont="1" applyFill="1" applyBorder="1" applyProtection="1">
      <alignment vertical="center"/>
    </xf>
    <xf numFmtId="43" fontId="28" fillId="0" borderId="0" xfId="0" applyNumberFormat="1" applyFont="1" applyFill="1" applyProtection="1">
      <alignment vertical="center"/>
      <protection locked="0"/>
    </xf>
    <xf numFmtId="0" fontId="93" fillId="0" borderId="10" xfId="51" applyFont="1" applyFill="1" applyBorder="1" applyAlignment="1">
      <alignment vertical="center" shrinkToFit="1"/>
    </xf>
    <xf numFmtId="43" fontId="28" fillId="0" borderId="10" xfId="1" applyNumberFormat="1" applyFont="1" applyBorder="1" applyProtection="1">
      <alignment vertical="center"/>
    </xf>
    <xf numFmtId="0" fontId="43" fillId="0" borderId="10" xfId="0" applyFont="1" applyFill="1" applyBorder="1" applyAlignment="1">
      <alignment horizontal="left" vertical="center"/>
    </xf>
    <xf numFmtId="0" fontId="137" fillId="0" borderId="10" xfId="51" applyFont="1" applyFill="1" applyBorder="1" applyAlignment="1">
      <alignment horizontal="center" vertical="center"/>
    </xf>
    <xf numFmtId="43" fontId="28" fillId="30" borderId="10" xfId="1" applyFont="1" applyFill="1" applyBorder="1" applyProtection="1">
      <alignment vertical="center"/>
    </xf>
    <xf numFmtId="194" fontId="28" fillId="30" borderId="10" xfId="0" applyNumberFormat="1" applyFont="1" applyFill="1" applyBorder="1" applyProtection="1">
      <alignment vertical="center"/>
    </xf>
    <xf numFmtId="43" fontId="28" fillId="0" borderId="10" xfId="1" applyFont="1" applyFill="1" applyBorder="1" applyProtection="1">
      <alignment vertical="center"/>
    </xf>
    <xf numFmtId="194" fontId="28" fillId="0" borderId="10" xfId="0" applyNumberFormat="1" applyFont="1" applyFill="1" applyBorder="1" applyProtection="1">
      <alignment vertical="center"/>
    </xf>
    <xf numFmtId="0" fontId="93" fillId="0" borderId="10" xfId="51" applyFont="1" applyFill="1" applyBorder="1" applyAlignment="1">
      <alignment vertical="center"/>
    </xf>
    <xf numFmtId="179" fontId="28" fillId="30" borderId="10" xfId="0" applyNumberFormat="1" applyFont="1" applyFill="1" applyBorder="1" applyProtection="1">
      <alignment vertical="center"/>
    </xf>
    <xf numFmtId="43" fontId="0" fillId="0" borderId="0" xfId="1" applyFont="1">
      <alignment vertical="center"/>
    </xf>
    <xf numFmtId="194" fontId="0" fillId="0" borderId="0" xfId="0" applyNumberFormat="1">
      <alignment vertical="center"/>
    </xf>
    <xf numFmtId="43" fontId="48" fillId="0" borderId="0" xfId="0" applyNumberFormat="1" applyFont="1">
      <alignment vertical="center"/>
    </xf>
    <xf numFmtId="0" fontId="28" fillId="0" borderId="0" xfId="0" applyFont="1" applyAlignment="1">
      <alignment horizontal="right" vertical="center"/>
    </xf>
    <xf numFmtId="43" fontId="47" fillId="0" borderId="10" xfId="1" applyFont="1" applyBorder="1" applyAlignment="1">
      <alignment horizontal="center" vertical="center"/>
    </xf>
    <xf numFmtId="43" fontId="47" fillId="0" borderId="10" xfId="0" applyNumberFormat="1" applyFont="1" applyBorder="1" applyAlignment="1">
      <alignment horizontal="center" vertical="center"/>
    </xf>
    <xf numFmtId="194" fontId="47" fillId="0" borderId="10" xfId="0" applyNumberFormat="1" applyFont="1" applyBorder="1" applyAlignment="1">
      <alignment horizontal="center" vertical="center"/>
    </xf>
    <xf numFmtId="0" fontId="47" fillId="0" borderId="10" xfId="0" applyFont="1" applyFill="1" applyBorder="1" applyAlignment="1">
      <alignment horizontal="center" vertical="center"/>
    </xf>
    <xf numFmtId="0" fontId="28" fillId="0" borderId="10" xfId="0" applyFont="1" applyBorder="1">
      <alignment vertical="center"/>
    </xf>
    <xf numFmtId="0" fontId="28" fillId="0" borderId="10" xfId="0" applyFont="1" applyFill="1" applyBorder="1">
      <alignment vertical="center"/>
    </xf>
    <xf numFmtId="43" fontId="28" fillId="30" borderId="10" xfId="1" applyNumberFormat="1" applyFont="1" applyFill="1" applyBorder="1" applyProtection="1">
      <alignment vertical="center"/>
    </xf>
    <xf numFmtId="179" fontId="28" fillId="30" borderId="10" xfId="1" applyNumberFormat="1" applyFont="1" applyFill="1" applyBorder="1" applyProtection="1">
      <alignment vertical="center"/>
    </xf>
    <xf numFmtId="194" fontId="28" fillId="30" borderId="10" xfId="1" applyNumberFormat="1" applyFont="1" applyFill="1" applyBorder="1" applyProtection="1">
      <alignment vertical="center"/>
    </xf>
    <xf numFmtId="43" fontId="28" fillId="0" borderId="10" xfId="1" applyNumberFormat="1" applyFont="1" applyFill="1" applyBorder="1" applyProtection="1">
      <alignment vertical="center"/>
    </xf>
    <xf numFmtId="194" fontId="28" fillId="0" borderId="10" xfId="1" applyNumberFormat="1" applyFont="1" applyFill="1" applyBorder="1" applyProtection="1">
      <alignment vertical="center"/>
    </xf>
    <xf numFmtId="0" fontId="120" fillId="0" borderId="10" xfId="51" applyFont="1" applyFill="1" applyBorder="1" applyAlignment="1">
      <alignment horizontal="center" vertical="center"/>
    </xf>
    <xf numFmtId="0" fontId="93" fillId="0" borderId="10" xfId="51" applyFont="1" applyFill="1" applyBorder="1" applyAlignment="1">
      <alignment horizontal="left" vertical="center"/>
    </xf>
    <xf numFmtId="0" fontId="138" fillId="0" borderId="10" xfId="0" applyFont="1" applyFill="1" applyBorder="1" applyAlignment="1">
      <alignment horizontal="center" vertical="center"/>
    </xf>
    <xf numFmtId="179" fontId="134" fillId="0" borderId="0" xfId="51" applyNumberFormat="1" applyFont="1" applyFill="1" applyAlignment="1">
      <alignment horizontal="centerContinuous" vertical="center"/>
    </xf>
    <xf numFmtId="10" fontId="28" fillId="0" borderId="0" xfId="3" applyNumberFormat="1" applyFont="1">
      <alignment vertical="center"/>
    </xf>
    <xf numFmtId="194" fontId="47" fillId="0" borderId="0" xfId="0" applyNumberFormat="1" applyFont="1">
      <alignment vertical="center"/>
    </xf>
    <xf numFmtId="179" fontId="28" fillId="0" borderId="0" xfId="0" applyNumberFormat="1" applyFont="1">
      <alignment vertical="center"/>
    </xf>
    <xf numFmtId="0" fontId="19" fillId="0" borderId="45" xfId="51" applyFont="1" applyFill="1" applyBorder="1" applyAlignment="1">
      <alignment horizontal="center" vertical="center" shrinkToFit="1"/>
    </xf>
    <xf numFmtId="0" fontId="28" fillId="0" borderId="30" xfId="0" applyFont="1" applyBorder="1" applyAlignment="1">
      <alignment horizontal="center" vertical="center"/>
    </xf>
    <xf numFmtId="0" fontId="28" fillId="0" borderId="50" xfId="0" applyFont="1" applyBorder="1" applyAlignment="1">
      <alignment horizontal="center" vertical="center"/>
    </xf>
    <xf numFmtId="0" fontId="28" fillId="0" borderId="24" xfId="0" applyFont="1" applyBorder="1" applyAlignment="1">
      <alignment horizontal="center" vertical="center"/>
    </xf>
    <xf numFmtId="0" fontId="19" fillId="0" borderId="9" xfId="51" applyFont="1" applyFill="1" applyBorder="1" applyAlignment="1">
      <alignment horizontal="center" vertical="center" shrinkToFit="1"/>
    </xf>
    <xf numFmtId="0" fontId="120" fillId="0" borderId="10" xfId="51" applyFont="1" applyFill="1" applyBorder="1" applyAlignment="1">
      <alignment vertical="center" shrinkToFit="1"/>
    </xf>
    <xf numFmtId="10" fontId="28" fillId="0" borderId="0" xfId="3" applyNumberFormat="1" applyFont="1" applyFill="1" applyProtection="1">
      <alignment vertical="center"/>
      <protection locked="0"/>
    </xf>
    <xf numFmtId="0" fontId="19" fillId="0" borderId="10" xfId="51" applyFont="1" applyFill="1" applyBorder="1" applyAlignment="1">
      <alignment vertical="center" shrinkToFit="1"/>
    </xf>
    <xf numFmtId="0" fontId="137" fillId="0" borderId="10" xfId="51" applyFont="1" applyFill="1" applyBorder="1" applyAlignment="1">
      <alignment vertical="center" shrinkToFit="1"/>
    </xf>
    <xf numFmtId="43" fontId="28" fillId="31" borderId="10" xfId="1" applyFont="1" applyFill="1" applyBorder="1" applyProtection="1">
      <alignment vertical="center"/>
    </xf>
    <xf numFmtId="43" fontId="72" fillId="0" borderId="0" xfId="1" applyFont="1" applyProtection="1">
      <alignment vertical="center"/>
      <protection locked="0"/>
    </xf>
    <xf numFmtId="179" fontId="0" fillId="0" borderId="0" xfId="0" applyNumberFormat="1" applyProtection="1">
      <alignment vertical="center"/>
      <protection locked="0"/>
    </xf>
    <xf numFmtId="0" fontId="0" fillId="0" borderId="0" xfId="0" applyFont="1" applyProtection="1">
      <alignment vertical="center"/>
      <protection locked="0"/>
    </xf>
    <xf numFmtId="43" fontId="72" fillId="0" borderId="0" xfId="0" applyNumberFormat="1" applyFont="1" applyProtection="1">
      <alignment vertical="center"/>
      <protection locked="0"/>
    </xf>
    <xf numFmtId="43" fontId="0" fillId="0" borderId="0" xfId="0" applyNumberFormat="1" applyFill="1" applyProtection="1">
      <alignment vertical="center"/>
      <protection locked="0"/>
    </xf>
    <xf numFmtId="0" fontId="139" fillId="32" borderId="0" xfId="0" applyFont="1" applyFill="1" applyProtection="1">
      <alignment vertical="center"/>
      <protection locked="0"/>
    </xf>
    <xf numFmtId="43" fontId="139" fillId="32" borderId="0" xfId="1" applyFont="1" applyFill="1" applyProtection="1">
      <alignment vertical="center"/>
      <protection locked="0"/>
    </xf>
    <xf numFmtId="43" fontId="139" fillId="32" borderId="0" xfId="0" applyNumberFormat="1" applyFont="1" applyFill="1" applyProtection="1">
      <alignment vertical="center"/>
      <protection locked="0"/>
    </xf>
    <xf numFmtId="194" fontId="139" fillId="32" borderId="0" xfId="0" applyNumberFormat="1" applyFont="1" applyFill="1" applyProtection="1">
      <alignment vertical="center"/>
      <protection locked="0"/>
    </xf>
    <xf numFmtId="10" fontId="0" fillId="0" borderId="0" xfId="3" applyNumberFormat="1" applyFont="1" applyProtection="1">
      <alignment vertical="center"/>
      <protection locked="0"/>
    </xf>
    <xf numFmtId="0" fontId="139" fillId="0" borderId="0" xfId="0" applyFont="1" applyProtection="1">
      <alignment vertical="center"/>
      <protection locked="0"/>
    </xf>
    <xf numFmtId="43" fontId="72" fillId="0" borderId="0" xfId="1" applyNumberFormat="1" applyFont="1" applyProtection="1">
      <alignment vertical="center"/>
      <protection locked="0"/>
    </xf>
    <xf numFmtId="0" fontId="72" fillId="0" borderId="0" xfId="0" applyFont="1" applyProtection="1">
      <alignment vertical="center"/>
      <protection locked="0"/>
    </xf>
    <xf numFmtId="43" fontId="0" fillId="0" borderId="0" xfId="1" applyNumberFormat="1" applyFont="1" applyProtection="1">
      <alignment vertical="center"/>
      <protection locked="0"/>
    </xf>
    <xf numFmtId="43" fontId="0" fillId="0" borderId="0" xfId="0" applyNumberFormat="1" applyFont="1" applyProtection="1">
      <alignment vertical="center"/>
      <protection locked="0"/>
    </xf>
    <xf numFmtId="0" fontId="140" fillId="0" borderId="0" xfId="0" applyFont="1" applyFill="1" applyAlignment="1" applyProtection="1">
      <alignment horizontal="centerContinuous" vertical="center"/>
    </xf>
    <xf numFmtId="0" fontId="141" fillId="0" borderId="0" xfId="70" applyFont="1" applyBorder="1" applyAlignment="1" applyProtection="1">
      <alignment horizontal="centerContinuous"/>
      <protection hidden="1"/>
    </xf>
    <xf numFmtId="0" fontId="142" fillId="0" borderId="0" xfId="70" applyFont="1" applyBorder="1" applyAlignment="1" applyProtection="1">
      <alignment horizontal="left"/>
      <protection hidden="1"/>
    </xf>
    <xf numFmtId="0" fontId="143" fillId="0" borderId="0" xfId="70" applyFont="1" applyBorder="1" applyAlignment="1" applyProtection="1">
      <alignment horizontal="center"/>
      <protection hidden="1"/>
    </xf>
    <xf numFmtId="0" fontId="144" fillId="0" borderId="0" xfId="70" applyFont="1" applyBorder="1" applyProtection="1">
      <protection hidden="1"/>
    </xf>
    <xf numFmtId="179" fontId="143" fillId="0" borderId="0" xfId="70" applyNumberFormat="1" applyFont="1" applyFill="1" applyBorder="1" applyAlignment="1" applyProtection="1">
      <alignment horizontal="center"/>
      <protection hidden="1"/>
    </xf>
    <xf numFmtId="0" fontId="94" fillId="0" borderId="0" xfId="70" applyFont="1" applyAlignment="1" applyProtection="1">
      <alignment vertical="center"/>
      <protection hidden="1"/>
    </xf>
    <xf numFmtId="0" fontId="92" fillId="0" borderId="0" xfId="70" applyFont="1" applyProtection="1">
      <protection hidden="1"/>
    </xf>
    <xf numFmtId="180" fontId="92" fillId="0" borderId="0" xfId="70" applyNumberFormat="1" applyFont="1" applyBorder="1" applyAlignment="1" applyProtection="1">
      <alignment horizontal="right"/>
      <protection hidden="1"/>
    </xf>
    <xf numFmtId="180" fontId="92" fillId="0" borderId="0" xfId="0" applyNumberFormat="1" applyFont="1" applyFill="1" applyBorder="1" applyAlignment="1" applyProtection="1">
      <alignment horizontal="center" vertical="center"/>
      <protection hidden="1"/>
    </xf>
    <xf numFmtId="0" fontId="92" fillId="0" borderId="11" xfId="70" applyFont="1" applyBorder="1" applyAlignment="1" applyProtection="1">
      <alignment horizontal="center"/>
      <protection hidden="1"/>
    </xf>
    <xf numFmtId="0" fontId="92" fillId="0" borderId="12" xfId="70" applyFont="1" applyBorder="1" applyAlignment="1" applyProtection="1">
      <alignment horizontal="center"/>
      <protection hidden="1"/>
    </xf>
    <xf numFmtId="187" fontId="92" fillId="0" borderId="13" xfId="70" applyNumberFormat="1" applyFont="1" applyBorder="1" applyAlignment="1" applyProtection="1">
      <alignment horizontal="center"/>
      <protection hidden="1"/>
    </xf>
    <xf numFmtId="179" fontId="92" fillId="0" borderId="13" xfId="70" applyNumberFormat="1" applyFont="1" applyBorder="1" applyAlignment="1" applyProtection="1">
      <alignment horizontal="center"/>
      <protection hidden="1"/>
    </xf>
    <xf numFmtId="0" fontId="0" fillId="0" borderId="0" xfId="0" applyBorder="1">
      <alignment vertical="center"/>
    </xf>
    <xf numFmtId="0" fontId="94" fillId="0" borderId="58" xfId="70" applyFont="1" applyBorder="1" applyProtection="1">
      <protection hidden="1"/>
    </xf>
    <xf numFmtId="0" fontId="36" fillId="0" borderId="15" xfId="70" applyFont="1" applyBorder="1" applyAlignment="1" applyProtection="1">
      <alignment horizontal="center"/>
      <protection hidden="1"/>
    </xf>
    <xf numFmtId="179" fontId="36" fillId="0" borderId="16" xfId="70" applyNumberFormat="1" applyFont="1" applyBorder="1" applyProtection="1">
      <protection hidden="1"/>
    </xf>
    <xf numFmtId="0" fontId="36" fillId="0" borderId="58" xfId="70" applyFont="1" applyBorder="1" applyProtection="1">
      <protection hidden="1"/>
    </xf>
    <xf numFmtId="0" fontId="92" fillId="0" borderId="15" xfId="70" applyFont="1" applyBorder="1" applyAlignment="1" applyProtection="1">
      <alignment horizontal="center"/>
      <protection hidden="1"/>
    </xf>
    <xf numFmtId="0" fontId="94" fillId="0" borderId="58" xfId="70" applyFont="1" applyBorder="1" applyAlignment="1" applyProtection="1">
      <alignment horizontal="center"/>
      <protection hidden="1"/>
    </xf>
    <xf numFmtId="179" fontId="145" fillId="0" borderId="16" xfId="70" applyNumberFormat="1" applyFont="1" applyBorder="1" applyProtection="1">
      <protection hidden="1"/>
    </xf>
    <xf numFmtId="0" fontId="36" fillId="0" borderId="58" xfId="70" applyFont="1" applyFill="1" applyBorder="1" applyProtection="1">
      <protection hidden="1"/>
    </xf>
    <xf numFmtId="0" fontId="36" fillId="0" borderId="15" xfId="70" applyFont="1" applyFill="1" applyBorder="1" applyAlignment="1" applyProtection="1">
      <alignment horizontal="center"/>
      <protection hidden="1"/>
    </xf>
    <xf numFmtId="179" fontId="36" fillId="0" borderId="16" xfId="70" applyNumberFormat="1" applyFont="1" applyFill="1" applyBorder="1" applyProtection="1">
      <protection hidden="1"/>
    </xf>
    <xf numFmtId="0" fontId="94" fillId="0" borderId="63" xfId="70" applyFont="1" applyBorder="1" applyProtection="1">
      <protection hidden="1"/>
    </xf>
    <xf numFmtId="0" fontId="92" fillId="0" borderId="18" xfId="70" applyFont="1" applyBorder="1" applyAlignment="1" applyProtection="1">
      <alignment horizontal="center"/>
      <protection hidden="1"/>
    </xf>
    <xf numFmtId="179" fontId="145" fillId="0" borderId="19" xfId="70" applyNumberFormat="1" applyFont="1" applyBorder="1" applyProtection="1">
      <protection hidden="1"/>
    </xf>
    <xf numFmtId="0" fontId="146" fillId="0" borderId="0" xfId="0" applyFont="1" applyFill="1" applyAlignment="1" applyProtection="1">
      <alignment horizontal="centerContinuous" vertical="center"/>
    </xf>
    <xf numFmtId="0" fontId="147" fillId="0" borderId="7" xfId="0" applyNumberFormat="1" applyFont="1" applyFill="1" applyBorder="1" applyAlignment="1" applyProtection="1">
      <alignment horizontal="left" vertical="center"/>
      <protection hidden="1"/>
    </xf>
    <xf numFmtId="179" fontId="148" fillId="0" borderId="7" xfId="0" applyNumberFormat="1" applyFont="1" applyFill="1" applyBorder="1" applyAlignment="1" applyProtection="1">
      <alignment horizontal="left" vertical="center"/>
      <protection hidden="1"/>
    </xf>
    <xf numFmtId="180" fontId="149" fillId="0" borderId="0" xfId="0" applyNumberFormat="1" applyFont="1" applyFill="1" applyBorder="1" applyAlignment="1" applyProtection="1">
      <alignment horizontal="right" vertical="center"/>
      <protection hidden="1"/>
    </xf>
    <xf numFmtId="180" fontId="149" fillId="0" borderId="0" xfId="0" applyNumberFormat="1" applyFont="1" applyFill="1" applyBorder="1" applyAlignment="1" applyProtection="1">
      <alignment horizontal="center" vertical="center"/>
      <protection hidden="1"/>
    </xf>
    <xf numFmtId="0" fontId="147" fillId="0" borderId="11" xfId="0" applyNumberFormat="1" applyFont="1" applyFill="1" applyBorder="1" applyAlignment="1" applyProtection="1">
      <alignment horizontal="center" vertical="center"/>
      <protection locked="0" hidden="1"/>
    </xf>
    <xf numFmtId="49" fontId="147" fillId="0" borderId="12" xfId="0" applyNumberFormat="1" applyFont="1" applyFill="1" applyBorder="1" applyAlignment="1" applyProtection="1">
      <alignment horizontal="center" vertical="center"/>
      <protection locked="0" hidden="1"/>
    </xf>
    <xf numFmtId="181" fontId="147" fillId="0" borderId="13" xfId="0" applyNumberFormat="1" applyFont="1" applyFill="1" applyBorder="1" applyAlignment="1" applyProtection="1">
      <alignment horizontal="center" vertical="center"/>
      <protection locked="0" hidden="1"/>
    </xf>
    <xf numFmtId="179" fontId="147" fillId="0" borderId="13" xfId="0" applyNumberFormat="1" applyFont="1" applyFill="1" applyBorder="1" applyAlignment="1" applyProtection="1">
      <alignment horizontal="center" vertical="center"/>
      <protection locked="0" hidden="1"/>
    </xf>
    <xf numFmtId="0" fontId="147" fillId="0" borderId="63" xfId="0" applyNumberFormat="1" applyFont="1" applyFill="1" applyBorder="1" applyAlignment="1" applyProtection="1">
      <alignment horizontal="center" vertical="center"/>
      <protection locked="0" hidden="1"/>
    </xf>
    <xf numFmtId="49" fontId="147" fillId="0" borderId="18" xfId="0" applyNumberFormat="1" applyFont="1" applyFill="1" applyBorder="1" applyAlignment="1" applyProtection="1">
      <alignment horizontal="center" vertical="center"/>
      <protection locked="0" hidden="1"/>
    </xf>
    <xf numFmtId="181" fontId="147" fillId="0" borderId="19" xfId="0" applyNumberFormat="1" applyFont="1" applyFill="1" applyBorder="1" applyAlignment="1" applyProtection="1">
      <alignment horizontal="center" vertical="center"/>
      <protection locked="0" hidden="1"/>
    </xf>
    <xf numFmtId="179" fontId="147" fillId="0" borderId="19" xfId="0" applyNumberFormat="1" applyFont="1" applyFill="1" applyBorder="1" applyAlignment="1" applyProtection="1">
      <alignment horizontal="center" vertical="center"/>
      <protection locked="0" hidden="1"/>
    </xf>
    <xf numFmtId="0" fontId="147" fillId="0" borderId="14" xfId="0" applyNumberFormat="1" applyFont="1" applyFill="1" applyBorder="1" applyAlignment="1" applyProtection="1">
      <protection hidden="1"/>
    </xf>
    <xf numFmtId="49" fontId="147" fillId="0" borderId="15" xfId="1" applyNumberFormat="1" applyFont="1" applyFill="1" applyBorder="1" applyAlignment="1" applyProtection="1">
      <alignment horizontal="center"/>
      <protection locked="0" hidden="1"/>
    </xf>
    <xf numFmtId="179" fontId="150" fillId="0" borderId="16" xfId="1" applyNumberFormat="1" applyFont="1" applyFill="1" applyBorder="1" applyAlignment="1" applyProtection="1">
      <alignment shrinkToFit="1"/>
      <protection locked="0" hidden="1"/>
    </xf>
    <xf numFmtId="0" fontId="151" fillId="0" borderId="0" xfId="0" applyFont="1">
      <alignment vertical="center"/>
    </xf>
    <xf numFmtId="0" fontId="149" fillId="0" borderId="14" xfId="0" applyNumberFormat="1" applyFont="1" applyFill="1" applyBorder="1" applyAlignment="1" applyProtection="1">
      <protection hidden="1"/>
    </xf>
    <xf numFmtId="179" fontId="152" fillId="0" borderId="16" xfId="1" applyNumberFormat="1" applyFont="1" applyFill="1" applyBorder="1" applyAlignment="1" applyProtection="1">
      <alignment shrinkToFit="1"/>
      <protection locked="0" hidden="1"/>
    </xf>
    <xf numFmtId="49" fontId="149" fillId="0" borderId="15" xfId="1" applyNumberFormat="1" applyFont="1" applyFill="1" applyBorder="1" applyAlignment="1" applyProtection="1">
      <alignment horizontal="center"/>
      <protection locked="0"/>
    </xf>
    <xf numFmtId="179" fontId="152" fillId="0" borderId="16" xfId="1" applyNumberFormat="1" applyFont="1" applyFill="1" applyBorder="1" applyAlignment="1" applyProtection="1">
      <alignment shrinkToFit="1"/>
      <protection locked="0"/>
    </xf>
    <xf numFmtId="49" fontId="147" fillId="0" borderId="15" xfId="1" applyNumberFormat="1" applyFont="1" applyFill="1" applyBorder="1" applyAlignment="1" applyProtection="1">
      <alignment horizontal="center"/>
      <protection locked="0"/>
    </xf>
    <xf numFmtId="179" fontId="150" fillId="0" borderId="16" xfId="1" applyNumberFormat="1" applyFont="1" applyFill="1" applyBorder="1" applyAlignment="1" applyProtection="1">
      <alignment shrinkToFit="1"/>
    </xf>
    <xf numFmtId="49" fontId="149" fillId="0" borderId="15" xfId="1" applyNumberFormat="1" applyFont="1" applyFill="1" applyBorder="1" applyAlignment="1" applyProtection="1">
      <alignment horizontal="center"/>
      <protection locked="0" hidden="1"/>
    </xf>
    <xf numFmtId="179" fontId="152" fillId="0" borderId="16" xfId="1" applyNumberFormat="1" applyFont="1" applyFill="1" applyBorder="1" applyAlignment="1" applyProtection="1">
      <alignment shrinkToFit="1"/>
      <protection hidden="1"/>
    </xf>
    <xf numFmtId="179" fontId="152" fillId="0" borderId="16" xfId="1" applyNumberFormat="1" applyFont="1" applyFill="1" applyBorder="1" applyAlignment="1" applyProtection="1">
      <alignment shrinkToFit="1"/>
    </xf>
    <xf numFmtId="0" fontId="149" fillId="0" borderId="17" xfId="0" applyNumberFormat="1" applyFont="1" applyFill="1" applyBorder="1" applyAlignment="1" applyProtection="1">
      <protection hidden="1"/>
    </xf>
    <xf numFmtId="49" fontId="149" fillId="0" borderId="18" xfId="1" applyNumberFormat="1" applyFont="1" applyFill="1" applyBorder="1" applyAlignment="1" applyProtection="1">
      <alignment horizontal="center"/>
      <protection locked="0"/>
    </xf>
    <xf numFmtId="179" fontId="152" fillId="0" borderId="19" xfId="1" applyNumberFormat="1" applyFont="1" applyFill="1" applyBorder="1" applyAlignment="1" applyProtection="1">
      <alignment shrinkToFit="1"/>
      <protection locked="0"/>
    </xf>
    <xf numFmtId="49" fontId="147" fillId="0" borderId="20" xfId="1" applyNumberFormat="1" applyFont="1" applyFill="1" applyBorder="1" applyAlignment="1" applyProtection="1">
      <alignment horizontal="center"/>
      <protection locked="0"/>
    </xf>
    <xf numFmtId="179" fontId="150" fillId="0" borderId="21" xfId="1" applyNumberFormat="1" applyFont="1" applyFill="1" applyBorder="1" applyAlignment="1" applyProtection="1">
      <alignment shrinkToFit="1"/>
    </xf>
    <xf numFmtId="179" fontId="150" fillId="0" borderId="16" xfId="1" applyNumberFormat="1" applyFont="1" applyFill="1" applyBorder="1" applyAlignment="1" applyProtection="1">
      <alignment shrinkToFit="1"/>
      <protection locked="0"/>
    </xf>
    <xf numFmtId="49" fontId="149" fillId="0" borderId="22" xfId="1" applyNumberFormat="1" applyFont="1" applyFill="1" applyBorder="1" applyAlignment="1" applyProtection="1">
      <alignment horizontal="center"/>
      <protection locked="0" hidden="1"/>
    </xf>
    <xf numFmtId="179" fontId="152" fillId="0" borderId="23" xfId="1" applyNumberFormat="1" applyFont="1" applyFill="1" applyBorder="1" applyAlignment="1" applyProtection="1">
      <alignment shrinkToFit="1"/>
      <protection locked="0" hidden="1"/>
    </xf>
    <xf numFmtId="179" fontId="152" fillId="0" borderId="19" xfId="1" applyNumberFormat="1" applyFont="1" applyFill="1" applyBorder="1" applyAlignment="1" applyProtection="1">
      <alignment shrinkToFit="1"/>
      <protection locked="0" hidden="1"/>
    </xf>
    <xf numFmtId="179" fontId="0" fillId="0" borderId="0" xfId="0" applyNumberFormat="1" applyBorder="1">
      <alignment vertical="center"/>
    </xf>
    <xf numFmtId="180" fontId="153" fillId="0" borderId="0" xfId="0" applyNumberFormat="1" applyFont="1" applyFill="1" applyBorder="1" applyAlignment="1" applyProtection="1">
      <alignment horizontal="left" vertical="center" shrinkToFit="1"/>
    </xf>
    <xf numFmtId="0" fontId="154" fillId="0" borderId="0" xfId="0" applyFont="1" applyFill="1" applyAlignment="1" applyProtection="1">
      <alignment vertical="center"/>
    </xf>
    <xf numFmtId="180" fontId="154" fillId="0" borderId="0" xfId="0" applyNumberFormat="1" applyFont="1" applyFill="1" applyBorder="1" applyAlignment="1" applyProtection="1">
      <alignment vertical="center"/>
    </xf>
    <xf numFmtId="179" fontId="154" fillId="0" borderId="0" xfId="0" applyNumberFormat="1" applyFont="1" applyFill="1" applyBorder="1" applyAlignment="1" applyProtection="1">
      <alignment vertical="center"/>
    </xf>
    <xf numFmtId="43" fontId="155" fillId="0" borderId="0" xfId="0" applyNumberFormat="1" applyFont="1" applyFill="1" applyBorder="1" applyAlignment="1" applyProtection="1">
      <alignment horizontal="left" vertical="center"/>
    </xf>
    <xf numFmtId="180" fontId="156" fillId="0" borderId="0" xfId="0" applyNumberFormat="1" applyFont="1" applyFill="1" applyBorder="1" applyAlignment="1" applyProtection="1">
      <alignment horizontal="center" vertical="center"/>
    </xf>
    <xf numFmtId="0" fontId="155" fillId="0" borderId="0" xfId="0" applyNumberFormat="1" applyFont="1" applyFill="1" applyBorder="1" applyAlignment="1" applyProtection="1">
      <alignment vertical="center"/>
    </xf>
    <xf numFmtId="43" fontId="10" fillId="0" borderId="11" xfId="0" applyNumberFormat="1" applyFont="1" applyFill="1" applyBorder="1" applyAlignment="1" applyProtection="1">
      <alignment horizontal="center" vertical="center"/>
    </xf>
    <xf numFmtId="49" fontId="10" fillId="0" borderId="12" xfId="0" applyNumberFormat="1" applyFont="1" applyFill="1" applyBorder="1" applyAlignment="1" applyProtection="1">
      <alignment horizontal="center" vertical="center"/>
    </xf>
    <xf numFmtId="180" fontId="155" fillId="0" borderId="12" xfId="0" applyNumberFormat="1" applyFont="1" applyFill="1" applyBorder="1" applyAlignment="1" applyProtection="1">
      <alignment horizontal="center" vertical="center"/>
    </xf>
    <xf numFmtId="180" fontId="155" fillId="0" borderId="13" xfId="0" applyNumberFormat="1" applyFont="1" applyFill="1" applyBorder="1" applyAlignment="1" applyProtection="1">
      <alignment horizontal="center" vertical="center"/>
    </xf>
    <xf numFmtId="43" fontId="10" fillId="0" borderId="64" xfId="0" applyNumberFormat="1" applyFont="1" applyFill="1" applyBorder="1" applyAlignment="1" applyProtection="1">
      <alignment horizontal="center" vertical="center"/>
    </xf>
    <xf numFmtId="49" fontId="10" fillId="0" borderId="65" xfId="0" applyNumberFormat="1" applyFont="1" applyFill="1" applyBorder="1" applyAlignment="1" applyProtection="1">
      <alignment horizontal="center" vertical="center"/>
    </xf>
    <xf numFmtId="180" fontId="155" fillId="0" borderId="65" xfId="0" applyNumberFormat="1" applyFont="1" applyFill="1" applyBorder="1" applyAlignment="1" applyProtection="1">
      <alignment horizontal="center" vertical="center"/>
    </xf>
    <xf numFmtId="180" fontId="155" fillId="0" borderId="66" xfId="0" applyNumberFormat="1" applyFont="1" applyFill="1" applyBorder="1" applyAlignment="1" applyProtection="1">
      <alignment horizontal="center" vertical="center"/>
    </xf>
    <xf numFmtId="43" fontId="10" fillId="0" borderId="63" xfId="0" applyNumberFormat="1" applyFont="1" applyFill="1" applyBorder="1" applyAlignment="1" applyProtection="1">
      <alignment horizontal="center" vertical="center"/>
    </xf>
    <xf numFmtId="49" fontId="10" fillId="0" borderId="18" xfId="0" applyNumberFormat="1" applyFont="1" applyFill="1" applyBorder="1" applyAlignment="1" applyProtection="1">
      <alignment horizontal="center" vertical="center"/>
    </xf>
    <xf numFmtId="180" fontId="155" fillId="0" borderId="18" xfId="0" applyNumberFormat="1" applyFont="1" applyFill="1" applyBorder="1" applyAlignment="1" applyProtection="1">
      <alignment horizontal="center" vertical="center"/>
    </xf>
    <xf numFmtId="180" fontId="155" fillId="0" borderId="19" xfId="0" applyNumberFormat="1" applyFont="1" applyFill="1" applyBorder="1" applyAlignment="1" applyProtection="1">
      <alignment horizontal="center" vertical="center"/>
    </xf>
    <xf numFmtId="0" fontId="10" fillId="0" borderId="14" xfId="0" applyFont="1" applyFill="1" applyBorder="1" applyAlignment="1" applyProtection="1">
      <alignment shrinkToFit="1"/>
    </xf>
    <xf numFmtId="49" fontId="10" fillId="0" borderId="20" xfId="0" applyNumberFormat="1" applyFont="1" applyFill="1" applyBorder="1" applyAlignment="1" applyProtection="1">
      <alignment horizontal="center" shrinkToFit="1"/>
    </xf>
    <xf numFmtId="179" fontId="157" fillId="0" borderId="20" xfId="0" applyNumberFormat="1" applyFont="1" applyFill="1" applyBorder="1" applyAlignment="1" applyProtection="1">
      <alignment shrinkToFit="1"/>
    </xf>
    <xf numFmtId="179" fontId="157" fillId="0" borderId="21" xfId="0" applyNumberFormat="1" applyFont="1" applyFill="1" applyBorder="1" applyAlignment="1" applyProtection="1">
      <alignment shrinkToFit="1"/>
    </xf>
    <xf numFmtId="179" fontId="158" fillId="0" borderId="14" xfId="0" applyNumberFormat="1" applyFont="1" applyFill="1" applyBorder="1" applyAlignment="1" applyProtection="1">
      <alignment shrinkToFit="1"/>
    </xf>
    <xf numFmtId="179" fontId="158" fillId="0" borderId="15" xfId="0" applyNumberFormat="1" applyFont="1" applyFill="1" applyBorder="1" applyAlignment="1" applyProtection="1">
      <alignment horizontal="center" shrinkToFit="1"/>
    </xf>
    <xf numFmtId="179" fontId="159" fillId="0" borderId="15" xfId="1" applyNumberFormat="1" applyFont="1" applyFill="1" applyBorder="1" applyAlignment="1" applyProtection="1">
      <alignment shrinkToFit="1"/>
    </xf>
    <xf numFmtId="179" fontId="159" fillId="0" borderId="16" xfId="1" applyNumberFormat="1" applyFont="1" applyFill="1" applyBorder="1" applyAlignment="1" applyProtection="1">
      <alignment shrinkToFit="1"/>
    </xf>
    <xf numFmtId="179" fontId="10" fillId="0" borderId="14" xfId="0" applyNumberFormat="1" applyFont="1" applyFill="1" applyBorder="1" applyAlignment="1" applyProtection="1">
      <alignment shrinkToFit="1"/>
    </xf>
    <xf numFmtId="179" fontId="10" fillId="0" borderId="15" xfId="0" applyNumberFormat="1" applyFont="1" applyFill="1" applyBorder="1" applyAlignment="1" applyProtection="1">
      <alignment horizontal="center" shrinkToFit="1"/>
    </xf>
    <xf numFmtId="179" fontId="157" fillId="0" borderId="16" xfId="1" applyNumberFormat="1" applyFont="1" applyFill="1" applyBorder="1" applyAlignment="1" applyProtection="1">
      <alignment shrinkToFit="1"/>
    </xf>
    <xf numFmtId="179" fontId="10" fillId="0" borderId="64" xfId="0" applyNumberFormat="1" applyFont="1" applyFill="1" applyBorder="1" applyAlignment="1" applyProtection="1">
      <alignment shrinkToFit="1"/>
    </xf>
    <xf numFmtId="179" fontId="10" fillId="0" borderId="22" xfId="0" applyNumberFormat="1" applyFont="1" applyFill="1" applyBorder="1" applyAlignment="1" applyProtection="1">
      <alignment shrinkToFit="1"/>
    </xf>
    <xf numFmtId="179" fontId="157" fillId="0" borderId="22" xfId="1" applyNumberFormat="1" applyFont="1" applyFill="1" applyBorder="1" applyAlignment="1" applyProtection="1">
      <alignment shrinkToFit="1"/>
    </xf>
    <xf numFmtId="179" fontId="157" fillId="0" borderId="23" xfId="1" applyNumberFormat="1" applyFont="1" applyFill="1" applyBorder="1" applyAlignment="1" applyProtection="1">
      <alignment shrinkToFit="1"/>
    </xf>
    <xf numFmtId="179" fontId="10" fillId="0" borderId="67" xfId="0" applyNumberFormat="1" applyFont="1" applyFill="1" applyBorder="1" applyAlignment="1" applyProtection="1">
      <alignment shrinkToFit="1"/>
    </xf>
    <xf numFmtId="179" fontId="10" fillId="0" borderId="68" xfId="0" applyNumberFormat="1" applyFont="1" applyFill="1" applyBorder="1" applyAlignment="1" applyProtection="1">
      <alignment shrinkToFit="1"/>
    </xf>
    <xf numFmtId="179" fontId="157" fillId="0" borderId="69" xfId="1" applyNumberFormat="1" applyFont="1" applyFill="1" applyBorder="1" applyAlignment="1" applyProtection="1">
      <alignment shrinkToFit="1"/>
    </xf>
    <xf numFmtId="179" fontId="10" fillId="0" borderId="0" xfId="0" applyNumberFormat="1" applyFont="1" applyFill="1" applyBorder="1" applyAlignment="1" applyProtection="1">
      <alignment shrinkToFit="1"/>
    </xf>
    <xf numFmtId="179" fontId="157" fillId="0" borderId="0" xfId="1" applyNumberFormat="1" applyFont="1" applyFill="1" applyBorder="1" applyAlignment="1" applyProtection="1">
      <alignment shrinkToFit="1"/>
    </xf>
    <xf numFmtId="179" fontId="160" fillId="0" borderId="0" xfId="0" applyNumberFormat="1" applyFont="1" applyFill="1" applyAlignment="1" applyProtection="1">
      <alignment horizontal="centerContinuous" vertical="center"/>
    </xf>
    <xf numFmtId="179" fontId="158" fillId="0" borderId="0" xfId="0" applyNumberFormat="1" applyFont="1" applyFill="1" applyAlignment="1" applyProtection="1">
      <alignment vertical="center"/>
    </xf>
    <xf numFmtId="179" fontId="158" fillId="0" borderId="0" xfId="0" applyNumberFormat="1" applyFont="1" applyFill="1" applyBorder="1" applyAlignment="1" applyProtection="1">
      <alignment vertical="center"/>
    </xf>
    <xf numFmtId="179" fontId="10" fillId="0" borderId="0" xfId="0" applyNumberFormat="1" applyFont="1" applyFill="1" applyBorder="1" applyAlignment="1" applyProtection="1">
      <alignment horizontal="left" vertical="center"/>
    </xf>
    <xf numFmtId="179" fontId="10" fillId="0" borderId="0" xfId="0" applyNumberFormat="1" applyFont="1" applyFill="1" applyBorder="1" applyAlignment="1" applyProtection="1">
      <alignment vertical="center"/>
    </xf>
    <xf numFmtId="179" fontId="10" fillId="0" borderId="0" xfId="0" applyNumberFormat="1" applyFont="1" applyFill="1" applyBorder="1" applyAlignment="1" applyProtection="1">
      <alignment horizontal="right" vertical="center"/>
    </xf>
    <xf numFmtId="179" fontId="10" fillId="0" borderId="11" xfId="0" applyNumberFormat="1" applyFont="1" applyFill="1" applyBorder="1" applyAlignment="1" applyProtection="1">
      <alignment horizontal="center" vertical="center"/>
    </xf>
    <xf numFmtId="179" fontId="10" fillId="0" borderId="12" xfId="0" applyNumberFormat="1" applyFont="1" applyFill="1" applyBorder="1" applyAlignment="1" applyProtection="1">
      <alignment horizontal="center" vertical="center"/>
    </xf>
    <xf numFmtId="180" fontId="10" fillId="0" borderId="12" xfId="0" applyNumberFormat="1" applyFont="1" applyFill="1" applyBorder="1" applyAlignment="1" applyProtection="1">
      <alignment horizontal="center" vertical="center"/>
    </xf>
    <xf numFmtId="180" fontId="10" fillId="0" borderId="13" xfId="0" applyNumberFormat="1" applyFont="1" applyFill="1" applyBorder="1" applyAlignment="1" applyProtection="1">
      <alignment horizontal="center" vertical="center"/>
    </xf>
    <xf numFmtId="179" fontId="10" fillId="0" borderId="64" xfId="0" applyNumberFormat="1" applyFont="1" applyFill="1" applyBorder="1" applyAlignment="1" applyProtection="1">
      <alignment horizontal="center" vertical="center"/>
    </xf>
    <xf numFmtId="179" fontId="10" fillId="0" borderId="65" xfId="0" applyNumberFormat="1" applyFont="1" applyFill="1" applyBorder="1" applyAlignment="1" applyProtection="1">
      <alignment horizontal="center" vertical="center"/>
    </xf>
    <xf numFmtId="180" fontId="10" fillId="0" borderId="65" xfId="0" applyNumberFormat="1" applyFont="1" applyFill="1" applyBorder="1" applyAlignment="1" applyProtection="1">
      <alignment horizontal="center" vertical="center"/>
    </xf>
    <xf numFmtId="180" fontId="10" fillId="0" borderId="66" xfId="0" applyNumberFormat="1" applyFont="1" applyFill="1" applyBorder="1" applyAlignment="1" applyProtection="1">
      <alignment horizontal="center" vertical="center"/>
    </xf>
    <xf numFmtId="179" fontId="10" fillId="0" borderId="63" xfId="0" applyNumberFormat="1" applyFont="1" applyFill="1" applyBorder="1" applyAlignment="1" applyProtection="1">
      <alignment horizontal="center" vertical="center"/>
    </xf>
    <xf numFmtId="179" fontId="10" fillId="0" borderId="18" xfId="0" applyNumberFormat="1" applyFont="1" applyFill="1" applyBorder="1" applyAlignment="1" applyProtection="1">
      <alignment horizontal="center" vertical="center"/>
    </xf>
    <xf numFmtId="180" fontId="10" fillId="0" borderId="18" xfId="0" applyNumberFormat="1" applyFont="1" applyFill="1" applyBorder="1" applyAlignment="1" applyProtection="1">
      <alignment horizontal="center" vertical="center"/>
    </xf>
    <xf numFmtId="180" fontId="10" fillId="0" borderId="19" xfId="0" applyNumberFormat="1" applyFont="1" applyFill="1" applyBorder="1" applyAlignment="1" applyProtection="1">
      <alignment horizontal="center" vertical="center"/>
    </xf>
    <xf numFmtId="179" fontId="10" fillId="0" borderId="20" xfId="0" applyNumberFormat="1" applyFont="1" applyFill="1" applyBorder="1" applyAlignment="1" applyProtection="1">
      <alignment horizontal="center" shrinkToFit="1"/>
    </xf>
    <xf numFmtId="179" fontId="157" fillId="0" borderId="15" xfId="1" applyNumberFormat="1" applyFont="1" applyFill="1" applyBorder="1" applyAlignment="1" applyProtection="1">
      <alignment shrinkToFit="1"/>
    </xf>
    <xf numFmtId="49" fontId="161" fillId="0" borderId="0" xfId="0" applyNumberFormat="1" applyFont="1" applyFill="1" applyBorder="1" applyAlignment="1">
      <alignment horizontal="centerContinuous" vertical="center"/>
    </xf>
    <xf numFmtId="49" fontId="162" fillId="0" borderId="0" xfId="0" applyNumberFormat="1" applyFont="1" applyFill="1" applyBorder="1" applyAlignment="1">
      <alignment horizontal="centerContinuous" vertical="center"/>
    </xf>
    <xf numFmtId="10" fontId="86" fillId="0" borderId="0" xfId="3" applyNumberFormat="1" applyFont="1" applyFill="1" applyAlignment="1">
      <alignment vertical="center"/>
    </xf>
    <xf numFmtId="10" fontId="86" fillId="0" borderId="0" xfId="3" applyNumberFormat="1" applyFont="1" applyFill="1" applyAlignment="1">
      <alignment horizontal="center" vertical="center"/>
    </xf>
    <xf numFmtId="10" fontId="127" fillId="0" borderId="0" xfId="53" applyNumberFormat="1" applyFont="1" applyFill="1" applyAlignment="1">
      <alignment horizontal="center" vertical="center"/>
    </xf>
    <xf numFmtId="43" fontId="163" fillId="14" borderId="8" xfId="1" applyFont="1" applyFill="1" applyBorder="1" applyAlignment="1">
      <alignment horizontal="center" vertical="center"/>
    </xf>
    <xf numFmtId="43" fontId="164" fillId="0" borderId="0" xfId="0" applyNumberFormat="1" applyFont="1" applyFill="1" applyAlignment="1">
      <alignment vertical="center"/>
    </xf>
    <xf numFmtId="0" fontId="83" fillId="3" borderId="0" xfId="0" applyFont="1" applyFill="1" applyAlignment="1">
      <alignment horizontal="center" vertical="center"/>
    </xf>
    <xf numFmtId="0" fontId="132" fillId="21" borderId="0" xfId="0" applyFont="1" applyFill="1" applyAlignment="1">
      <alignment vertical="center"/>
    </xf>
    <xf numFmtId="0" fontId="83" fillId="21" borderId="0" xfId="0" applyFont="1" applyFill="1" applyAlignment="1">
      <alignment vertical="center"/>
    </xf>
    <xf numFmtId="0" fontId="165" fillId="0" borderId="0" xfId="53" applyFont="1" applyFill="1" applyAlignment="1">
      <alignment horizontal="left" vertical="center"/>
    </xf>
    <xf numFmtId="43" fontId="85" fillId="0" borderId="0" xfId="0" applyNumberFormat="1" applyFont="1" applyFill="1" applyAlignment="1">
      <alignment vertical="center"/>
    </xf>
    <xf numFmtId="43" fontId="83" fillId="0" borderId="0" xfId="0" applyNumberFormat="1" applyFont="1" applyFill="1" applyAlignment="1">
      <alignment vertical="center"/>
    </xf>
    <xf numFmtId="43" fontId="165" fillId="0" borderId="0" xfId="53" applyNumberFormat="1" applyFont="1" applyFill="1">
      <alignment vertical="center"/>
    </xf>
    <xf numFmtId="43" fontId="166" fillId="0" borderId="0" xfId="53" applyNumberFormat="1" applyFont="1" applyFill="1">
      <alignment vertical="center"/>
    </xf>
    <xf numFmtId="0" fontId="132" fillId="0" borderId="0" xfId="53" applyFont="1" applyFill="1">
      <alignment vertical="center"/>
    </xf>
    <xf numFmtId="0" fontId="36" fillId="0" borderId="0" xfId="53" applyFont="1" applyFill="1">
      <alignment vertical="center"/>
    </xf>
    <xf numFmtId="43" fontId="165" fillId="0" borderId="10" xfId="53" applyNumberFormat="1" applyFont="1" applyFill="1" applyBorder="1">
      <alignment vertical="center"/>
    </xf>
    <xf numFmtId="0" fontId="165" fillId="0" borderId="0" xfId="53" applyFont="1" applyFill="1">
      <alignment vertical="center"/>
    </xf>
    <xf numFmtId="43" fontId="36" fillId="0" borderId="0" xfId="53" applyNumberFormat="1" applyFont="1" applyFill="1">
      <alignment vertical="center"/>
    </xf>
    <xf numFmtId="0" fontId="167" fillId="0" borderId="0" xfId="53" applyFont="1" applyFill="1">
      <alignment vertical="center"/>
    </xf>
    <xf numFmtId="0" fontId="168" fillId="0" borderId="0" xfId="0" applyFont="1" applyBorder="1">
      <alignment vertical="center"/>
    </xf>
    <xf numFmtId="43" fontId="165" fillId="0" borderId="0" xfId="53" applyNumberFormat="1" applyFont="1" applyFill="1" applyBorder="1">
      <alignment vertical="center"/>
    </xf>
    <xf numFmtId="0" fontId="132" fillId="0" borderId="0" xfId="53" applyFont="1" applyFill="1" applyBorder="1">
      <alignment vertical="center"/>
    </xf>
    <xf numFmtId="0" fontId="43" fillId="3" borderId="44" xfId="0" applyFont="1" applyFill="1" applyBorder="1" applyAlignment="1">
      <alignment horizontal="left" vertical="center"/>
    </xf>
    <xf numFmtId="0" fontId="83" fillId="0" borderId="0" xfId="0" applyFont="1" applyFill="1" applyBorder="1" applyAlignment="1">
      <alignment vertical="center"/>
    </xf>
    <xf numFmtId="0" fontId="167" fillId="0" borderId="44" xfId="0" applyFont="1" applyFill="1" applyBorder="1" applyAlignment="1">
      <alignment horizontal="left" vertical="center"/>
    </xf>
    <xf numFmtId="0" fontId="83" fillId="0" borderId="0" xfId="0" applyFont="1" applyFill="1" applyAlignment="1">
      <alignment horizontal="center" vertical="center"/>
    </xf>
    <xf numFmtId="0" fontId="19" fillId="0" borderId="0" xfId="61"/>
    <xf numFmtId="2" fontId="169" fillId="0" borderId="0" xfId="61" applyNumberFormat="1" applyFont="1" applyBorder="1" applyAlignment="1">
      <alignment horizontal="center" vertical="center"/>
    </xf>
    <xf numFmtId="2" fontId="170" fillId="0" borderId="0" xfId="61" applyNumberFormat="1" applyFont="1" applyBorder="1" applyAlignment="1">
      <alignment horizontal="right" vertical="center"/>
    </xf>
    <xf numFmtId="2" fontId="170" fillId="0" borderId="0" xfId="61" applyNumberFormat="1" applyFont="1" applyBorder="1" applyAlignment="1">
      <alignment horizontal="left" vertical="center"/>
    </xf>
    <xf numFmtId="2" fontId="170" fillId="0" borderId="0" xfId="61" applyNumberFormat="1" applyFont="1" applyBorder="1" applyAlignment="1">
      <alignment horizontal="center" vertical="center"/>
    </xf>
    <xf numFmtId="178" fontId="93" fillId="0" borderId="0" xfId="61" applyNumberFormat="1" applyFont="1"/>
    <xf numFmtId="2" fontId="171" fillId="16" borderId="70" xfId="61" applyNumberFormat="1" applyFont="1" applyFill="1" applyBorder="1" applyAlignment="1">
      <alignment horizontal="center" vertical="center"/>
    </xf>
    <xf numFmtId="2" fontId="171" fillId="16" borderId="71" xfId="61" applyNumberFormat="1" applyFont="1" applyFill="1" applyBorder="1" applyAlignment="1">
      <alignment horizontal="center" vertical="center"/>
    </xf>
    <xf numFmtId="2" fontId="172" fillId="16" borderId="48" xfId="61" applyNumberFormat="1" applyFont="1" applyFill="1" applyBorder="1" applyAlignment="1">
      <alignment horizontal="left" vertical="center"/>
    </xf>
    <xf numFmtId="2" fontId="171" fillId="16" borderId="48" xfId="61" applyNumberFormat="1" applyFont="1" applyFill="1" applyBorder="1" applyAlignment="1">
      <alignment horizontal="center" vertical="center"/>
    </xf>
    <xf numFmtId="2" fontId="173" fillId="0" borderId="48" xfId="61" applyNumberFormat="1" applyFont="1" applyBorder="1" applyAlignment="1">
      <alignment horizontal="center" vertical="center"/>
    </xf>
    <xf numFmtId="2" fontId="173" fillId="16" borderId="48" xfId="61" applyNumberFormat="1" applyFont="1" applyFill="1" applyBorder="1" applyAlignment="1">
      <alignment horizontal="left" vertical="center"/>
    </xf>
    <xf numFmtId="4" fontId="173" fillId="0" borderId="48" xfId="61" applyNumberFormat="1" applyFont="1" applyBorder="1" applyAlignment="1">
      <alignment horizontal="right" vertical="center"/>
    </xf>
    <xf numFmtId="2" fontId="172" fillId="16" borderId="48" xfId="61" applyNumberFormat="1" applyFont="1" applyFill="1" applyBorder="1" applyAlignment="1">
      <alignment horizontal="center" vertical="center"/>
    </xf>
    <xf numFmtId="4" fontId="173" fillId="0" borderId="72" xfId="61" applyNumberFormat="1" applyFont="1" applyBorder="1" applyAlignment="1">
      <alignment horizontal="right" vertical="center"/>
    </xf>
    <xf numFmtId="179" fontId="173" fillId="0" borderId="48" xfId="61" applyNumberFormat="1" applyFont="1" applyBorder="1" applyAlignment="1">
      <alignment horizontal="right" vertical="center"/>
    </xf>
    <xf numFmtId="4" fontId="173" fillId="0" borderId="48" xfId="61" applyNumberFormat="1" applyFont="1" applyBorder="1" applyAlignment="1">
      <alignment vertical="center"/>
    </xf>
    <xf numFmtId="2" fontId="173" fillId="16" borderId="73" xfId="61" applyNumberFormat="1" applyFont="1" applyFill="1" applyBorder="1" applyAlignment="1">
      <alignment horizontal="left" vertical="center"/>
    </xf>
    <xf numFmtId="2" fontId="171" fillId="16" borderId="73" xfId="61" applyNumberFormat="1" applyFont="1" applyFill="1" applyBorder="1" applyAlignment="1">
      <alignment horizontal="center" vertical="center"/>
    </xf>
    <xf numFmtId="2" fontId="174" fillId="16" borderId="73" xfId="61" applyNumberFormat="1" applyFont="1" applyFill="1" applyBorder="1" applyAlignment="1">
      <alignment horizontal="left" vertical="center"/>
    </xf>
    <xf numFmtId="2" fontId="171" fillId="0" borderId="73" xfId="61" applyNumberFormat="1" applyFont="1" applyBorder="1" applyAlignment="1">
      <alignment horizontal="center" vertical="center"/>
    </xf>
    <xf numFmtId="2" fontId="171" fillId="0" borderId="74" xfId="61" applyNumberFormat="1" applyFont="1" applyBorder="1" applyAlignment="1">
      <alignment horizontal="center" vertical="center"/>
    </xf>
    <xf numFmtId="199" fontId="0" fillId="0" borderId="0" xfId="0" applyNumberFormat="1" applyFill="1" applyAlignment="1"/>
    <xf numFmtId="43" fontId="0" fillId="0" borderId="0" xfId="1" applyFont="1" applyFill="1" applyAlignment="1"/>
    <xf numFmtId="0" fontId="0" fillId="0" borderId="0" xfId="0" applyFill="1" applyAlignment="1">
      <alignment horizontal="right"/>
    </xf>
    <xf numFmtId="0" fontId="36" fillId="0" borderId="0" xfId="52" applyFont="1" applyFill="1">
      <alignment vertical="center"/>
    </xf>
    <xf numFmtId="43" fontId="36" fillId="0" borderId="0" xfId="1" applyFont="1" applyFill="1" applyAlignment="1">
      <alignment horizontal="center" vertical="center"/>
    </xf>
    <xf numFmtId="200" fontId="36" fillId="0" borderId="0" xfId="3" applyNumberFormat="1" applyFont="1" applyFill="1" applyAlignment="1">
      <alignment horizontal="center" vertical="center"/>
    </xf>
    <xf numFmtId="49" fontId="153" fillId="0" borderId="1" xfId="52" applyNumberFormat="1" applyFont="1" applyFill="1" applyBorder="1" applyAlignment="1">
      <alignment horizontal="center" vertical="center"/>
    </xf>
    <xf numFmtId="49" fontId="153" fillId="0" borderId="2" xfId="52" applyNumberFormat="1" applyFont="1" applyFill="1" applyBorder="1" applyAlignment="1">
      <alignment horizontal="center" vertical="center"/>
    </xf>
    <xf numFmtId="49" fontId="153" fillId="0" borderId="3" xfId="52" applyNumberFormat="1" applyFont="1" applyFill="1" applyBorder="1" applyAlignment="1">
      <alignment horizontal="center" vertical="center"/>
    </xf>
    <xf numFmtId="200" fontId="153" fillId="0" borderId="0" xfId="3" applyNumberFormat="1" applyFont="1" applyFill="1" applyBorder="1" applyAlignment="1">
      <alignment horizontal="center" vertical="center"/>
    </xf>
    <xf numFmtId="0" fontId="36" fillId="0" borderId="4" xfId="52" applyFont="1" applyFill="1" applyBorder="1" applyAlignment="1">
      <alignment horizontal="justify" vertical="justify"/>
    </xf>
    <xf numFmtId="0" fontId="36" fillId="0" borderId="0" xfId="52" applyFont="1" applyFill="1" applyAlignment="1">
      <alignment horizontal="justify" vertical="justify"/>
    </xf>
    <xf numFmtId="43" fontId="36" fillId="0" borderId="5" xfId="1" applyFont="1" applyFill="1" applyBorder="1" applyAlignment="1">
      <alignment horizontal="center" vertical="center"/>
    </xf>
    <xf numFmtId="200" fontId="36" fillId="0" borderId="0" xfId="3" applyNumberFormat="1" applyFont="1" applyFill="1" applyBorder="1" applyAlignment="1">
      <alignment horizontal="center" vertical="center"/>
    </xf>
    <xf numFmtId="49" fontId="92" fillId="0" borderId="6" xfId="52" applyNumberFormat="1" applyFont="1" applyFill="1" applyBorder="1" applyAlignment="1">
      <alignment horizontal="justify" vertical="justify"/>
    </xf>
    <xf numFmtId="49" fontId="36" fillId="0" borderId="7" xfId="52" applyNumberFormat="1" applyFont="1" applyFill="1" applyBorder="1" applyAlignment="1">
      <alignment horizontal="justify" vertical="justify"/>
    </xf>
    <xf numFmtId="58" fontId="36" fillId="0" borderId="7" xfId="1" applyNumberFormat="1" applyFont="1" applyFill="1" applyBorder="1" applyAlignment="1">
      <alignment horizontal="center" vertical="center"/>
    </xf>
    <xf numFmtId="178" fontId="36" fillId="0" borderId="7" xfId="52" applyNumberFormat="1" applyFont="1" applyFill="1" applyBorder="1" applyAlignment="1">
      <alignment horizontal="center" vertical="center"/>
    </xf>
    <xf numFmtId="43" fontId="36" fillId="0" borderId="7" xfId="1" applyFont="1" applyFill="1" applyBorder="1" applyAlignment="1">
      <alignment horizontal="center" vertical="center"/>
    </xf>
    <xf numFmtId="43" fontId="36" fillId="0" borderId="8" xfId="1" applyFont="1" applyFill="1" applyBorder="1" applyAlignment="1">
      <alignment horizontal="center" vertical="center"/>
    </xf>
    <xf numFmtId="179" fontId="36" fillId="0" borderId="0" xfId="3" applyNumberFormat="1" applyFont="1" applyFill="1" applyBorder="1" applyAlignment="1">
      <alignment horizontal="center" vertical="center"/>
    </xf>
    <xf numFmtId="49" fontId="36" fillId="0" borderId="6" xfId="52" applyNumberFormat="1" applyFont="1" applyFill="1" applyBorder="1" applyAlignment="1">
      <alignment horizontal="justify" vertical="justify"/>
    </xf>
    <xf numFmtId="49" fontId="143" fillId="0" borderId="9" xfId="52" applyNumberFormat="1" applyFont="1" applyFill="1" applyBorder="1" applyAlignment="1">
      <alignment horizontal="center" vertical="center"/>
    </xf>
    <xf numFmtId="43" fontId="143" fillId="0" borderId="8" xfId="1" applyFont="1" applyFill="1" applyBorder="1" applyAlignment="1">
      <alignment horizontal="center" vertical="center"/>
    </xf>
    <xf numFmtId="49" fontId="143" fillId="0" borderId="8" xfId="52" applyNumberFormat="1" applyFont="1" applyFill="1" applyBorder="1" applyAlignment="1">
      <alignment horizontal="center" vertical="center"/>
    </xf>
    <xf numFmtId="200" fontId="143" fillId="0" borderId="0" xfId="3" applyNumberFormat="1" applyFont="1" applyFill="1" applyBorder="1" applyAlignment="1">
      <alignment horizontal="center" vertical="center"/>
    </xf>
    <xf numFmtId="49" fontId="41" fillId="0" borderId="9" xfId="52" applyNumberFormat="1" applyFont="1" applyFill="1" applyBorder="1" applyAlignment="1">
      <alignment horizontal="justify" vertical="justify"/>
    </xf>
    <xf numFmtId="43" fontId="41" fillId="0" borderId="10" xfId="1" applyFont="1" applyFill="1" applyBorder="1" applyAlignment="1">
      <alignment horizontal="center" vertical="center"/>
    </xf>
    <xf numFmtId="43" fontId="41" fillId="0" borderId="8" xfId="1" applyFont="1" applyFill="1" applyBorder="1" applyAlignment="1">
      <alignment horizontal="center" vertical="center"/>
    </xf>
    <xf numFmtId="49" fontId="41" fillId="0" borderId="8" xfId="52" applyNumberFormat="1" applyFont="1" applyFill="1" applyBorder="1" applyAlignment="1">
      <alignment horizontal="justify" vertical="justify"/>
    </xf>
    <xf numFmtId="43" fontId="41" fillId="0" borderId="10" xfId="67" applyFont="1" applyFill="1" applyBorder="1" applyAlignment="1">
      <alignment horizontal="center" vertical="center"/>
    </xf>
    <xf numFmtId="10" fontId="41" fillId="0" borderId="8" xfId="3" applyNumberFormat="1" applyFont="1" applyFill="1" applyBorder="1" applyAlignment="1">
      <alignment horizontal="center" vertical="center"/>
    </xf>
    <xf numFmtId="200" fontId="41" fillId="0" borderId="0" xfId="3" applyNumberFormat="1" applyFont="1" applyFill="1" applyBorder="1" applyAlignment="1">
      <alignment horizontal="center" vertical="center"/>
    </xf>
    <xf numFmtId="43" fontId="41" fillId="0" borderId="0" xfId="1" applyFont="1" applyFill="1" applyBorder="1" applyAlignment="1">
      <alignment horizontal="center" vertical="center"/>
    </xf>
    <xf numFmtId="43" fontId="36" fillId="0" borderId="0" xfId="52" applyNumberFormat="1" applyFont="1" applyFill="1">
      <alignment vertical="center"/>
    </xf>
    <xf numFmtId="10" fontId="36" fillId="0" borderId="0" xfId="3" applyNumberFormat="1" applyFont="1" applyFill="1">
      <alignment vertical="center"/>
    </xf>
    <xf numFmtId="43" fontId="166" fillId="0" borderId="8" xfId="1" applyFont="1" applyFill="1" applyBorder="1" applyAlignment="1">
      <alignment horizontal="center" vertical="center"/>
    </xf>
    <xf numFmtId="0" fontId="36" fillId="0" borderId="0" xfId="52" applyFont="1" applyFill="1" applyAlignment="1">
      <alignment horizontal="center" vertical="center"/>
    </xf>
    <xf numFmtId="0" fontId="145" fillId="0" borderId="36" xfId="52" applyFont="1" applyFill="1" applyBorder="1" applyAlignment="1">
      <alignment horizontal="center" vertical="center"/>
    </xf>
    <xf numFmtId="0" fontId="145" fillId="0" borderId="38" xfId="52" applyFont="1" applyFill="1" applyBorder="1" applyAlignment="1">
      <alignment horizontal="center" vertical="center"/>
    </xf>
    <xf numFmtId="0" fontId="36" fillId="0" borderId="38" xfId="52" applyFont="1" applyFill="1" applyBorder="1" applyAlignment="1">
      <alignment horizontal="center" vertical="center"/>
    </xf>
    <xf numFmtId="0" fontId="36" fillId="0" borderId="37" xfId="52" applyFont="1" applyFill="1" applyBorder="1">
      <alignment vertical="center"/>
    </xf>
    <xf numFmtId="0" fontId="93" fillId="0" borderId="10" xfId="52" applyFont="1" applyFill="1" applyBorder="1">
      <alignment vertical="center"/>
    </xf>
    <xf numFmtId="43" fontId="166" fillId="0" borderId="10" xfId="1" applyFont="1" applyFill="1" applyBorder="1" applyAlignment="1">
      <alignment horizontal="center" vertical="center"/>
    </xf>
    <xf numFmtId="179" fontId="36" fillId="0" borderId="0" xfId="52" applyNumberFormat="1" applyFont="1" applyFill="1">
      <alignment vertical="center"/>
    </xf>
    <xf numFmtId="43" fontId="36" fillId="0" borderId="39" xfId="52" applyNumberFormat="1" applyFont="1" applyFill="1" applyBorder="1">
      <alignment vertical="center"/>
    </xf>
    <xf numFmtId="43" fontId="36" fillId="0" borderId="40" xfId="52" applyNumberFormat="1" applyFont="1" applyFill="1" applyBorder="1">
      <alignment vertical="center"/>
    </xf>
    <xf numFmtId="0" fontId="41" fillId="0" borderId="10" xfId="52" applyFont="1" applyFill="1" applyBorder="1" applyAlignment="1">
      <alignment horizontal="justify" vertical="justify"/>
    </xf>
    <xf numFmtId="43" fontId="144" fillId="0" borderId="10" xfId="1" applyFont="1" applyFill="1" applyBorder="1" applyAlignment="1">
      <alignment horizontal="center" vertical="center"/>
    </xf>
    <xf numFmtId="0" fontId="41" fillId="0" borderId="8" xfId="52" applyFont="1" applyFill="1" applyBorder="1" applyAlignment="1">
      <alignment horizontal="justify" vertical="justify"/>
    </xf>
    <xf numFmtId="43" fontId="144" fillId="0" borderId="8" xfId="1" applyFont="1" applyFill="1" applyBorder="1" applyAlignment="1">
      <alignment horizontal="center" vertical="center"/>
    </xf>
    <xf numFmtId="43" fontId="36" fillId="0" borderId="41" xfId="52" applyNumberFormat="1" applyFont="1" applyFill="1" applyBorder="1">
      <alignment vertical="center"/>
    </xf>
    <xf numFmtId="43" fontId="36" fillId="0" borderId="42" xfId="52" applyNumberFormat="1" applyFont="1" applyFill="1" applyBorder="1">
      <alignment vertical="center"/>
    </xf>
    <xf numFmtId="43" fontId="36" fillId="0" borderId="43" xfId="52" applyNumberFormat="1" applyFont="1" applyFill="1" applyBorder="1">
      <alignment vertical="center"/>
    </xf>
    <xf numFmtId="49" fontId="41" fillId="0" borderId="9" xfId="52" applyNumberFormat="1" applyFont="1" applyFill="1" applyBorder="1" applyAlignment="1">
      <alignment horizontal="left" vertical="justify"/>
    </xf>
    <xf numFmtId="49" fontId="120" fillId="0" borderId="8" xfId="52" applyNumberFormat="1" applyFont="1" applyFill="1" applyBorder="1" applyAlignment="1">
      <alignment horizontal="justify" vertical="justify"/>
    </xf>
    <xf numFmtId="43" fontId="175" fillId="0" borderId="8" xfId="1" applyFont="1" applyFill="1" applyBorder="1" applyAlignment="1">
      <alignment horizontal="center" vertical="center"/>
    </xf>
    <xf numFmtId="49" fontId="120" fillId="0" borderId="9" xfId="52" applyNumberFormat="1" applyFont="1" applyFill="1" applyBorder="1" applyAlignment="1">
      <alignment horizontal="justify" vertical="justify"/>
    </xf>
    <xf numFmtId="43" fontId="175" fillId="0" borderId="10" xfId="1" applyFont="1" applyFill="1" applyBorder="1" applyAlignment="1">
      <alignment horizontal="center" vertical="center"/>
    </xf>
    <xf numFmtId="49" fontId="41" fillId="0" borderId="9" xfId="52" applyNumberFormat="1" applyFont="1" applyFill="1" applyBorder="1" applyAlignment="1">
      <alignment horizontal="center" vertical="justify"/>
    </xf>
    <xf numFmtId="49" fontId="41" fillId="0" borderId="8" xfId="52" applyNumberFormat="1" applyFont="1" applyFill="1" applyBorder="1" applyAlignment="1">
      <alignment horizontal="left" vertical="justify"/>
    </xf>
    <xf numFmtId="43" fontId="93" fillId="0" borderId="0" xfId="1" applyFont="1" applyFill="1" applyBorder="1" applyAlignment="1">
      <alignment horizontal="center" vertical="center"/>
    </xf>
    <xf numFmtId="43" fontId="41" fillId="0" borderId="8" xfId="1" applyNumberFormat="1" applyFont="1" applyFill="1" applyBorder="1" applyAlignment="1">
      <alignment horizontal="center" vertical="center"/>
    </xf>
    <xf numFmtId="43" fontId="41" fillId="0" borderId="0" xfId="1" applyFont="1" applyFill="1" applyBorder="1" applyAlignment="1">
      <alignment horizontal="left" vertical="center"/>
    </xf>
    <xf numFmtId="179" fontId="36" fillId="0" borderId="0" xfId="3" applyNumberFormat="1" applyFont="1" applyFill="1" applyAlignment="1">
      <alignment horizontal="center" vertical="center"/>
    </xf>
    <xf numFmtId="43" fontId="175" fillId="0" borderId="8" xfId="1" applyNumberFormat="1" applyFont="1" applyFill="1" applyBorder="1" applyAlignment="1">
      <alignment horizontal="center" vertical="center"/>
    </xf>
    <xf numFmtId="179" fontId="36" fillId="0" borderId="0" xfId="1" applyNumberFormat="1" applyFont="1" applyFill="1" applyAlignment="1">
      <alignment horizontal="right" vertical="center"/>
    </xf>
    <xf numFmtId="49" fontId="41" fillId="3" borderId="9" xfId="52" applyNumberFormat="1" applyFont="1" applyFill="1" applyBorder="1" applyAlignment="1">
      <alignment horizontal="justify" vertical="justify"/>
    </xf>
    <xf numFmtId="10" fontId="36" fillId="0" borderId="0" xfId="52" applyNumberFormat="1" applyFont="1" applyFill="1">
      <alignment vertical="center"/>
    </xf>
    <xf numFmtId="0" fontId="144" fillId="0" borderId="6" xfId="52" applyFont="1" applyFill="1" applyBorder="1" applyAlignment="1">
      <alignment horizontal="justify" vertical="justify"/>
    </xf>
    <xf numFmtId="43" fontId="144" fillId="0" borderId="7" xfId="1" applyFont="1" applyFill="1" applyBorder="1" applyAlignment="1">
      <alignment horizontal="center" vertical="center"/>
    </xf>
    <xf numFmtId="0" fontId="144" fillId="0" borderId="7" xfId="52" applyFont="1" applyFill="1" applyBorder="1" applyAlignment="1">
      <alignment horizontal="justify" vertical="justify"/>
    </xf>
    <xf numFmtId="200" fontId="144" fillId="0" borderId="0" xfId="3" applyNumberFormat="1" applyFont="1" applyFill="1" applyBorder="1" applyAlignment="1">
      <alignment horizontal="center" vertical="center"/>
    </xf>
    <xf numFmtId="43" fontId="41" fillId="0" borderId="0" xfId="67" applyFont="1" applyFill="1" applyBorder="1" applyAlignment="1">
      <alignment horizontal="center" vertical="center"/>
    </xf>
    <xf numFmtId="43" fontId="36" fillId="0" borderId="0" xfId="1" applyNumberFormat="1" applyFont="1" applyFill="1" applyAlignment="1">
      <alignment horizontal="center" vertical="center"/>
    </xf>
    <xf numFmtId="10" fontId="36" fillId="0" borderId="0" xfId="3" applyNumberFormat="1" applyFont="1" applyFill="1" applyAlignment="1">
      <alignment horizontal="center" vertical="center"/>
    </xf>
    <xf numFmtId="200" fontId="41" fillId="0" borderId="0" xfId="3" applyNumberFormat="1" applyFont="1" applyFill="1" applyAlignment="1">
      <alignment horizontal="center" vertical="center"/>
    </xf>
    <xf numFmtId="200" fontId="92" fillId="0" borderId="0" xfId="3" applyNumberFormat="1" applyFont="1" applyFill="1" applyAlignment="1">
      <alignment horizontal="center" vertical="center"/>
    </xf>
    <xf numFmtId="10" fontId="36" fillId="0" borderId="0" xfId="3" applyNumberFormat="1" applyFont="1" applyFill="1" applyAlignment="1">
      <alignment horizontal="right" vertical="center"/>
    </xf>
    <xf numFmtId="49" fontId="92" fillId="0" borderId="44" xfId="0" applyNumberFormat="1" applyFont="1" applyFill="1" applyBorder="1" applyAlignment="1">
      <alignment horizontal="center" vertical="center"/>
    </xf>
    <xf numFmtId="43" fontId="176" fillId="0" borderId="0" xfId="0" applyNumberFormat="1" applyFont="1" applyFill="1" applyAlignment="1">
      <alignment vertical="center"/>
    </xf>
    <xf numFmtId="0" fontId="26" fillId="0" borderId="0" xfId="0" applyFont="1" applyFill="1" applyAlignment="1">
      <alignment horizontal="center" vertical="center"/>
    </xf>
    <xf numFmtId="43" fontId="26" fillId="0" borderId="0" xfId="3" applyNumberFormat="1" applyFont="1" applyFill="1" applyAlignment="1">
      <alignment vertical="center"/>
    </xf>
    <xf numFmtId="10" fontId="36" fillId="0" borderId="0" xfId="53" applyNumberFormat="1" applyFont="1" applyFill="1">
      <alignment vertical="center"/>
    </xf>
    <xf numFmtId="49" fontId="177" fillId="0" borderId="1" xfId="53" applyNumberFormat="1" applyFont="1" applyFill="1" applyBorder="1" applyAlignment="1">
      <alignment horizontal="center" vertical="justify"/>
    </xf>
    <xf numFmtId="49" fontId="177" fillId="0" borderId="2" xfId="53" applyNumberFormat="1" applyFont="1" applyFill="1" applyBorder="1" applyAlignment="1">
      <alignment horizontal="center" vertical="justify"/>
    </xf>
    <xf numFmtId="49" fontId="177" fillId="0" borderId="3" xfId="53" applyNumberFormat="1" applyFont="1" applyFill="1" applyBorder="1" applyAlignment="1">
      <alignment horizontal="center" vertical="justify"/>
    </xf>
    <xf numFmtId="0" fontId="41" fillId="0" borderId="4" xfId="53" applyFont="1" applyFill="1" applyBorder="1" applyAlignment="1">
      <alignment horizontal="justify" vertical="justify"/>
    </xf>
    <xf numFmtId="43" fontId="41" fillId="0" borderId="0" xfId="1" applyFont="1" applyFill="1" applyAlignment="1">
      <alignment horizontal="center" vertical="center"/>
    </xf>
    <xf numFmtId="43" fontId="41" fillId="0" borderId="5" xfId="1" applyFont="1" applyFill="1" applyBorder="1" applyAlignment="1">
      <alignment horizontal="center" vertical="center"/>
    </xf>
    <xf numFmtId="179" fontId="36" fillId="0" borderId="0" xfId="53" applyNumberFormat="1" applyFont="1" applyFill="1">
      <alignment vertical="center"/>
    </xf>
    <xf numFmtId="49" fontId="36" fillId="0" borderId="6" xfId="53" applyNumberFormat="1" applyFont="1" applyFill="1" applyBorder="1" applyAlignment="1">
      <alignment horizontal="justify" vertical="justify"/>
    </xf>
    <xf numFmtId="177" fontId="144" fillId="0" borderId="7" xfId="1" applyNumberFormat="1" applyFont="1" applyFill="1" applyBorder="1" applyAlignment="1">
      <alignment horizontal="center" vertical="center"/>
    </xf>
    <xf numFmtId="10" fontId="94" fillId="0" borderId="0" xfId="53" applyNumberFormat="1" applyFont="1" applyFill="1" applyAlignment="1">
      <alignment horizontal="center" vertical="center"/>
    </xf>
    <xf numFmtId="49" fontId="143" fillId="0" borderId="9" xfId="53" applyNumberFormat="1" applyFont="1" applyFill="1" applyBorder="1" applyAlignment="1">
      <alignment horizontal="center" vertical="center"/>
    </xf>
    <xf numFmtId="10" fontId="36" fillId="0" borderId="0" xfId="53" applyNumberFormat="1" applyFont="1" applyFill="1" applyBorder="1">
      <alignment vertical="center"/>
    </xf>
    <xf numFmtId="10" fontId="175" fillId="0" borderId="0" xfId="53" applyNumberFormat="1" applyFont="1" applyFill="1" applyBorder="1" applyAlignment="1">
      <alignment horizontal="center" vertical="center"/>
    </xf>
    <xf numFmtId="43" fontId="175" fillId="0" borderId="0" xfId="1" applyFont="1" applyFill="1" applyBorder="1" applyAlignment="1">
      <alignment horizontal="center" vertical="center"/>
    </xf>
    <xf numFmtId="0" fontId="36" fillId="0" borderId="0" xfId="53" applyFont="1" applyFill="1" applyAlignment="1">
      <alignment horizontal="center" vertical="center"/>
    </xf>
    <xf numFmtId="10" fontId="36" fillId="0" borderId="0" xfId="3" applyNumberFormat="1" applyFont="1" applyFill="1" applyBorder="1" applyAlignment="1" applyProtection="1">
      <alignment vertical="center"/>
    </xf>
    <xf numFmtId="10" fontId="36" fillId="0" borderId="0" xfId="3" applyNumberFormat="1" applyFont="1" applyFill="1" applyAlignment="1" applyProtection="1">
      <alignment vertical="center"/>
    </xf>
    <xf numFmtId="49" fontId="36" fillId="0" borderId="9" xfId="53" applyNumberFormat="1" applyFont="1" applyFill="1" applyBorder="1" applyAlignment="1">
      <alignment horizontal="justify" vertical="justify"/>
    </xf>
    <xf numFmtId="43" fontId="36" fillId="0" borderId="0" xfId="1" applyFont="1" applyFill="1">
      <alignment vertical="center"/>
    </xf>
    <xf numFmtId="179" fontId="166" fillId="0" borderId="0" xfId="53" applyNumberFormat="1" applyFont="1" applyFill="1" applyBorder="1">
      <alignment vertical="center"/>
    </xf>
    <xf numFmtId="43" fontId="166" fillId="0" borderId="0" xfId="53" applyNumberFormat="1" applyFont="1" applyFill="1" applyBorder="1">
      <alignment vertical="center"/>
    </xf>
    <xf numFmtId="43" fontId="36" fillId="0" borderId="0" xfId="1" applyFont="1" applyFill="1" applyBorder="1">
      <alignment vertical="center"/>
    </xf>
    <xf numFmtId="179" fontId="41" fillId="0" borderId="0" xfId="53" applyNumberFormat="1" applyFont="1" applyFill="1">
      <alignment vertical="center"/>
    </xf>
    <xf numFmtId="179" fontId="166" fillId="0" borderId="0" xfId="53" applyNumberFormat="1" applyFont="1" applyFill="1">
      <alignment vertical="center"/>
    </xf>
    <xf numFmtId="43" fontId="92" fillId="0" borderId="0" xfId="53" applyNumberFormat="1" applyFont="1" applyFill="1">
      <alignment vertical="center"/>
    </xf>
    <xf numFmtId="10" fontId="92" fillId="0" borderId="0" xfId="53" applyNumberFormat="1" applyFont="1" applyFill="1">
      <alignment vertical="center"/>
    </xf>
    <xf numFmtId="0" fontId="36" fillId="0" borderId="9" xfId="53" applyNumberFormat="1" applyFont="1" applyFill="1" applyBorder="1" applyAlignment="1">
      <alignment horizontal="justify" vertical="justify"/>
    </xf>
    <xf numFmtId="49" fontId="94" fillId="0" borderId="9" xfId="53" applyNumberFormat="1" applyFont="1" applyFill="1" applyBorder="1" applyAlignment="1">
      <alignment horizontal="justify" vertical="justify"/>
    </xf>
    <xf numFmtId="43" fontId="36" fillId="0" borderId="0" xfId="1" applyNumberFormat="1" applyFont="1" applyFill="1">
      <alignment vertical="center"/>
    </xf>
    <xf numFmtId="0" fontId="144" fillId="0" borderId="6" xfId="53" applyFont="1" applyFill="1" applyBorder="1" applyAlignment="1">
      <alignment horizontal="justify" vertical="justify"/>
    </xf>
    <xf numFmtId="179" fontId="36" fillId="0" borderId="0" xfId="1" applyNumberFormat="1" applyFont="1" applyFill="1" applyAlignment="1">
      <alignment horizontal="center" vertical="center"/>
    </xf>
    <xf numFmtId="49" fontId="82" fillId="0" borderId="0" xfId="0" applyNumberFormat="1" applyFont="1" applyFill="1" applyBorder="1" applyAlignment="1">
      <alignment horizontal="centerContinuous" vertical="center"/>
    </xf>
    <xf numFmtId="49" fontId="178" fillId="0" borderId="0" xfId="0" applyNumberFormat="1" applyFont="1" applyFill="1" applyBorder="1" applyAlignment="1">
      <alignment horizontal="centerContinuous" vertical="center"/>
    </xf>
    <xf numFmtId="179" fontId="105" fillId="0" borderId="44" xfId="0" applyNumberFormat="1" applyFont="1" applyFill="1" applyBorder="1" applyAlignment="1">
      <alignment horizontal="right" vertical="center"/>
    </xf>
    <xf numFmtId="0" fontId="93" fillId="0" borderId="44" xfId="0" applyFont="1" applyFill="1" applyBorder="1" applyAlignment="1">
      <alignment horizontal="left" vertical="center"/>
    </xf>
    <xf numFmtId="4" fontId="26" fillId="0" borderId="0" xfId="0" applyNumberFormat="1" applyFont="1" applyFill="1" applyAlignment="1">
      <alignment vertical="center"/>
    </xf>
    <xf numFmtId="4" fontId="81" fillId="0" borderId="0" xfId="0" applyNumberFormat="1" applyFont="1" applyFill="1" applyAlignment="1">
      <alignment vertical="center"/>
    </xf>
    <xf numFmtId="200" fontId="0" fillId="0" borderId="0" xfId="3" applyNumberFormat="1" applyFont="1" applyAlignment="1">
      <alignment horizontal="center" vertical="center"/>
    </xf>
    <xf numFmtId="200" fontId="10" fillId="0" borderId="0" xfId="3" applyNumberFormat="1" applyFont="1" applyBorder="1" applyAlignment="1">
      <alignment horizontal="center" vertical="center"/>
    </xf>
    <xf numFmtId="200" fontId="3" fillId="0" borderId="0" xfId="3" applyNumberFormat="1" applyFont="1" applyBorder="1" applyAlignment="1">
      <alignment horizontal="center" vertical="center"/>
    </xf>
    <xf numFmtId="179" fontId="3" fillId="0" borderId="0" xfId="3" applyNumberFormat="1" applyFont="1" applyBorder="1" applyAlignment="1">
      <alignment horizontal="center" vertical="center"/>
    </xf>
    <xf numFmtId="200" fontId="5" fillId="0" borderId="0" xfId="3" applyNumberFormat="1" applyFont="1" applyBorder="1" applyAlignment="1">
      <alignment horizontal="center" vertical="center"/>
    </xf>
    <xf numFmtId="43" fontId="8" fillId="0" borderId="8" xfId="1" applyFont="1" applyBorder="1" applyAlignment="1">
      <alignment horizontal="center" vertical="center"/>
    </xf>
    <xf numFmtId="200" fontId="12" fillId="0" borderId="0" xfId="3" applyNumberFormat="1" applyFont="1" applyBorder="1" applyAlignment="1">
      <alignment horizontal="center" vertical="center"/>
    </xf>
    <xf numFmtId="43" fontId="8" fillId="0" borderId="10" xfId="67" applyFont="1" applyFill="1" applyBorder="1" applyAlignment="1">
      <alignment horizontal="center" vertical="center"/>
    </xf>
    <xf numFmtId="10" fontId="8" fillId="0" borderId="8" xfId="3" applyNumberFormat="1" applyFont="1" applyFill="1" applyBorder="1" applyAlignment="1">
      <alignment horizontal="center" vertical="center"/>
    </xf>
    <xf numFmtId="200" fontId="7" fillId="0" borderId="0" xfId="3" applyNumberFormat="1" applyFont="1" applyBorder="1" applyAlignment="1">
      <alignment horizontal="center" vertical="center"/>
    </xf>
    <xf numFmtId="43" fontId="7" fillId="0" borderId="0" xfId="1" applyFont="1" applyBorder="1" applyAlignment="1">
      <alignment horizontal="center" vertical="center"/>
    </xf>
    <xf numFmtId="10" fontId="0" fillId="0" borderId="0" xfId="3" applyNumberFormat="1">
      <alignment vertical="center"/>
    </xf>
    <xf numFmtId="0" fontId="0" fillId="0" borderId="0" xfId="52" applyAlignment="1">
      <alignment horizontal="center" vertical="center"/>
    </xf>
    <xf numFmtId="0" fontId="57" fillId="3" borderId="36" xfId="52" applyFont="1" applyFill="1" applyBorder="1" applyAlignment="1">
      <alignment horizontal="center" vertical="center"/>
    </xf>
    <xf numFmtId="0" fontId="57" fillId="3" borderId="38" xfId="52" applyFont="1" applyFill="1" applyBorder="1" applyAlignment="1">
      <alignment horizontal="center" vertical="center"/>
    </xf>
    <xf numFmtId="0" fontId="0" fillId="0" borderId="38" xfId="52" applyFont="1" applyBorder="1" applyAlignment="1">
      <alignment horizontal="center" vertical="center"/>
    </xf>
    <xf numFmtId="0" fontId="0" fillId="0" borderId="10" xfId="52" applyBorder="1">
      <alignment vertical="center"/>
    </xf>
    <xf numFmtId="43" fontId="0" fillId="0" borderId="10" xfId="1" applyFont="1" applyBorder="1" applyAlignment="1">
      <alignment horizontal="center" vertical="center"/>
    </xf>
    <xf numFmtId="43" fontId="0" fillId="3" borderId="39" xfId="52" applyNumberFormat="1" applyFill="1" applyBorder="1">
      <alignment vertical="center"/>
    </xf>
    <xf numFmtId="43" fontId="0" fillId="3" borderId="0" xfId="52" applyNumberFormat="1" applyFill="1">
      <alignment vertical="center"/>
    </xf>
    <xf numFmtId="43" fontId="0" fillId="0" borderId="40" xfId="52" applyNumberFormat="1" applyBorder="1">
      <alignment vertical="center"/>
    </xf>
    <xf numFmtId="0" fontId="11" fillId="0" borderId="10" xfId="52" applyFont="1" applyBorder="1" applyAlignment="1">
      <alignment horizontal="justify" vertical="justify"/>
    </xf>
    <xf numFmtId="43" fontId="7" fillId="4" borderId="10" xfId="1" applyFont="1" applyFill="1" applyBorder="1" applyAlignment="1">
      <alignment horizontal="center" vertical="center"/>
    </xf>
    <xf numFmtId="43" fontId="9" fillId="0" borderId="10" xfId="1" applyFont="1" applyBorder="1" applyAlignment="1">
      <alignment horizontal="center" vertical="center"/>
    </xf>
    <xf numFmtId="43" fontId="0" fillId="3" borderId="41" xfId="52" applyNumberFormat="1" applyFill="1" applyBorder="1">
      <alignment vertical="center"/>
    </xf>
    <xf numFmtId="43" fontId="0" fillId="3" borderId="42" xfId="52" applyNumberFormat="1" applyFill="1" applyBorder="1">
      <alignment vertical="center"/>
    </xf>
    <xf numFmtId="43" fontId="0" fillId="0" borderId="43" xfId="52" applyNumberFormat="1" applyBorder="1">
      <alignment vertical="center"/>
    </xf>
    <xf numFmtId="49" fontId="11" fillId="0" borderId="9" xfId="52" applyNumberFormat="1" applyFont="1" applyBorder="1" applyAlignment="1">
      <alignment horizontal="left" vertical="justify"/>
    </xf>
    <xf numFmtId="0" fontId="0" fillId="3" borderId="0" xfId="52" applyFill="1">
      <alignment vertical="center"/>
    </xf>
    <xf numFmtId="43" fontId="8" fillId="0" borderId="10" xfId="1" applyFont="1" applyFill="1" applyBorder="1" applyAlignment="1">
      <alignment horizontal="center" vertical="center"/>
    </xf>
    <xf numFmtId="200" fontId="9" fillId="0" borderId="0" xfId="3" applyNumberFormat="1" applyFont="1" applyBorder="1" applyAlignment="1">
      <alignment horizontal="center" vertical="center"/>
    </xf>
    <xf numFmtId="179" fontId="9" fillId="0" borderId="0" xfId="3" applyNumberFormat="1" applyFont="1" applyBorder="1" applyAlignment="1">
      <alignment horizontal="center" vertical="center"/>
    </xf>
    <xf numFmtId="179" fontId="0" fillId="0" borderId="0" xfId="3" applyNumberFormat="1" applyFont="1" applyAlignment="1">
      <alignment horizontal="center" vertical="center"/>
    </xf>
    <xf numFmtId="43" fontId="8" fillId="0" borderId="0" xfId="67" applyFont="1" applyBorder="1" applyAlignment="1">
      <alignment horizontal="center" vertical="center"/>
    </xf>
    <xf numFmtId="200" fontId="13" fillId="6" borderId="0" xfId="3" applyNumberFormat="1" applyFont="1" applyFill="1" applyAlignment="1">
      <alignment horizontal="center" vertical="center"/>
    </xf>
    <xf numFmtId="179" fontId="13" fillId="6" borderId="0" xfId="3" applyNumberFormat="1" applyFont="1" applyFill="1" applyAlignment="1">
      <alignment horizontal="center" vertical="center"/>
    </xf>
    <xf numFmtId="10" fontId="0" fillId="0" borderId="0" xfId="3" applyNumberFormat="1" applyFont="1" applyAlignment="1">
      <alignment horizontal="center" vertical="center"/>
    </xf>
    <xf numFmtId="0" fontId="0" fillId="0" borderId="0" xfId="52" applyFont="1">
      <alignment vertical="center"/>
    </xf>
    <xf numFmtId="43" fontId="179" fillId="0" borderId="0" xfId="53" applyNumberFormat="1" applyFont="1" applyFill="1">
      <alignment vertical="center"/>
    </xf>
    <xf numFmtId="43" fontId="180" fillId="14" borderId="8" xfId="1" applyFont="1" applyFill="1" applyBorder="1" applyAlignment="1">
      <alignment horizontal="center" vertical="center"/>
    </xf>
    <xf numFmtId="0" fontId="92" fillId="0" borderId="0" xfId="53" applyFont="1" applyFill="1">
      <alignment vertical="center"/>
    </xf>
    <xf numFmtId="0" fontId="181" fillId="0" borderId="52" xfId="53" applyFont="1" applyFill="1" applyBorder="1">
      <alignment vertical="center"/>
    </xf>
    <xf numFmtId="0" fontId="181" fillId="0" borderId="53" xfId="53" applyFont="1" applyFill="1" applyBorder="1">
      <alignment vertical="center"/>
    </xf>
    <xf numFmtId="0" fontId="179" fillId="0" borderId="0" xfId="53" applyFont="1" applyFill="1">
      <alignment vertical="center"/>
    </xf>
    <xf numFmtId="43" fontId="36" fillId="0" borderId="10" xfId="53" applyNumberFormat="1" applyFont="1" applyFill="1" applyBorder="1">
      <alignment vertical="center"/>
    </xf>
    <xf numFmtId="0" fontId="92" fillId="0" borderId="0" xfId="53" applyFont="1" applyFill="1" applyAlignment="1">
      <alignment vertical="center" wrapText="1"/>
    </xf>
    <xf numFmtId="0" fontId="92" fillId="0" borderId="52" xfId="53" applyFont="1" applyFill="1" applyBorder="1">
      <alignment vertical="center"/>
    </xf>
    <xf numFmtId="43" fontId="36" fillId="0" borderId="53" xfId="53" applyNumberFormat="1" applyFont="1" applyFill="1" applyBorder="1">
      <alignment vertical="center"/>
    </xf>
    <xf numFmtId="0" fontId="92" fillId="0" borderId="36" xfId="53" applyFont="1" applyFill="1" applyBorder="1">
      <alignment vertical="center"/>
    </xf>
    <xf numFmtId="43" fontId="36" fillId="0" borderId="37" xfId="53" applyNumberFormat="1" applyFont="1" applyFill="1" applyBorder="1">
      <alignment vertical="center"/>
    </xf>
    <xf numFmtId="0" fontId="92" fillId="0" borderId="41" xfId="53" applyFont="1" applyFill="1" applyBorder="1">
      <alignment vertical="center"/>
    </xf>
    <xf numFmtId="43" fontId="36" fillId="0" borderId="43" xfId="53" applyNumberFormat="1" applyFont="1" applyFill="1" applyBorder="1">
      <alignment vertical="center"/>
    </xf>
    <xf numFmtId="43" fontId="165" fillId="0" borderId="0" xfId="53" applyNumberFormat="1" applyFont="1" applyFill="1" applyAlignment="1">
      <alignment horizontal="right" vertical="center"/>
    </xf>
    <xf numFmtId="0" fontId="182" fillId="0" borderId="0" xfId="0" applyFont="1" applyAlignment="1">
      <alignment horizontal="center" vertical="center"/>
    </xf>
    <xf numFmtId="0" fontId="48" fillId="0" borderId="0" xfId="0" applyFont="1" applyAlignment="1">
      <alignment horizontal="center" vertical="center"/>
    </xf>
    <xf numFmtId="0" fontId="48" fillId="0" borderId="0" xfId="0" applyFont="1" applyFill="1">
      <alignment vertical="center"/>
    </xf>
    <xf numFmtId="0" fontId="48" fillId="3" borderId="0" xfId="0" applyFont="1" applyFill="1">
      <alignment vertical="center"/>
    </xf>
    <xf numFmtId="0" fontId="48" fillId="0" borderId="0" xfId="0" applyFont="1" applyBorder="1">
      <alignment vertical="center"/>
    </xf>
    <xf numFmtId="0" fontId="182" fillId="0" borderId="0" xfId="0" applyFont="1" applyBorder="1" applyAlignment="1">
      <alignment horizontal="center" vertical="center"/>
    </xf>
    <xf numFmtId="14" fontId="48" fillId="0" borderId="0" xfId="0" applyNumberFormat="1" applyFont="1" applyBorder="1">
      <alignment vertical="center"/>
    </xf>
    <xf numFmtId="0" fontId="48" fillId="0" borderId="0" xfId="0" applyFont="1" applyBorder="1" applyAlignment="1">
      <alignment horizontal="center" vertical="center"/>
    </xf>
    <xf numFmtId="4" fontId="183" fillId="0" borderId="0" xfId="0" applyNumberFormat="1" applyFont="1">
      <alignment vertical="center"/>
    </xf>
    <xf numFmtId="0" fontId="121" fillId="0" borderId="10" xfId="0" applyNumberFormat="1" applyFont="1" applyFill="1" applyBorder="1" applyAlignment="1" quotePrefix="1">
      <alignment horizontal="center" vertical="center"/>
    </xf>
    <xf numFmtId="0" fontId="121" fillId="0" borderId="10" xfId="0" applyNumberFormat="1" applyFont="1" applyBorder="1" applyAlignment="1" quotePrefix="1">
      <alignment horizontal="center" vertical="center"/>
    </xf>
  </cellXfs>
  <cellStyles count="7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10" xfId="49"/>
    <cellStyle name="常规 142" xfId="50"/>
    <cellStyle name="常规 2" xfId="51"/>
    <cellStyle name="常规 2 2" xfId="52"/>
    <cellStyle name="常规 3" xfId="53"/>
    <cellStyle name="常规 4" xfId="54"/>
    <cellStyle name="常规 4 2" xfId="55"/>
    <cellStyle name="常规 5" xfId="56"/>
    <cellStyle name="常规 6" xfId="57"/>
    <cellStyle name="常规 7" xfId="58"/>
    <cellStyle name="常规 8" xfId="59"/>
    <cellStyle name="常规 9" xfId="60"/>
    <cellStyle name="常规_Sheet1" xfId="61"/>
    <cellStyle name="千位分隔 10" xfId="62"/>
    <cellStyle name="千位分隔 2" xfId="63"/>
    <cellStyle name="千位分隔 2 2" xfId="64"/>
    <cellStyle name="千位分隔 2 3" xfId="65"/>
    <cellStyle name="千位分隔 3" xfId="66"/>
    <cellStyle name="千位分隔 3 2" xfId="67"/>
    <cellStyle name="千位分隔 4" xfId="68"/>
    <cellStyle name="千位分隔 5" xfId="69"/>
    <cellStyle name="常规 10 2" xfId="70"/>
    <cellStyle name="常规_会计报表格式" xfId="71"/>
    <cellStyle name="货币[0] 2" xfId="72"/>
  </cellStyles>
  <dxfs count="41">
    <dxf>
      <fill>
        <patternFill patternType="none"/>
      </fill>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numFmt numFmtId="179" formatCode="#,##0.00_ "/>
    </dxf>
    <dxf>
      <font>
        <color rgb="FFFFFF00"/>
      </font>
      <fill>
        <patternFill patternType="solid">
          <bgColor rgb="FFFF0000"/>
        </patternFill>
      </fill>
    </dxf>
    <dxf>
      <font>
        <color rgb="FFFF0000"/>
      </font>
      <fill>
        <patternFill patternType="solid">
          <bgColor rgb="FFFFFF00"/>
        </patternFill>
      </fill>
    </dxf>
    <dxf>
      <font>
        <color rgb="FFFF0000"/>
      </font>
      <numFmt numFmtId="179" formatCode="#,##0.00_ "/>
      <fill>
        <patternFill patternType="solid">
          <bgColor rgb="FFFFFF00"/>
        </patternFill>
      </fill>
    </dxf>
    <dxf>
      <fill>
        <patternFill patternType="solid">
          <bgColor rgb="FFFF0000"/>
        </patternFill>
      </fill>
    </dxf>
    <dxf>
      <font>
        <color rgb="FF9C0006"/>
      </font>
      <fill>
        <patternFill patternType="solid">
          <bgColor rgb="FFFFC7CE"/>
        </patternFill>
      </fill>
    </dxf>
  </dxfs>
  <tableStyles count="0" defaultTableStyle="TableStyleMedium2" defaultPivotStyle="PivotStyleLight16"/>
  <colors>
    <mruColors>
      <color rgb="00FF881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6" Type="http://schemas.openxmlformats.org/officeDocument/2006/relationships/styles" Target="styles.xml"/><Relationship Id="rId55" Type="http://schemas.openxmlformats.org/officeDocument/2006/relationships/sharedStrings" Target="sharedStrings.xml"/><Relationship Id="rId54" Type="http://schemas.openxmlformats.org/officeDocument/2006/relationships/theme" Target="theme/theme1.xml"/><Relationship Id="rId53" Type="http://schemas.openxmlformats.org/officeDocument/2006/relationships/externalLink" Target="externalLinks/externalLink13.xml"/><Relationship Id="rId52" Type="http://schemas.openxmlformats.org/officeDocument/2006/relationships/externalLink" Target="externalLinks/externalLink12.xml"/><Relationship Id="rId51" Type="http://schemas.openxmlformats.org/officeDocument/2006/relationships/externalLink" Target="externalLinks/externalLink11.xml"/><Relationship Id="rId50" Type="http://schemas.openxmlformats.org/officeDocument/2006/relationships/externalLink" Target="externalLinks/externalLink10.xml"/><Relationship Id="rId5" Type="http://schemas.openxmlformats.org/officeDocument/2006/relationships/worksheet" Target="worksheets/sheet5.xml"/><Relationship Id="rId49" Type="http://schemas.openxmlformats.org/officeDocument/2006/relationships/externalLink" Target="externalLinks/externalLink9.xml"/><Relationship Id="rId48" Type="http://schemas.openxmlformats.org/officeDocument/2006/relationships/externalLink" Target="externalLinks/externalLink8.xml"/><Relationship Id="rId47" Type="http://schemas.openxmlformats.org/officeDocument/2006/relationships/externalLink" Target="externalLinks/externalLink7.xml"/><Relationship Id="rId46" Type="http://schemas.openxmlformats.org/officeDocument/2006/relationships/externalLink" Target="externalLinks/externalLink6.xml"/><Relationship Id="rId45" Type="http://schemas.openxmlformats.org/officeDocument/2006/relationships/externalLink" Target="externalLinks/externalLink5.xml"/><Relationship Id="rId44" Type="http://schemas.openxmlformats.org/officeDocument/2006/relationships/externalLink" Target="externalLinks/externalLink4.xml"/><Relationship Id="rId43" Type="http://schemas.openxmlformats.org/officeDocument/2006/relationships/externalLink" Target="externalLinks/externalLink3.xml"/><Relationship Id="rId42" Type="http://schemas.openxmlformats.org/officeDocument/2006/relationships/externalLink" Target="externalLinks/externalLink2.xml"/><Relationship Id="rId41" Type="http://schemas.openxmlformats.org/officeDocument/2006/relationships/externalLink" Target="externalLinks/externalLink1.xml"/><Relationship Id="rId40" Type="http://schemas.openxmlformats.org/officeDocument/2006/relationships/pivotCacheDefinition" Target="pivotCache/pivotCacheDefinition1.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22</xdr:row>
      <xdr:rowOff>24130</xdr:rowOff>
    </xdr:from>
    <xdr:to>
      <xdr:col>4</xdr:col>
      <xdr:colOff>456565</xdr:colOff>
      <xdr:row>33</xdr:row>
      <xdr:rowOff>137795</xdr:rowOff>
    </xdr:to>
    <xdr:pic>
      <xdr:nvPicPr>
        <xdr:cNvPr id="2" name="图片 1"/>
        <xdr:cNvPicPr>
          <a:picLocks noChangeAspect="1"/>
        </xdr:cNvPicPr>
      </xdr:nvPicPr>
      <xdr:blipFill>
        <a:blip r:embed="rId1"/>
        <a:stretch>
          <a:fillRect/>
        </a:stretch>
      </xdr:blipFill>
      <xdr:spPr>
        <a:xfrm>
          <a:off x="635" y="4462780"/>
          <a:ext cx="3980180" cy="210439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21</xdr:row>
      <xdr:rowOff>168910</xdr:rowOff>
    </xdr:from>
    <xdr:to>
      <xdr:col>4</xdr:col>
      <xdr:colOff>374650</xdr:colOff>
      <xdr:row>42</xdr:row>
      <xdr:rowOff>98425</xdr:rowOff>
    </xdr:to>
    <xdr:pic>
      <xdr:nvPicPr>
        <xdr:cNvPr id="2" name="图片 1"/>
        <xdr:cNvPicPr>
          <a:picLocks noChangeAspect="1"/>
        </xdr:cNvPicPr>
      </xdr:nvPicPr>
      <xdr:blipFill>
        <a:blip r:embed="rId1"/>
        <a:stretch>
          <a:fillRect/>
        </a:stretch>
      </xdr:blipFill>
      <xdr:spPr>
        <a:xfrm>
          <a:off x="635" y="3969385"/>
          <a:ext cx="4675505" cy="372999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180;&#23457;&#39033;&#30446;\2009&#24180;&#24230;&#24180;&#23457;&#36164;&#26009;\&#19978;&#28023;&#28023;&#36816;&#65288;&#38598;&#22242;&#65289;&#26377;&#38480;&#20844;&#21496;\&#19978;&#28023;&#28023;&#36816;09\1&#12289;&#19978;&#28023;&#28023;&#36816;(&#38598;&#22242;)&#20844;&#21496;\&#19978;&#28023;&#28023;&#36816;(&#38598;&#22242;)&#20844;&#21496;\&#24180;&#23457;&#38454;&#27573;\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gram%20Files\dinkumsj5\&#19978;&#28023;&#28023;&#36816;&#65288;&#38598;&#22242;&#65289;&#20844;&#21496;&#33337;&#33334;&#27745;&#27700;&#22788;&#29702;&#21378;\10001000\GA8%20&#20854;&#20182;&#24212;&#25910;&#2745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9978;&#28023;&#28023;&#36816;&#65288;&#38598;&#22242;&#65289;&#20844;&#21496;&#33337;&#33334;&#27745;&#27700;&#22788;&#29702;&#21378;-&#40718;&#20449;&#35834;&#24213;&#31295;&#65288;2011&#24180;&#39044;&#23457;&#65289;\10001000\GA1%20&#36135;&#24065;&#36164;&#3732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23435;&#20122;&#33465;\&#26700;&#38754;\&#22825;&#32844;\4.&#23454;&#36136;&#24615;&#24037;&#20316;&#24213;&#31295;\01.&#36135;&#24065;&#36164;&#373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gram%20Files\dinkumsj5\&#19978;&#28023;&#28023;&#36816;&#65288;&#38598;&#22242;&#65289;&#20844;&#21496;&#33337;&#33334;&#27745;&#27700;&#22788;&#29702;&#21378;\10001000\_dxn_temp&#20854;&#20182;&#24212;&#25910;&#2745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9134;&#32780;&#24247;\&#20869;&#37096;&#31649;&#29702;\CIP&#39033;&#30446;\&#21512;&#24182;&#25253;&#34920;\00.&#35843;&#25972;&#31995;&#32479;-&#39134;&#32780;&#24247;&#21512;&#24182;2021060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sktop\0&#23041;&#21776;181231\0&#25253;&#21578;&#27169;&#26495;\00&#21512;&#24182;&#35843;&#25972;&#31995;&#32479;-&#26080;&#38177;&#23041;&#21776;-20181231\8115-&#21512;&#24182;&#35843;&#25972;&#31995;&#32479;-&#26080;&#38177;&#23041;&#21776;-1231\&#35843;&#25972;&#31995;&#32479;&amp;&#24179;&#21488;%200302-&#26368;&#32456;&#29256;\&#35843;&#25972;&#31995;&#32479;&amp;&#24179;&#21488;\4.&#35843;&#25972;&#31995;&#32479;-&#23041;&#21776;&#24503;&#22269;1231-&#21333;&#20307;.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sktop\0&#23041;&#21776;181231\0&#25253;&#21578;&#27169;&#26495;\00&#21512;&#24182;&#35843;&#25972;&#31995;&#32479;-&#26080;&#38177;&#23041;&#21776;-20181231\8115-&#21512;&#24182;&#35843;&#25972;&#31995;&#32479;-&#26080;&#38177;&#23041;&#21776;-1231\&#35843;&#25972;&#31995;&#32479;&amp;&#24179;&#21488;%200302-&#26368;&#32456;&#29256;\&#35843;&#25972;&#31995;&#32479;&amp;&#24179;&#21488;\1.&#35843;&#25972;&#31995;&#32479;-&#26080;&#38177;&#23041;&#21776;1231-&#21333;&#203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sktop\0&#23041;&#21776;181231\0&#25253;&#21578;&#27169;&#26495;\00&#21512;&#24182;&#35843;&#25972;&#31995;&#32479;-&#26080;&#38177;&#23041;&#21776;-20181231\8115-&#21512;&#24182;&#35843;&#25972;&#31995;&#32479;-&#26080;&#38177;&#23041;&#21776;-1231\&#35843;&#25972;&#31995;&#32479;&amp;&#24179;&#21488;%200302-&#26368;&#32456;&#29256;\&#35843;&#25972;&#31995;&#32479;&amp;&#24179;&#21488;\2.&#35843;&#25972;&#31995;&#32479;-&#33436;&#28246;&#23041;&#21776;1231-&#21333;&#203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sktop\0&#23041;&#21776;181231\0&#25253;&#21578;&#27169;&#26495;\00&#21512;&#24182;&#35843;&#25972;&#31995;&#32479;-&#26080;&#38177;&#23041;&#21776;-20181231\8115-&#21512;&#24182;&#35843;&#25972;&#31995;&#32479;-&#26080;&#38177;&#23041;&#21776;-1231\&#35843;&#25972;&#31995;&#32479;&amp;&#24179;&#21488;%200302-&#26368;&#32456;&#29256;\&#35843;&#25972;&#31995;&#32479;&amp;&#24179;&#21488;\3.&#35843;&#25972;&#31995;&#32479;-VTS1231-&#21333;&#203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sktop\0&#23041;&#21776;181231\0&#25253;&#21578;&#27169;&#26495;\00&#21512;&#24182;&#35843;&#25972;&#31995;&#32479;-&#26080;&#38177;&#23041;&#21776;-20181231\8115-&#21512;&#24182;&#35843;&#25972;&#31995;&#32479;-&#26080;&#38177;&#23041;&#21776;-1231\&#35843;&#25972;&#31995;&#32479;&amp;&#24179;&#21488;%200302-&#26368;&#32456;&#29256;\&#35843;&#25972;&#31995;&#32479;&amp;&#24179;&#21488;\5.&#35843;&#25972;&#31995;&#32479;-&#23041;&#21776;&#21271;&#32654;1231-&#21333;&#20307;.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9134;&#32780;&#24247;\&#20869;&#37096;&#31649;&#29702;\2020&#24180;&#23457;&#35745;&#25968;&#25454;\2020&#24180;&#24180;&#25253;&#23457;&#35745;\20210521\&#39134;&#32780;&#24247;&#24555;&#36895;-&#21512;&#24182;&#36130;&#21153;&#25253;&#34920;-2020&#24180;&#2423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39134;&#32780;&#24247;\&#20869;&#37096;&#31649;&#29702;\2020&#24180;&#23457;&#35745;&#25968;&#25454;\2020&#24180;&#24180;&#25253;&#23457;&#35745;\20210521\&#39134;&#32780;&#24247;&#24555;&#36895;-&#21512;&#24182;&#36130;&#21153;&#25253;&#34920;-2020&#24180;&#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xnsjtempsheet"/>
      <sheetName val="审计程序"/>
      <sheetName val="审定表"/>
      <sheetName val="明细表"/>
      <sheetName val="明细表-1"/>
      <sheetName val="检查凭证"/>
      <sheetName val="权益法核算的长期股权投资"/>
      <sheetName val="披露表(上市)"/>
      <sheetName val="披露表(国资)"/>
      <sheetName val="2021年度资金收支汇总表（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底稿目录"/>
      <sheetName val="dxnsjtempsheet"/>
      <sheetName val="审计程序"/>
      <sheetName val="审定表"/>
      <sheetName val="明细表"/>
      <sheetName val="披露表(上市)"/>
      <sheetName val="替代测试表(模板)"/>
      <sheetName val="披露表(国资)"/>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底稿目录"/>
      <sheetName val="dxnsjtempsheet"/>
      <sheetName val="审计程序"/>
      <sheetName val="审定表"/>
      <sheetName val="明细表"/>
      <sheetName val="披露表(上市)"/>
      <sheetName val="披露表(国资)"/>
      <sheetName val="保险柜检查记录表"/>
      <sheetName val="函证结果汇总表"/>
      <sheetName val="发函单位联系方式一览表"/>
      <sheetName val="银行存款、银行借款询证函"/>
      <sheetName val="对银行存款余额调节表的检查"/>
      <sheetName val="_Profil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xnsjtempsheet"/>
      <sheetName val="审定表"/>
      <sheetName val="明细表"/>
      <sheetName val="披露表(上市)"/>
      <sheetName val="披露表(国资)"/>
      <sheetName val="函证结果汇总表"/>
      <sheetName val="发函单位联系方式一览表"/>
      <sheetName val="银行存款、银行借款询证函"/>
      <sheetName val="余额调节表及未达账项的检查"/>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xnsjtempsheet"/>
      <sheetName val="审计程序"/>
      <sheetName val="审定表"/>
      <sheetName val="明细表"/>
      <sheetName val="披露表(上市)"/>
      <sheetName val="披露表(国资)"/>
      <sheetName val="函证结果汇总表"/>
      <sheetName val="替代测试表(推荐)"/>
      <sheetName val="替代测试表(模板)"/>
      <sheetName val="函证结果调节表"/>
      <sheetName val="其他应收款询证函"/>
      <sheetName val="坏账准备计提政策查验表"/>
      <sheetName val="坏账准备计算表"/>
      <sheetName val="检查情况表"/>
      <sheetName val="长期挂账款项检查表"/>
      <sheetName val="替代结果汇总表"/>
      <sheetName val="关联方交易往来统计"/>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基本信息"/>
      <sheetName val="合并试算平衡表"/>
      <sheetName val="合并调整抵消分录"/>
      <sheetName val="长期投资"/>
      <sheetName val="少数股权验算"/>
      <sheetName val="无锡威唐TB"/>
      <sheetName val="调整分录-无锡威唐"/>
      <sheetName val="芜湖威唐TB"/>
      <sheetName val="调整分录-芜湖威唐"/>
      <sheetName val="威唐沃伦TB"/>
      <sheetName val="调整分录-威唐沃伦"/>
      <sheetName val="VT德国TB"/>
      <sheetName val="调整分录-VT德国"/>
      <sheetName val="TB子公司4"/>
      <sheetName val="调整分录-子公司4"/>
      <sheetName val="TB子公司5"/>
      <sheetName val="调整分录-子公司5"/>
      <sheetName val="精铸BS"/>
      <sheetName val="精铸BI"/>
      <sheetName val="新材料资产负债表202104"/>
      <sheetName val="新材料利润表202104"/>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M10">
            <v>0</v>
          </cell>
        </row>
        <row r="11">
          <cell r="M11">
            <v>0</v>
          </cell>
        </row>
        <row r="12">
          <cell r="M12">
            <v>0</v>
          </cell>
        </row>
        <row r="13">
          <cell r="M13">
            <v>0</v>
          </cell>
        </row>
        <row r="14">
          <cell r="M14">
            <v>0</v>
          </cell>
        </row>
        <row r="15">
          <cell r="M15">
            <v>0</v>
          </cell>
        </row>
        <row r="16">
          <cell r="M16">
            <v>0</v>
          </cell>
        </row>
        <row r="17">
          <cell r="M17">
            <v>0</v>
          </cell>
        </row>
        <row r="18">
          <cell r="M18">
            <v>0</v>
          </cell>
        </row>
        <row r="19">
          <cell r="M19">
            <v>0</v>
          </cell>
        </row>
        <row r="20">
          <cell r="M20">
            <v>0</v>
          </cell>
        </row>
        <row r="21">
          <cell r="M21">
            <v>0</v>
          </cell>
        </row>
        <row r="22">
          <cell r="M22">
            <v>0</v>
          </cell>
        </row>
        <row r="23">
          <cell r="M23">
            <v>0</v>
          </cell>
        </row>
        <row r="24">
          <cell r="M24">
            <v>0</v>
          </cell>
        </row>
        <row r="25">
          <cell r="M25">
            <v>0</v>
          </cell>
        </row>
        <row r="26">
          <cell r="M26">
            <v>0</v>
          </cell>
        </row>
        <row r="27">
          <cell r="M27">
            <v>0</v>
          </cell>
        </row>
        <row r="28">
          <cell r="M28">
            <v>0</v>
          </cell>
        </row>
        <row r="31">
          <cell r="M31">
            <v>0</v>
          </cell>
        </row>
        <row r="32">
          <cell r="M32">
            <v>0</v>
          </cell>
        </row>
        <row r="33">
          <cell r="M33">
            <v>0</v>
          </cell>
        </row>
        <row r="34">
          <cell r="I34">
            <v>0</v>
          </cell>
        </row>
        <row r="34">
          <cell r="M34">
            <v>0</v>
          </cell>
        </row>
        <row r="35">
          <cell r="I35">
            <v>0</v>
          </cell>
        </row>
        <row r="35">
          <cell r="M35">
            <v>0</v>
          </cell>
        </row>
        <row r="36">
          <cell r="I36">
            <v>0</v>
          </cell>
        </row>
        <row r="36">
          <cell r="M36">
            <v>0</v>
          </cell>
        </row>
        <row r="37">
          <cell r="M37">
            <v>0</v>
          </cell>
        </row>
        <row r="38">
          <cell r="M38">
            <v>0</v>
          </cell>
        </row>
        <row r="40">
          <cell r="M40">
            <v>0</v>
          </cell>
        </row>
        <row r="40">
          <cell r="Q40">
            <v>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9">
          <cell r="M119">
            <v>0</v>
          </cell>
        </row>
        <row r="120">
          <cell r="M120">
            <v>0</v>
          </cell>
        </row>
      </sheetData>
      <sheetData sheetId="14"/>
      <sheetData sheetId="15">
        <row r="10">
          <cell r="M10">
            <v>0</v>
          </cell>
        </row>
        <row r="11">
          <cell r="M11">
            <v>0</v>
          </cell>
        </row>
        <row r="12">
          <cell r="M12">
            <v>0</v>
          </cell>
        </row>
        <row r="13">
          <cell r="M13">
            <v>0</v>
          </cell>
        </row>
        <row r="14">
          <cell r="M14">
            <v>0</v>
          </cell>
        </row>
        <row r="15">
          <cell r="M15">
            <v>0</v>
          </cell>
        </row>
        <row r="16">
          <cell r="M16">
            <v>0</v>
          </cell>
        </row>
        <row r="17">
          <cell r="M17">
            <v>0</v>
          </cell>
        </row>
        <row r="18">
          <cell r="M18">
            <v>0</v>
          </cell>
        </row>
        <row r="19">
          <cell r="M19">
            <v>0</v>
          </cell>
        </row>
        <row r="20">
          <cell r="M20">
            <v>0</v>
          </cell>
        </row>
        <row r="21">
          <cell r="M21">
            <v>0</v>
          </cell>
        </row>
        <row r="22">
          <cell r="M22">
            <v>0</v>
          </cell>
        </row>
        <row r="23">
          <cell r="M23">
            <v>0</v>
          </cell>
        </row>
        <row r="24">
          <cell r="M24">
            <v>0</v>
          </cell>
        </row>
        <row r="25">
          <cell r="M25">
            <v>0</v>
          </cell>
        </row>
        <row r="26">
          <cell r="M26">
            <v>0</v>
          </cell>
        </row>
        <row r="27">
          <cell r="M27">
            <v>0</v>
          </cell>
        </row>
        <row r="28">
          <cell r="M28">
            <v>0</v>
          </cell>
        </row>
        <row r="31">
          <cell r="M31">
            <v>0</v>
          </cell>
        </row>
        <row r="32">
          <cell r="M32">
            <v>0</v>
          </cell>
        </row>
        <row r="33">
          <cell r="M33">
            <v>0</v>
          </cell>
        </row>
        <row r="34">
          <cell r="I34">
            <v>0</v>
          </cell>
        </row>
        <row r="34">
          <cell r="M34">
            <v>0</v>
          </cell>
        </row>
        <row r="35">
          <cell r="I35">
            <v>0</v>
          </cell>
        </row>
        <row r="35">
          <cell r="M35">
            <v>0</v>
          </cell>
        </row>
        <row r="36">
          <cell r="I36">
            <v>0</v>
          </cell>
        </row>
        <row r="36">
          <cell r="M36">
            <v>0</v>
          </cell>
        </row>
        <row r="37">
          <cell r="M37">
            <v>0</v>
          </cell>
        </row>
        <row r="38">
          <cell r="M38">
            <v>0</v>
          </cell>
        </row>
        <row r="40">
          <cell r="M40">
            <v>0</v>
          </cell>
        </row>
        <row r="40">
          <cell r="Q40">
            <v>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9">
          <cell r="M119">
            <v>0</v>
          </cell>
        </row>
        <row r="120">
          <cell r="M120">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sheetData>
      <sheetData sheetId="16"/>
      <sheetData sheetId="17"/>
      <sheetData sheetId="18"/>
      <sheetData sheetId="19"/>
      <sheetData sheetId="20"/>
      <sheetData sheetId="2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基本信息"/>
      <sheetName val="合并试算平衡表"/>
      <sheetName val="合并调整抵消分录"/>
      <sheetName val="内部交易和往来"/>
      <sheetName val="少数股权验算"/>
      <sheetName val="2013收购少数股权"/>
      <sheetName val="无锡威唐TB"/>
      <sheetName val="调整分录-无锡威唐"/>
      <sheetName val="VT德国-人民币"/>
      <sheetName val="VT德国-欧元"/>
      <sheetName val="调整分录-VT德国-欧元"/>
      <sheetName val="威唐沃伦TB"/>
      <sheetName val="调整分录-威唐沃伦"/>
      <sheetName val="VT德国TB"/>
      <sheetName val="调整分录-VT德国"/>
      <sheetName val="TB子公司4"/>
      <sheetName val="调整分录-子公司4"/>
      <sheetName val="TB子公司5"/>
      <sheetName val="调整分录-子公司5"/>
      <sheetName val="期初数核对"/>
    </sheetNames>
    <sheetDataSet>
      <sheetData sheetId="0"/>
      <sheetData sheetId="1"/>
      <sheetData sheetId="2"/>
      <sheetData sheetId="3"/>
      <sheetData sheetId="4"/>
      <sheetData sheetId="5"/>
      <sheetData sheetId="6"/>
      <sheetData sheetId="7"/>
      <sheetData sheetId="8">
        <row r="40">
          <cell r="M40">
            <v>0</v>
          </cell>
        </row>
        <row r="40">
          <cell r="Q40">
            <v>0</v>
          </cell>
        </row>
      </sheetData>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无锡威唐TB"/>
      <sheetName val="调整分录-无锡威唐"/>
      <sheetName val="Sheet1"/>
      <sheetName val="1.调整系统-无锡威唐1231-单体"/>
    </sheetNames>
    <sheetDataSet>
      <sheetData sheetId="0">
        <row r="40">
          <cell r="Q40">
            <v>0</v>
          </cell>
        </row>
      </sheetData>
      <sheetData sheetId="1"/>
      <sheetData sheetId="2"/>
      <sheetData sheetId="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基本信息"/>
      <sheetName val="合并试算平衡表"/>
      <sheetName val="合并调整抵消分录"/>
      <sheetName val="内部交易和往来"/>
      <sheetName val="少数股权验算"/>
      <sheetName val="2013收购少数股权"/>
      <sheetName val="无锡威唐TB"/>
      <sheetName val="调整分录-无锡威唐"/>
      <sheetName val="芜湖威唐TB"/>
      <sheetName val="调整分录-芜湖威唐"/>
      <sheetName val="威唐沃伦TB"/>
      <sheetName val="调整分录-威唐沃伦"/>
      <sheetName val="VT德国TB"/>
      <sheetName val="调整分录-VT德国"/>
      <sheetName val="TB子公司4"/>
      <sheetName val="调整分录-子公司4"/>
      <sheetName val="TB子公司5"/>
      <sheetName val="调整分录-子公司5"/>
      <sheetName val="Sheet1"/>
    </sheetNames>
    <sheetDataSet>
      <sheetData sheetId="0"/>
      <sheetData sheetId="1"/>
      <sheetData sheetId="2"/>
      <sheetData sheetId="3"/>
      <sheetData sheetId="4"/>
      <sheetData sheetId="5"/>
      <sheetData sheetId="6"/>
      <sheetData sheetId="7"/>
      <sheetData sheetId="8">
        <row r="40">
          <cell r="Q40">
            <v>0</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基本信息"/>
      <sheetName val="合并试算平衡表"/>
      <sheetName val="合并调整抵消分录"/>
      <sheetName val="内部交易和往来"/>
      <sheetName val="少数股权验算"/>
      <sheetName val="2013收购少数股权"/>
      <sheetName val="无锡威唐TB"/>
      <sheetName val="调整分录-无锡威唐"/>
      <sheetName val="芜湖威唐TB"/>
      <sheetName val="调整分录-芜湖威唐"/>
      <sheetName val="威唐沃伦TB"/>
      <sheetName val="调整分录-威唐沃伦"/>
      <sheetName val="存货跌价"/>
      <sheetName val="折扣记账过程"/>
      <sheetName val="VT德国TB"/>
      <sheetName val="调整分录-VT德国"/>
      <sheetName val="TB子公司4"/>
      <sheetName val="调整分录-子公司4"/>
      <sheetName val="TB子公司5"/>
      <sheetName val="调整分录-子公司5"/>
      <sheetName val="3.调整系统-VTS1231-单体"/>
    </sheetNames>
    <sheetDataSet>
      <sheetData sheetId="0"/>
      <sheetData sheetId="1"/>
      <sheetData sheetId="2"/>
      <sheetData sheetId="3"/>
      <sheetData sheetId="4"/>
      <sheetData sheetId="5"/>
      <sheetData sheetId="6"/>
      <sheetData sheetId="7"/>
      <sheetData sheetId="8"/>
      <sheetData sheetId="9"/>
      <sheetData sheetId="10">
        <row r="40">
          <cell r="Q40">
            <v>0</v>
          </cell>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基本信息"/>
      <sheetName val="合并试算平衡表"/>
      <sheetName val="合并调整抵消分录"/>
      <sheetName val="内部交易和往来"/>
      <sheetName val="少数股权验算"/>
      <sheetName val="2013收购少数股权"/>
      <sheetName val="无锡威唐TB"/>
      <sheetName val="调整分录-无锡威唐"/>
      <sheetName val="VT北美-人民币"/>
      <sheetName val="VT北美-加元"/>
      <sheetName val="调整分录-VT北美-加元"/>
      <sheetName val="威唐沃伦TB"/>
      <sheetName val="调整分录-威唐沃伦"/>
      <sheetName val="VT德国TB"/>
      <sheetName val="调整分录-VT德国"/>
      <sheetName val="TB子公司4"/>
      <sheetName val="调整分录-子公司4"/>
      <sheetName val="TB子公司5"/>
      <sheetName val="调整分录-子公司5"/>
    </sheetNames>
    <sheetDataSet>
      <sheetData sheetId="0"/>
      <sheetData sheetId="1"/>
      <sheetData sheetId="2"/>
      <sheetData sheetId="3"/>
      <sheetData sheetId="4"/>
      <sheetData sheetId="5"/>
      <sheetData sheetId="6"/>
      <sheetData sheetId="7"/>
      <sheetData sheetId="8">
        <row r="73">
          <cell r="E73">
            <v>0</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关联往来2020"/>
      <sheetName val="关联交易2020"/>
      <sheetName val="格式"/>
      <sheetName val="序列"/>
      <sheetName val="长期投资"/>
      <sheetName val="合并调整分录"/>
      <sheetName val="资合过渡表"/>
      <sheetName val="资合-新"/>
      <sheetName val="资合-老"/>
      <sheetName val="资合-全"/>
      <sheetName val="利合过渡"/>
      <sheetName val="利合-新"/>
      <sheetName val="利合-老"/>
      <sheetName val="利合-全"/>
      <sheetName val="合并股东权益表1"/>
      <sheetName val="合并股东权益表2"/>
      <sheetName val="指标分析"/>
      <sheetName val="杜邦分析"/>
      <sheetName val="重要性水平新"/>
    </sheetNames>
    <sheetDataSet>
      <sheetData sheetId="0"/>
      <sheetData sheetId="1"/>
      <sheetData sheetId="2"/>
      <sheetData sheetId="3"/>
      <sheetData sheetId="4"/>
      <sheetData sheetId="5"/>
      <sheetData sheetId="6">
        <row r="111">
          <cell r="D111">
            <v>18000000</v>
          </cell>
        </row>
        <row r="112">
          <cell r="C112">
            <v>0</v>
          </cell>
          <cell r="D112">
            <v>0</v>
          </cell>
        </row>
        <row r="113">
          <cell r="C113">
            <v>0</v>
          </cell>
          <cell r="D113">
            <v>0</v>
          </cell>
        </row>
        <row r="114">
          <cell r="C114">
            <v>0</v>
          </cell>
          <cell r="D114">
            <v>0</v>
          </cell>
        </row>
        <row r="115">
          <cell r="C115">
            <v>0</v>
          </cell>
          <cell r="D115">
            <v>0</v>
          </cell>
        </row>
        <row r="116">
          <cell r="C116">
            <v>0</v>
          </cell>
          <cell r="D116">
            <v>0</v>
          </cell>
        </row>
        <row r="117">
          <cell r="C117">
            <v>0</v>
          </cell>
          <cell r="D117">
            <v>0</v>
          </cell>
        </row>
        <row r="118">
          <cell r="C118">
            <v>0</v>
          </cell>
          <cell r="D118">
            <v>0</v>
          </cell>
        </row>
        <row r="119">
          <cell r="C119">
            <v>0</v>
          </cell>
          <cell r="D119">
            <v>0</v>
          </cell>
        </row>
        <row r="120">
          <cell r="C120">
            <v>0</v>
          </cell>
          <cell r="D120">
            <v>0</v>
          </cell>
        </row>
        <row r="123">
          <cell r="C123">
            <v>0</v>
          </cell>
          <cell r="D123">
            <v>0</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序列"/>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93.5316435185" refreshedBy="xin.wang" recordCount="177">
  <cacheSource type="worksheet">
    <worksheetSource ref="A3:K180" sheet="关联交易-利润表-25.11月"/>
  </cacheSource>
  <cacheFields count="11">
    <cacheField name="月份" numFmtId="0">
      <sharedItems containsBlank="1" count="12">
        <s v="1月"/>
        <s v="2月"/>
        <s v="3月"/>
        <s v="4月"/>
        <s v="5月"/>
        <s v="6月"/>
        <s v="7月"/>
        <s v="8月"/>
        <s v="9月"/>
        <s v="10月"/>
        <s v="11月"/>
        <m/>
      </sharedItems>
    </cacheField>
    <cacheField name="单位" numFmtId="0">
      <sharedItems containsBlank="1" count="5">
        <s v="快速"/>
        <s v="新材料"/>
        <s v="热等静压"/>
        <s v="精铸"/>
        <m/>
      </sharedItems>
    </cacheField>
    <cacheField name="核算科目" numFmtId="0">
      <sharedItems containsBlank="1" count="8">
        <s v="主营业务收入"/>
        <s v="其他业务收入"/>
        <s v="财务费用"/>
        <m/>
        <s v="财务费用-利息收入" u="1"/>
        <s v="财务费用-借款利息" u="1"/>
        <s v="财务费用-借款利息收入" u="1"/>
        <s v="暂估应收（粉末）" u="1"/>
      </sharedItems>
    </cacheField>
    <cacheField name="金额" numFmtId="0">
      <sharedItems containsString="0" containsBlank="1" containsNumber="1" minValue="-1860271.4" maxValue="3434372.57" count="130">
        <n v="67189.38"/>
        <n v="170879.39"/>
        <n v="372054.29"/>
        <n v="6529.98"/>
        <n v="30771.1"/>
        <n v="13133.03"/>
        <n v="42151.21"/>
        <n v="676904.43"/>
        <n v="348803.83"/>
        <n v="245498.22"/>
        <n v="3174.34"/>
        <n v="47889.37"/>
        <n v="3849.53"/>
        <n v="282824.79"/>
        <n v="372054.28"/>
        <n v="8589.13"/>
        <n v="23317.52"/>
        <n v="1266.67"/>
        <n v="750726.66"/>
        <n v="9634.51"/>
        <n v="-4481.42"/>
        <n v="264531.96"/>
        <n v="39823.01"/>
        <n v="256146.2"/>
        <n v="12597.72"/>
        <n v="49059.81"/>
        <n v="91931.18"/>
        <n v="2117987.98"/>
        <n v="69739.82"/>
        <n v="2654.87"/>
        <n v="2101.77"/>
        <n v="205637.16"/>
        <n v="10442.48"/>
        <n v="368972.94"/>
        <n v="85270.79"/>
        <n v="62373.61"/>
        <n v="1027317.49"/>
        <n v="1692.28"/>
        <n v="45173.65"/>
        <n v="21888.39"/>
        <n v="1713822.87"/>
        <n v="3434372.57"/>
        <n v="402152.65"/>
        <n v="231688.37"/>
        <n v="554424.77"/>
        <n v="76070.81"/>
        <n v="7433.61"/>
        <n v="6194.7"/>
        <n v="2190.28"/>
        <n v="652212.39"/>
        <n v="545247.4"/>
        <n v="27724.06"/>
        <n v="14859.98"/>
        <n v="57434.74"/>
        <n v="21888.38"/>
        <n v="1159750.25"/>
        <n v="52328.84"/>
        <n v="179575.22"/>
        <n v="217672.56"/>
        <n v="4292.04"/>
        <n v="103392.37"/>
        <n v="1137831.85"/>
        <n v="46017.7"/>
        <n v="104551.65"/>
        <n v="96513.2"/>
        <n v="425949.2"/>
        <n v="847338.06"/>
        <n v="30828.14"/>
        <n v="62990.3"/>
        <n v="2131380.98"/>
        <n v="14684.08"/>
        <n v="388869.47"/>
        <n v="62328.46"/>
        <n v="89177.6"/>
        <n v="742922.75"/>
        <n v="476450.01"/>
        <n v="2232325.69"/>
        <n v="475753.56"/>
        <n v="18099.52"/>
        <n v="184626.61"/>
        <n v="50715.99"/>
        <n v="131330.27"/>
        <n v="41701.76"/>
        <n v="503483.19"/>
        <n v="702001.59"/>
        <n v="92981.23"/>
        <n v="138509.02"/>
        <n v="26017.7"/>
        <n v="2389.38"/>
        <n v="775537.42"/>
        <n v="-1860271.4"/>
        <n v="-153855.51"/>
        <n v="533336.12"/>
        <n v="693512.27"/>
        <n v="20369.06"/>
        <n v="32555.77"/>
        <n v="31631.3"/>
        <n v="195636.11"/>
        <n v="811281.07"/>
        <n v="282356.56"/>
        <n v="7929.05"/>
        <n v="1286402.22"/>
        <n v="520154.43"/>
        <n v="1095505.19"/>
        <n v="21989.68"/>
        <n v="45893.35"/>
        <n v="642491.73"/>
        <n v="247493.89"/>
        <n v="191319.9"/>
        <n v="444599.8"/>
        <n v="7805.31"/>
        <n v="861247.7"/>
        <n v="372862.54"/>
        <n v="15229.25"/>
        <n v="28940.98"/>
        <n v="45152.2"/>
        <n v="92345.69"/>
        <n v="84911.5"/>
        <n v="757083.46"/>
        <n v="352289.76"/>
        <n v="1290164.99"/>
        <n v="17047.3"/>
        <n v="48056.43"/>
        <n v="911870.64"/>
        <n v="617918.67"/>
        <n v="32808.32"/>
        <n v="430289.5"/>
        <n v="3185.84"/>
        <n v="861756.23"/>
        <m/>
      </sharedItems>
    </cacheField>
    <cacheField name="摘要" numFmtId="0">
      <sharedItems containsBlank="1" count="2">
        <m/>
        <s v=""/>
      </sharedItems>
    </cacheField>
    <cacheField name="月份2" numFmtId="0">
      <sharedItems containsBlank="1" count="12">
        <s v="1月"/>
        <s v="2月"/>
        <s v="3月"/>
        <s v="4月"/>
        <s v="5月"/>
        <s v="6月"/>
        <s v="7月"/>
        <s v="8月"/>
        <s v="9月"/>
        <s v="10月"/>
        <s v="11月"/>
        <m/>
      </sharedItems>
    </cacheField>
    <cacheField name="单位2" numFmtId="0">
      <sharedItems containsBlank="1" count="5">
        <s v="新材料"/>
        <s v="精铸"/>
        <s v="热等静压"/>
        <s v="快速"/>
        <m/>
      </sharedItems>
    </cacheField>
    <cacheField name="核算科目2" numFmtId="0">
      <sharedItems containsBlank="1" count="18">
        <s v="3D打印件"/>
        <s v="电费"/>
        <s v="房租"/>
        <s v="主营业务成本"/>
        <s v="热等静压加工"/>
        <s v="加工费"/>
        <s v="检测费"/>
        <s v="财务费用"/>
        <s v="粉末"/>
        <s v="氩气"/>
        <s v="其他"/>
        <s v="打印租赁费"/>
        <s v="客户开发服务费"/>
        <s v="技术服务费"/>
        <s v="研发用3D打印加工"/>
        <s v="3D打印租赁费"/>
        <s v="3D打印加工"/>
        <m/>
      </sharedItems>
    </cacheField>
    <cacheField name="金额2" numFmtId="0">
      <sharedItems containsString="0" containsBlank="1" containsNumber="1" minValue="-1860271.4" maxValue="3434372.57" count="130">
        <n v="67189.38"/>
        <n v="170879.39"/>
        <n v="372054.29"/>
        <n v="6529.98"/>
        <n v="30771.1"/>
        <n v="13133.03"/>
        <n v="42151.21"/>
        <n v="676904.43"/>
        <n v="348803.83"/>
        <n v="245498.22"/>
        <n v="3174.34"/>
        <n v="47889.37"/>
        <n v="3849.53"/>
        <n v="282824.79"/>
        <n v="372054.28"/>
        <n v="8589.13"/>
        <n v="23317.52"/>
        <n v="1266.67"/>
        <n v="750726.66"/>
        <n v="9634.51"/>
        <n v="-4481.42"/>
        <n v="264531.96"/>
        <n v="39823.01"/>
        <n v="256146.2"/>
        <n v="12597.72"/>
        <n v="49059.81"/>
        <n v="91931.18"/>
        <n v="2117987.98"/>
        <n v="69739.82"/>
        <n v="2654.87"/>
        <n v="2101.77"/>
        <n v="205637.16"/>
        <n v="10442.48"/>
        <n v="368972.94"/>
        <n v="85270.79"/>
        <n v="62373.61"/>
        <n v="1027317.49"/>
        <n v="1692.28"/>
        <n v="45173.65"/>
        <n v="21888.39"/>
        <n v="1713822.87"/>
        <n v="3434372.57"/>
        <n v="402152.65"/>
        <n v="231688.37"/>
        <n v="554424.77"/>
        <n v="76070.81"/>
        <n v="7433.61"/>
        <n v="6194.7"/>
        <n v="2190.28"/>
        <n v="652212.39"/>
        <n v="545247.4"/>
        <n v="27724.06"/>
        <n v="14859.98"/>
        <n v="57434.74"/>
        <n v="21888.38"/>
        <n v="1159750.25"/>
        <n v="52328.84"/>
        <n v="179575.22"/>
        <n v="217672.56"/>
        <n v="4292.04"/>
        <n v="103392.37"/>
        <n v="1137831.85"/>
        <n v="46017.7"/>
        <n v="104551.65"/>
        <n v="96513.2"/>
        <n v="425949.2"/>
        <n v="847338.06"/>
        <n v="30828.14"/>
        <n v="62990.3"/>
        <n v="2131380.98"/>
        <n v="14684.08"/>
        <n v="388869.47"/>
        <n v="62328.46"/>
        <n v="89177.6"/>
        <n v="742922.75"/>
        <n v="476450.01"/>
        <n v="2232325.69"/>
        <n v="475753.56"/>
        <n v="18099.52"/>
        <n v="184626.61"/>
        <n v="50715.99"/>
        <n v="131330.27"/>
        <n v="41701.76"/>
        <n v="503483.19"/>
        <n v="702001.59"/>
        <n v="92981.23"/>
        <n v="138509.02"/>
        <n v="26017.7"/>
        <n v="2389.38"/>
        <n v="775537.42"/>
        <n v="-1860271.4"/>
        <n v="-153855.51"/>
        <n v="533336.12"/>
        <n v="693512.27"/>
        <n v="20369.06"/>
        <n v="32555.77"/>
        <n v="31631.3"/>
        <n v="195636.11"/>
        <n v="811281.07"/>
        <n v="282356.56"/>
        <n v="7929.05"/>
        <n v="1286402.22"/>
        <n v="520154.43"/>
        <n v="1095505.19"/>
        <n v="21989.68"/>
        <n v="45893.35"/>
        <n v="642491.73"/>
        <n v="247493.89"/>
        <n v="191319.9"/>
        <n v="444599.8"/>
        <n v="7805.31"/>
        <n v="861247.7"/>
        <n v="372862.54"/>
        <n v="15229.25"/>
        <n v="28940.98"/>
        <n v="45152.2"/>
        <n v="92345.69"/>
        <n v="84911.5"/>
        <n v="757083.46"/>
        <n v="352289.76"/>
        <n v="1290164.99"/>
        <n v="17047.3"/>
        <n v="48056.43"/>
        <n v="911870.64"/>
        <n v="617918.67"/>
        <n v="32808.32"/>
        <n v="430289.5"/>
        <n v="3185.84"/>
        <n v="861756.23"/>
        <m/>
      </sharedItems>
    </cacheField>
    <cacheField name="fff" numFmtId="43">
      <sharedItems containsString="0" containsBlank="1" containsNumber="1" containsInteger="1" minValue="0" maxValue="0" count="2">
        <n v="0"/>
        <m/>
      </sharedItems>
    </cacheField>
    <cacheField name="抵消科目" numFmtId="0">
      <sharedItems containsBlank="1" count="7">
        <s v="营业成本"/>
        <s v="财务费用"/>
        <s v="销售费用"/>
        <s v="研发费用"/>
        <m/>
        <s v="管理费用" u="1"/>
        <s v="存货" u="1"/>
      </sharedItems>
    </cacheField>
  </cacheFields>
</pivotCacheDefinition>
</file>

<file path=xl/pivotCache/pivotCacheRecords1.xml><?xml version="1.0" encoding="utf-8"?>
<pivotCacheRecords xmlns="http://schemas.openxmlformats.org/spreadsheetml/2006/main" xmlns:r="http://schemas.openxmlformats.org/officeDocument/2006/relationships" count="177">
  <r>
    <x v="0"/>
    <x v="0"/>
    <x v="0"/>
    <x v="0"/>
    <x v="0"/>
    <x v="0"/>
    <x v="0"/>
    <x v="0"/>
    <x v="0"/>
    <x v="0"/>
    <x v="0"/>
  </r>
  <r>
    <x v="0"/>
    <x v="0"/>
    <x v="1"/>
    <x v="1"/>
    <x v="0"/>
    <x v="0"/>
    <x v="0"/>
    <x v="1"/>
    <x v="1"/>
    <x v="0"/>
    <x v="0"/>
  </r>
  <r>
    <x v="0"/>
    <x v="0"/>
    <x v="1"/>
    <x v="2"/>
    <x v="1"/>
    <x v="0"/>
    <x v="0"/>
    <x v="2"/>
    <x v="2"/>
    <x v="0"/>
    <x v="0"/>
  </r>
  <r>
    <x v="0"/>
    <x v="0"/>
    <x v="1"/>
    <x v="3"/>
    <x v="0"/>
    <x v="0"/>
    <x v="1"/>
    <x v="1"/>
    <x v="3"/>
    <x v="0"/>
    <x v="0"/>
  </r>
  <r>
    <x v="0"/>
    <x v="0"/>
    <x v="1"/>
    <x v="4"/>
    <x v="1"/>
    <x v="0"/>
    <x v="1"/>
    <x v="2"/>
    <x v="4"/>
    <x v="0"/>
    <x v="0"/>
  </r>
  <r>
    <x v="0"/>
    <x v="0"/>
    <x v="1"/>
    <x v="5"/>
    <x v="0"/>
    <x v="0"/>
    <x v="2"/>
    <x v="2"/>
    <x v="5"/>
    <x v="0"/>
    <x v="0"/>
  </r>
  <r>
    <x v="0"/>
    <x v="0"/>
    <x v="1"/>
    <x v="6"/>
    <x v="0"/>
    <x v="0"/>
    <x v="2"/>
    <x v="1"/>
    <x v="6"/>
    <x v="0"/>
    <x v="0"/>
  </r>
  <r>
    <x v="0"/>
    <x v="1"/>
    <x v="0"/>
    <x v="7"/>
    <x v="0"/>
    <x v="0"/>
    <x v="3"/>
    <x v="0"/>
    <x v="7"/>
    <x v="0"/>
    <x v="0"/>
  </r>
  <r>
    <x v="0"/>
    <x v="2"/>
    <x v="0"/>
    <x v="8"/>
    <x v="0"/>
    <x v="0"/>
    <x v="0"/>
    <x v="3"/>
    <x v="8"/>
    <x v="0"/>
    <x v="0"/>
  </r>
  <r>
    <x v="0"/>
    <x v="2"/>
    <x v="0"/>
    <x v="9"/>
    <x v="0"/>
    <x v="0"/>
    <x v="0"/>
    <x v="4"/>
    <x v="9"/>
    <x v="0"/>
    <x v="0"/>
  </r>
  <r>
    <x v="0"/>
    <x v="2"/>
    <x v="0"/>
    <x v="10"/>
    <x v="0"/>
    <x v="0"/>
    <x v="3"/>
    <x v="4"/>
    <x v="10"/>
    <x v="0"/>
    <x v="0"/>
  </r>
  <r>
    <x v="0"/>
    <x v="3"/>
    <x v="0"/>
    <x v="11"/>
    <x v="0"/>
    <x v="0"/>
    <x v="0"/>
    <x v="5"/>
    <x v="11"/>
    <x v="0"/>
    <x v="0"/>
  </r>
  <r>
    <x v="0"/>
    <x v="3"/>
    <x v="0"/>
    <x v="12"/>
    <x v="0"/>
    <x v="0"/>
    <x v="0"/>
    <x v="6"/>
    <x v="12"/>
    <x v="0"/>
    <x v="0"/>
  </r>
  <r>
    <x v="1"/>
    <x v="0"/>
    <x v="1"/>
    <x v="13"/>
    <x v="0"/>
    <x v="1"/>
    <x v="0"/>
    <x v="1"/>
    <x v="13"/>
    <x v="0"/>
    <x v="0"/>
  </r>
  <r>
    <x v="1"/>
    <x v="0"/>
    <x v="1"/>
    <x v="14"/>
    <x v="0"/>
    <x v="1"/>
    <x v="0"/>
    <x v="2"/>
    <x v="14"/>
    <x v="0"/>
    <x v="0"/>
  </r>
  <r>
    <x v="1"/>
    <x v="0"/>
    <x v="1"/>
    <x v="15"/>
    <x v="0"/>
    <x v="1"/>
    <x v="1"/>
    <x v="1"/>
    <x v="15"/>
    <x v="0"/>
    <x v="0"/>
  </r>
  <r>
    <x v="1"/>
    <x v="0"/>
    <x v="1"/>
    <x v="4"/>
    <x v="0"/>
    <x v="1"/>
    <x v="1"/>
    <x v="2"/>
    <x v="4"/>
    <x v="0"/>
    <x v="0"/>
  </r>
  <r>
    <x v="1"/>
    <x v="0"/>
    <x v="1"/>
    <x v="16"/>
    <x v="0"/>
    <x v="1"/>
    <x v="2"/>
    <x v="1"/>
    <x v="16"/>
    <x v="0"/>
    <x v="0"/>
  </r>
  <r>
    <x v="1"/>
    <x v="0"/>
    <x v="1"/>
    <x v="5"/>
    <x v="0"/>
    <x v="1"/>
    <x v="2"/>
    <x v="2"/>
    <x v="5"/>
    <x v="0"/>
    <x v="0"/>
  </r>
  <r>
    <x v="1"/>
    <x v="0"/>
    <x v="2"/>
    <x v="17"/>
    <x v="0"/>
    <x v="1"/>
    <x v="1"/>
    <x v="7"/>
    <x v="17"/>
    <x v="0"/>
    <x v="1"/>
  </r>
  <r>
    <x v="1"/>
    <x v="1"/>
    <x v="0"/>
    <x v="18"/>
    <x v="0"/>
    <x v="1"/>
    <x v="3"/>
    <x v="0"/>
    <x v="18"/>
    <x v="0"/>
    <x v="0"/>
  </r>
  <r>
    <x v="1"/>
    <x v="1"/>
    <x v="0"/>
    <x v="19"/>
    <x v="0"/>
    <x v="1"/>
    <x v="3"/>
    <x v="8"/>
    <x v="19"/>
    <x v="0"/>
    <x v="0"/>
  </r>
  <r>
    <x v="1"/>
    <x v="1"/>
    <x v="1"/>
    <x v="20"/>
    <x v="0"/>
    <x v="1"/>
    <x v="2"/>
    <x v="9"/>
    <x v="20"/>
    <x v="0"/>
    <x v="0"/>
  </r>
  <r>
    <x v="1"/>
    <x v="2"/>
    <x v="0"/>
    <x v="21"/>
    <x v="0"/>
    <x v="1"/>
    <x v="0"/>
    <x v="4"/>
    <x v="21"/>
    <x v="0"/>
    <x v="0"/>
  </r>
  <r>
    <x v="2"/>
    <x v="0"/>
    <x v="0"/>
    <x v="22"/>
    <x v="0"/>
    <x v="2"/>
    <x v="0"/>
    <x v="0"/>
    <x v="22"/>
    <x v="0"/>
    <x v="0"/>
  </r>
  <r>
    <x v="2"/>
    <x v="0"/>
    <x v="1"/>
    <x v="23"/>
    <x v="0"/>
    <x v="2"/>
    <x v="0"/>
    <x v="1"/>
    <x v="23"/>
    <x v="0"/>
    <x v="0"/>
  </r>
  <r>
    <x v="2"/>
    <x v="0"/>
    <x v="1"/>
    <x v="14"/>
    <x v="0"/>
    <x v="2"/>
    <x v="0"/>
    <x v="2"/>
    <x v="14"/>
    <x v="0"/>
    <x v="0"/>
  </r>
  <r>
    <x v="2"/>
    <x v="0"/>
    <x v="1"/>
    <x v="24"/>
    <x v="0"/>
    <x v="2"/>
    <x v="1"/>
    <x v="1"/>
    <x v="24"/>
    <x v="0"/>
    <x v="0"/>
  </r>
  <r>
    <x v="2"/>
    <x v="0"/>
    <x v="1"/>
    <x v="4"/>
    <x v="0"/>
    <x v="2"/>
    <x v="1"/>
    <x v="2"/>
    <x v="4"/>
    <x v="0"/>
    <x v="0"/>
  </r>
  <r>
    <x v="2"/>
    <x v="0"/>
    <x v="1"/>
    <x v="25"/>
    <x v="0"/>
    <x v="2"/>
    <x v="2"/>
    <x v="1"/>
    <x v="25"/>
    <x v="0"/>
    <x v="0"/>
  </r>
  <r>
    <x v="2"/>
    <x v="0"/>
    <x v="1"/>
    <x v="26"/>
    <x v="0"/>
    <x v="2"/>
    <x v="2"/>
    <x v="2"/>
    <x v="26"/>
    <x v="0"/>
    <x v="0"/>
  </r>
  <r>
    <x v="2"/>
    <x v="1"/>
    <x v="0"/>
    <x v="27"/>
    <x v="0"/>
    <x v="2"/>
    <x v="3"/>
    <x v="0"/>
    <x v="27"/>
    <x v="0"/>
    <x v="0"/>
  </r>
  <r>
    <x v="2"/>
    <x v="1"/>
    <x v="0"/>
    <x v="28"/>
    <x v="0"/>
    <x v="2"/>
    <x v="1"/>
    <x v="0"/>
    <x v="28"/>
    <x v="0"/>
    <x v="0"/>
  </r>
  <r>
    <x v="2"/>
    <x v="1"/>
    <x v="0"/>
    <x v="29"/>
    <x v="0"/>
    <x v="2"/>
    <x v="2"/>
    <x v="0"/>
    <x v="29"/>
    <x v="0"/>
    <x v="0"/>
  </r>
  <r>
    <x v="2"/>
    <x v="1"/>
    <x v="0"/>
    <x v="30"/>
    <x v="0"/>
    <x v="2"/>
    <x v="3"/>
    <x v="8"/>
    <x v="30"/>
    <x v="0"/>
    <x v="0"/>
  </r>
  <r>
    <x v="2"/>
    <x v="1"/>
    <x v="0"/>
    <x v="31"/>
    <x v="0"/>
    <x v="2"/>
    <x v="3"/>
    <x v="10"/>
    <x v="31"/>
    <x v="0"/>
    <x v="0"/>
  </r>
  <r>
    <x v="2"/>
    <x v="1"/>
    <x v="1"/>
    <x v="32"/>
    <x v="0"/>
    <x v="2"/>
    <x v="2"/>
    <x v="9"/>
    <x v="32"/>
    <x v="0"/>
    <x v="0"/>
  </r>
  <r>
    <x v="2"/>
    <x v="2"/>
    <x v="0"/>
    <x v="33"/>
    <x v="0"/>
    <x v="2"/>
    <x v="0"/>
    <x v="4"/>
    <x v="33"/>
    <x v="0"/>
    <x v="0"/>
  </r>
  <r>
    <x v="3"/>
    <x v="0"/>
    <x v="0"/>
    <x v="34"/>
    <x v="0"/>
    <x v="3"/>
    <x v="0"/>
    <x v="8"/>
    <x v="34"/>
    <x v="0"/>
    <x v="0"/>
  </r>
  <r>
    <x v="3"/>
    <x v="0"/>
    <x v="1"/>
    <x v="35"/>
    <x v="0"/>
    <x v="3"/>
    <x v="0"/>
    <x v="1"/>
    <x v="35"/>
    <x v="0"/>
    <x v="0"/>
  </r>
  <r>
    <x v="3"/>
    <x v="0"/>
    <x v="1"/>
    <x v="14"/>
    <x v="0"/>
    <x v="3"/>
    <x v="0"/>
    <x v="2"/>
    <x v="14"/>
    <x v="0"/>
    <x v="0"/>
  </r>
  <r>
    <x v="3"/>
    <x v="0"/>
    <x v="1"/>
    <x v="36"/>
    <x v="0"/>
    <x v="3"/>
    <x v="0"/>
    <x v="11"/>
    <x v="36"/>
    <x v="0"/>
    <x v="0"/>
  </r>
  <r>
    <x v="3"/>
    <x v="0"/>
    <x v="1"/>
    <x v="37"/>
    <x v="0"/>
    <x v="3"/>
    <x v="1"/>
    <x v="1"/>
    <x v="37"/>
    <x v="0"/>
    <x v="0"/>
  </r>
  <r>
    <x v="3"/>
    <x v="0"/>
    <x v="1"/>
    <x v="4"/>
    <x v="0"/>
    <x v="3"/>
    <x v="1"/>
    <x v="2"/>
    <x v="4"/>
    <x v="0"/>
    <x v="0"/>
  </r>
  <r>
    <x v="3"/>
    <x v="0"/>
    <x v="1"/>
    <x v="38"/>
    <x v="0"/>
    <x v="3"/>
    <x v="2"/>
    <x v="1"/>
    <x v="38"/>
    <x v="0"/>
    <x v="0"/>
  </r>
  <r>
    <x v="3"/>
    <x v="0"/>
    <x v="1"/>
    <x v="39"/>
    <x v="0"/>
    <x v="3"/>
    <x v="2"/>
    <x v="2"/>
    <x v="39"/>
    <x v="0"/>
    <x v="0"/>
  </r>
  <r>
    <x v="3"/>
    <x v="1"/>
    <x v="0"/>
    <x v="40"/>
    <x v="0"/>
    <x v="3"/>
    <x v="3"/>
    <x v="0"/>
    <x v="40"/>
    <x v="0"/>
    <x v="0"/>
  </r>
  <r>
    <x v="3"/>
    <x v="1"/>
    <x v="0"/>
    <x v="41"/>
    <x v="0"/>
    <x v="3"/>
    <x v="3"/>
    <x v="8"/>
    <x v="41"/>
    <x v="0"/>
    <x v="0"/>
  </r>
  <r>
    <x v="3"/>
    <x v="1"/>
    <x v="0"/>
    <x v="42"/>
    <x v="0"/>
    <x v="3"/>
    <x v="3"/>
    <x v="10"/>
    <x v="42"/>
    <x v="0"/>
    <x v="0"/>
  </r>
  <r>
    <x v="3"/>
    <x v="1"/>
    <x v="1"/>
    <x v="43"/>
    <x v="0"/>
    <x v="3"/>
    <x v="3"/>
    <x v="11"/>
    <x v="43"/>
    <x v="0"/>
    <x v="0"/>
  </r>
  <r>
    <x v="3"/>
    <x v="2"/>
    <x v="0"/>
    <x v="44"/>
    <x v="0"/>
    <x v="3"/>
    <x v="0"/>
    <x v="4"/>
    <x v="44"/>
    <x v="0"/>
    <x v="0"/>
  </r>
  <r>
    <x v="3"/>
    <x v="3"/>
    <x v="0"/>
    <x v="45"/>
    <x v="0"/>
    <x v="3"/>
    <x v="0"/>
    <x v="5"/>
    <x v="45"/>
    <x v="0"/>
    <x v="0"/>
  </r>
  <r>
    <x v="3"/>
    <x v="3"/>
    <x v="0"/>
    <x v="46"/>
    <x v="0"/>
    <x v="3"/>
    <x v="0"/>
    <x v="6"/>
    <x v="46"/>
    <x v="0"/>
    <x v="0"/>
  </r>
  <r>
    <x v="3"/>
    <x v="3"/>
    <x v="0"/>
    <x v="47"/>
    <x v="0"/>
    <x v="3"/>
    <x v="3"/>
    <x v="5"/>
    <x v="47"/>
    <x v="0"/>
    <x v="0"/>
  </r>
  <r>
    <x v="3"/>
    <x v="3"/>
    <x v="0"/>
    <x v="48"/>
    <x v="0"/>
    <x v="3"/>
    <x v="3"/>
    <x v="6"/>
    <x v="48"/>
    <x v="0"/>
    <x v="0"/>
  </r>
  <r>
    <x v="4"/>
    <x v="0"/>
    <x v="0"/>
    <x v="49"/>
    <x v="0"/>
    <x v="4"/>
    <x v="0"/>
    <x v="8"/>
    <x v="49"/>
    <x v="0"/>
    <x v="0"/>
  </r>
  <r>
    <x v="4"/>
    <x v="0"/>
    <x v="1"/>
    <x v="50"/>
    <x v="0"/>
    <x v="4"/>
    <x v="0"/>
    <x v="1"/>
    <x v="50"/>
    <x v="0"/>
    <x v="0"/>
  </r>
  <r>
    <x v="4"/>
    <x v="0"/>
    <x v="1"/>
    <x v="14"/>
    <x v="0"/>
    <x v="4"/>
    <x v="0"/>
    <x v="2"/>
    <x v="14"/>
    <x v="0"/>
    <x v="0"/>
  </r>
  <r>
    <x v="4"/>
    <x v="0"/>
    <x v="1"/>
    <x v="51"/>
    <x v="0"/>
    <x v="4"/>
    <x v="0"/>
    <x v="11"/>
    <x v="51"/>
    <x v="0"/>
    <x v="0"/>
  </r>
  <r>
    <x v="4"/>
    <x v="0"/>
    <x v="1"/>
    <x v="52"/>
    <x v="0"/>
    <x v="4"/>
    <x v="1"/>
    <x v="1"/>
    <x v="52"/>
    <x v="0"/>
    <x v="0"/>
  </r>
  <r>
    <x v="4"/>
    <x v="0"/>
    <x v="1"/>
    <x v="4"/>
    <x v="0"/>
    <x v="4"/>
    <x v="1"/>
    <x v="2"/>
    <x v="4"/>
    <x v="0"/>
    <x v="0"/>
  </r>
  <r>
    <x v="4"/>
    <x v="0"/>
    <x v="1"/>
    <x v="53"/>
    <x v="0"/>
    <x v="4"/>
    <x v="2"/>
    <x v="1"/>
    <x v="53"/>
    <x v="0"/>
    <x v="0"/>
  </r>
  <r>
    <x v="4"/>
    <x v="0"/>
    <x v="1"/>
    <x v="54"/>
    <x v="0"/>
    <x v="4"/>
    <x v="2"/>
    <x v="2"/>
    <x v="54"/>
    <x v="0"/>
    <x v="0"/>
  </r>
  <r>
    <x v="4"/>
    <x v="1"/>
    <x v="0"/>
    <x v="55"/>
    <x v="0"/>
    <x v="4"/>
    <x v="3"/>
    <x v="0"/>
    <x v="55"/>
    <x v="0"/>
    <x v="0"/>
  </r>
  <r>
    <x v="4"/>
    <x v="1"/>
    <x v="0"/>
    <x v="56"/>
    <x v="0"/>
    <x v="4"/>
    <x v="3"/>
    <x v="8"/>
    <x v="56"/>
    <x v="1"/>
    <x v="0"/>
  </r>
  <r>
    <x v="4"/>
    <x v="1"/>
    <x v="0"/>
    <x v="57"/>
    <x v="0"/>
    <x v="4"/>
    <x v="3"/>
    <x v="10"/>
    <x v="57"/>
    <x v="0"/>
    <x v="0"/>
  </r>
  <r>
    <x v="4"/>
    <x v="1"/>
    <x v="0"/>
    <x v="58"/>
    <x v="0"/>
    <x v="4"/>
    <x v="1"/>
    <x v="0"/>
    <x v="58"/>
    <x v="0"/>
    <x v="0"/>
  </r>
  <r>
    <x v="4"/>
    <x v="1"/>
    <x v="0"/>
    <x v="59"/>
    <x v="0"/>
    <x v="4"/>
    <x v="1"/>
    <x v="10"/>
    <x v="59"/>
    <x v="0"/>
    <x v="0"/>
  </r>
  <r>
    <x v="4"/>
    <x v="1"/>
    <x v="1"/>
    <x v="60"/>
    <x v="0"/>
    <x v="4"/>
    <x v="3"/>
    <x v="11"/>
    <x v="60"/>
    <x v="0"/>
    <x v="0"/>
  </r>
  <r>
    <x v="4"/>
    <x v="2"/>
    <x v="0"/>
    <x v="61"/>
    <x v="0"/>
    <x v="4"/>
    <x v="0"/>
    <x v="4"/>
    <x v="61"/>
    <x v="0"/>
    <x v="0"/>
  </r>
  <r>
    <x v="4"/>
    <x v="2"/>
    <x v="0"/>
    <x v="62"/>
    <x v="0"/>
    <x v="4"/>
    <x v="3"/>
    <x v="4"/>
    <x v="62"/>
    <x v="0"/>
    <x v="0"/>
  </r>
  <r>
    <x v="4"/>
    <x v="2"/>
    <x v="1"/>
    <x v="63"/>
    <x v="0"/>
    <x v="4"/>
    <x v="0"/>
    <x v="12"/>
    <x v="63"/>
    <x v="0"/>
    <x v="2"/>
  </r>
  <r>
    <x v="4"/>
    <x v="2"/>
    <x v="1"/>
    <x v="64"/>
    <x v="0"/>
    <x v="4"/>
    <x v="3"/>
    <x v="12"/>
    <x v="64"/>
    <x v="0"/>
    <x v="2"/>
  </r>
  <r>
    <x v="5"/>
    <x v="0"/>
    <x v="1"/>
    <x v="65"/>
    <x v="0"/>
    <x v="5"/>
    <x v="0"/>
    <x v="1"/>
    <x v="65"/>
    <x v="0"/>
    <x v="0"/>
  </r>
  <r>
    <x v="5"/>
    <x v="0"/>
    <x v="1"/>
    <x v="66"/>
    <x v="0"/>
    <x v="5"/>
    <x v="0"/>
    <x v="11"/>
    <x v="66"/>
    <x v="0"/>
    <x v="0"/>
  </r>
  <r>
    <x v="5"/>
    <x v="0"/>
    <x v="1"/>
    <x v="14"/>
    <x v="0"/>
    <x v="5"/>
    <x v="0"/>
    <x v="2"/>
    <x v="14"/>
    <x v="0"/>
    <x v="0"/>
  </r>
  <r>
    <x v="5"/>
    <x v="0"/>
    <x v="1"/>
    <x v="67"/>
    <x v="0"/>
    <x v="5"/>
    <x v="1"/>
    <x v="1"/>
    <x v="67"/>
    <x v="0"/>
    <x v="0"/>
  </r>
  <r>
    <x v="5"/>
    <x v="0"/>
    <x v="1"/>
    <x v="4"/>
    <x v="0"/>
    <x v="5"/>
    <x v="1"/>
    <x v="2"/>
    <x v="4"/>
    <x v="0"/>
    <x v="0"/>
  </r>
  <r>
    <x v="5"/>
    <x v="0"/>
    <x v="1"/>
    <x v="68"/>
    <x v="0"/>
    <x v="5"/>
    <x v="2"/>
    <x v="1"/>
    <x v="68"/>
    <x v="0"/>
    <x v="0"/>
  </r>
  <r>
    <x v="5"/>
    <x v="0"/>
    <x v="1"/>
    <x v="54"/>
    <x v="0"/>
    <x v="5"/>
    <x v="2"/>
    <x v="2"/>
    <x v="54"/>
    <x v="0"/>
    <x v="0"/>
  </r>
  <r>
    <x v="5"/>
    <x v="1"/>
    <x v="0"/>
    <x v="69"/>
    <x v="0"/>
    <x v="5"/>
    <x v="3"/>
    <x v="0"/>
    <x v="69"/>
    <x v="0"/>
    <x v="0"/>
  </r>
  <r>
    <x v="5"/>
    <x v="1"/>
    <x v="0"/>
    <x v="70"/>
    <x v="0"/>
    <x v="5"/>
    <x v="3"/>
    <x v="8"/>
    <x v="70"/>
    <x v="0"/>
    <x v="0"/>
  </r>
  <r>
    <x v="5"/>
    <x v="1"/>
    <x v="0"/>
    <x v="71"/>
    <x v="0"/>
    <x v="5"/>
    <x v="3"/>
    <x v="10"/>
    <x v="71"/>
    <x v="0"/>
    <x v="0"/>
  </r>
  <r>
    <x v="5"/>
    <x v="1"/>
    <x v="1"/>
    <x v="72"/>
    <x v="0"/>
    <x v="5"/>
    <x v="3"/>
    <x v="11"/>
    <x v="72"/>
    <x v="0"/>
    <x v="0"/>
  </r>
  <r>
    <x v="5"/>
    <x v="1"/>
    <x v="1"/>
    <x v="73"/>
    <x v="0"/>
    <x v="5"/>
    <x v="3"/>
    <x v="13"/>
    <x v="73"/>
    <x v="0"/>
    <x v="0"/>
  </r>
  <r>
    <x v="5"/>
    <x v="2"/>
    <x v="0"/>
    <x v="74"/>
    <x v="0"/>
    <x v="5"/>
    <x v="0"/>
    <x v="4"/>
    <x v="74"/>
    <x v="0"/>
    <x v="0"/>
  </r>
  <r>
    <x v="6"/>
    <x v="0"/>
    <x v="1"/>
    <x v="75"/>
    <x v="0"/>
    <x v="6"/>
    <x v="0"/>
    <x v="1"/>
    <x v="75"/>
    <x v="0"/>
    <x v="0"/>
  </r>
  <r>
    <x v="6"/>
    <x v="0"/>
    <x v="1"/>
    <x v="76"/>
    <x v="1"/>
    <x v="6"/>
    <x v="0"/>
    <x v="2"/>
    <x v="76"/>
    <x v="0"/>
    <x v="0"/>
  </r>
  <r>
    <x v="6"/>
    <x v="0"/>
    <x v="1"/>
    <x v="77"/>
    <x v="1"/>
    <x v="6"/>
    <x v="0"/>
    <x v="11"/>
    <x v="77"/>
    <x v="0"/>
    <x v="0"/>
  </r>
  <r>
    <x v="6"/>
    <x v="0"/>
    <x v="1"/>
    <x v="78"/>
    <x v="0"/>
    <x v="6"/>
    <x v="1"/>
    <x v="1"/>
    <x v="78"/>
    <x v="0"/>
    <x v="0"/>
  </r>
  <r>
    <x v="6"/>
    <x v="0"/>
    <x v="1"/>
    <x v="79"/>
    <x v="0"/>
    <x v="6"/>
    <x v="1"/>
    <x v="2"/>
    <x v="79"/>
    <x v="0"/>
    <x v="0"/>
  </r>
  <r>
    <x v="6"/>
    <x v="0"/>
    <x v="1"/>
    <x v="80"/>
    <x v="0"/>
    <x v="6"/>
    <x v="2"/>
    <x v="1"/>
    <x v="80"/>
    <x v="0"/>
    <x v="0"/>
  </r>
  <r>
    <x v="6"/>
    <x v="0"/>
    <x v="1"/>
    <x v="81"/>
    <x v="0"/>
    <x v="6"/>
    <x v="2"/>
    <x v="2"/>
    <x v="81"/>
    <x v="0"/>
    <x v="0"/>
  </r>
  <r>
    <x v="6"/>
    <x v="1"/>
    <x v="0"/>
    <x v="82"/>
    <x v="0"/>
    <x v="6"/>
    <x v="3"/>
    <x v="8"/>
    <x v="82"/>
    <x v="0"/>
    <x v="0"/>
  </r>
  <r>
    <x v="6"/>
    <x v="1"/>
    <x v="0"/>
    <x v="83"/>
    <x v="0"/>
    <x v="6"/>
    <x v="3"/>
    <x v="10"/>
    <x v="83"/>
    <x v="0"/>
    <x v="0"/>
  </r>
  <r>
    <x v="6"/>
    <x v="1"/>
    <x v="0"/>
    <x v="84"/>
    <x v="0"/>
    <x v="6"/>
    <x v="3"/>
    <x v="0"/>
    <x v="84"/>
    <x v="0"/>
    <x v="0"/>
  </r>
  <r>
    <x v="6"/>
    <x v="1"/>
    <x v="0"/>
    <x v="85"/>
    <x v="1"/>
    <x v="6"/>
    <x v="1"/>
    <x v="0"/>
    <x v="85"/>
    <x v="0"/>
    <x v="0"/>
  </r>
  <r>
    <x v="6"/>
    <x v="1"/>
    <x v="1"/>
    <x v="86"/>
    <x v="0"/>
    <x v="6"/>
    <x v="3"/>
    <x v="14"/>
    <x v="86"/>
    <x v="0"/>
    <x v="3"/>
  </r>
  <r>
    <x v="6"/>
    <x v="1"/>
    <x v="1"/>
    <x v="87"/>
    <x v="0"/>
    <x v="6"/>
    <x v="2"/>
    <x v="9"/>
    <x v="87"/>
    <x v="0"/>
    <x v="0"/>
  </r>
  <r>
    <x v="6"/>
    <x v="3"/>
    <x v="0"/>
    <x v="88"/>
    <x v="0"/>
    <x v="6"/>
    <x v="0"/>
    <x v="6"/>
    <x v="88"/>
    <x v="0"/>
    <x v="0"/>
  </r>
  <r>
    <x v="6"/>
    <x v="2"/>
    <x v="0"/>
    <x v="89"/>
    <x v="0"/>
    <x v="6"/>
    <x v="0"/>
    <x v="4"/>
    <x v="89"/>
    <x v="0"/>
    <x v="0"/>
  </r>
  <r>
    <x v="6"/>
    <x v="0"/>
    <x v="1"/>
    <x v="90"/>
    <x v="0"/>
    <x v="6"/>
    <x v="0"/>
    <x v="2"/>
    <x v="90"/>
    <x v="0"/>
    <x v="0"/>
  </r>
  <r>
    <x v="6"/>
    <x v="0"/>
    <x v="1"/>
    <x v="91"/>
    <x v="0"/>
    <x v="6"/>
    <x v="1"/>
    <x v="2"/>
    <x v="91"/>
    <x v="0"/>
    <x v="0"/>
  </r>
  <r>
    <x v="7"/>
    <x v="0"/>
    <x v="1"/>
    <x v="92"/>
    <x v="0"/>
    <x v="7"/>
    <x v="0"/>
    <x v="1"/>
    <x v="92"/>
    <x v="0"/>
    <x v="0"/>
  </r>
  <r>
    <x v="7"/>
    <x v="0"/>
    <x v="1"/>
    <x v="14"/>
    <x v="1"/>
    <x v="7"/>
    <x v="0"/>
    <x v="2"/>
    <x v="14"/>
    <x v="0"/>
    <x v="0"/>
  </r>
  <r>
    <x v="7"/>
    <x v="0"/>
    <x v="1"/>
    <x v="93"/>
    <x v="1"/>
    <x v="7"/>
    <x v="0"/>
    <x v="11"/>
    <x v="93"/>
    <x v="0"/>
    <x v="0"/>
  </r>
  <r>
    <x v="7"/>
    <x v="0"/>
    <x v="1"/>
    <x v="94"/>
    <x v="0"/>
    <x v="7"/>
    <x v="1"/>
    <x v="1"/>
    <x v="94"/>
    <x v="0"/>
    <x v="0"/>
  </r>
  <r>
    <x v="7"/>
    <x v="0"/>
    <x v="1"/>
    <x v="4"/>
    <x v="0"/>
    <x v="7"/>
    <x v="1"/>
    <x v="2"/>
    <x v="4"/>
    <x v="0"/>
    <x v="0"/>
  </r>
  <r>
    <x v="7"/>
    <x v="0"/>
    <x v="1"/>
    <x v="95"/>
    <x v="0"/>
    <x v="7"/>
    <x v="2"/>
    <x v="1"/>
    <x v="95"/>
    <x v="0"/>
    <x v="0"/>
  </r>
  <r>
    <x v="7"/>
    <x v="1"/>
    <x v="0"/>
    <x v="96"/>
    <x v="0"/>
    <x v="7"/>
    <x v="3"/>
    <x v="8"/>
    <x v="96"/>
    <x v="0"/>
    <x v="0"/>
  </r>
  <r>
    <x v="7"/>
    <x v="1"/>
    <x v="0"/>
    <x v="97"/>
    <x v="0"/>
    <x v="7"/>
    <x v="3"/>
    <x v="10"/>
    <x v="97"/>
    <x v="0"/>
    <x v="0"/>
  </r>
  <r>
    <x v="7"/>
    <x v="1"/>
    <x v="0"/>
    <x v="98"/>
    <x v="0"/>
    <x v="7"/>
    <x v="3"/>
    <x v="0"/>
    <x v="98"/>
    <x v="0"/>
    <x v="0"/>
  </r>
  <r>
    <x v="7"/>
    <x v="1"/>
    <x v="1"/>
    <x v="99"/>
    <x v="0"/>
    <x v="7"/>
    <x v="3"/>
    <x v="14"/>
    <x v="99"/>
    <x v="0"/>
    <x v="3"/>
  </r>
  <r>
    <x v="7"/>
    <x v="1"/>
    <x v="1"/>
    <x v="100"/>
    <x v="0"/>
    <x v="7"/>
    <x v="3"/>
    <x v="15"/>
    <x v="100"/>
    <x v="0"/>
    <x v="0"/>
  </r>
  <r>
    <x v="7"/>
    <x v="2"/>
    <x v="0"/>
    <x v="101"/>
    <x v="1"/>
    <x v="7"/>
    <x v="0"/>
    <x v="4"/>
    <x v="101"/>
    <x v="0"/>
    <x v="0"/>
  </r>
  <r>
    <x v="8"/>
    <x v="0"/>
    <x v="1"/>
    <x v="102"/>
    <x v="0"/>
    <x v="7"/>
    <x v="0"/>
    <x v="1"/>
    <x v="102"/>
    <x v="0"/>
    <x v="0"/>
  </r>
  <r>
    <x v="8"/>
    <x v="0"/>
    <x v="1"/>
    <x v="14"/>
    <x v="0"/>
    <x v="7"/>
    <x v="0"/>
    <x v="2"/>
    <x v="14"/>
    <x v="0"/>
    <x v="0"/>
  </r>
  <r>
    <x v="8"/>
    <x v="0"/>
    <x v="1"/>
    <x v="103"/>
    <x v="0"/>
    <x v="7"/>
    <x v="0"/>
    <x v="11"/>
    <x v="103"/>
    <x v="0"/>
    <x v="0"/>
  </r>
  <r>
    <x v="8"/>
    <x v="0"/>
    <x v="1"/>
    <x v="104"/>
    <x v="0"/>
    <x v="7"/>
    <x v="1"/>
    <x v="1"/>
    <x v="104"/>
    <x v="0"/>
    <x v="0"/>
  </r>
  <r>
    <x v="8"/>
    <x v="0"/>
    <x v="1"/>
    <x v="4"/>
    <x v="0"/>
    <x v="8"/>
    <x v="1"/>
    <x v="2"/>
    <x v="4"/>
    <x v="0"/>
    <x v="0"/>
  </r>
  <r>
    <x v="8"/>
    <x v="0"/>
    <x v="1"/>
    <x v="105"/>
    <x v="1"/>
    <x v="8"/>
    <x v="2"/>
    <x v="1"/>
    <x v="105"/>
    <x v="0"/>
    <x v="0"/>
  </r>
  <r>
    <x v="8"/>
    <x v="1"/>
    <x v="0"/>
    <x v="106"/>
    <x v="1"/>
    <x v="8"/>
    <x v="3"/>
    <x v="0"/>
    <x v="106"/>
    <x v="0"/>
    <x v="0"/>
  </r>
  <r>
    <x v="8"/>
    <x v="1"/>
    <x v="0"/>
    <x v="107"/>
    <x v="0"/>
    <x v="8"/>
    <x v="3"/>
    <x v="8"/>
    <x v="107"/>
    <x v="0"/>
    <x v="0"/>
  </r>
  <r>
    <x v="8"/>
    <x v="1"/>
    <x v="0"/>
    <x v="108"/>
    <x v="0"/>
    <x v="8"/>
    <x v="3"/>
    <x v="10"/>
    <x v="108"/>
    <x v="0"/>
    <x v="0"/>
  </r>
  <r>
    <x v="8"/>
    <x v="1"/>
    <x v="1"/>
    <x v="109"/>
    <x v="0"/>
    <x v="8"/>
    <x v="3"/>
    <x v="16"/>
    <x v="109"/>
    <x v="0"/>
    <x v="0"/>
  </r>
  <r>
    <x v="8"/>
    <x v="1"/>
    <x v="1"/>
    <x v="110"/>
    <x v="0"/>
    <x v="8"/>
    <x v="2"/>
    <x v="9"/>
    <x v="110"/>
    <x v="0"/>
    <x v="0"/>
  </r>
  <r>
    <x v="8"/>
    <x v="2"/>
    <x v="0"/>
    <x v="111"/>
    <x v="0"/>
    <x v="8"/>
    <x v="0"/>
    <x v="4"/>
    <x v="111"/>
    <x v="0"/>
    <x v="0"/>
  </r>
  <r>
    <x v="9"/>
    <x v="0"/>
    <x v="1"/>
    <x v="112"/>
    <x v="0"/>
    <x v="9"/>
    <x v="0"/>
    <x v="1"/>
    <x v="112"/>
    <x v="0"/>
    <x v="0"/>
  </r>
  <r>
    <x v="9"/>
    <x v="0"/>
    <x v="1"/>
    <x v="14"/>
    <x v="1"/>
    <x v="9"/>
    <x v="0"/>
    <x v="2"/>
    <x v="14"/>
    <x v="0"/>
    <x v="0"/>
  </r>
  <r>
    <x v="9"/>
    <x v="0"/>
    <x v="1"/>
    <x v="113"/>
    <x v="0"/>
    <x v="9"/>
    <x v="1"/>
    <x v="1"/>
    <x v="113"/>
    <x v="0"/>
    <x v="0"/>
  </r>
  <r>
    <x v="9"/>
    <x v="0"/>
    <x v="1"/>
    <x v="4"/>
    <x v="0"/>
    <x v="9"/>
    <x v="1"/>
    <x v="2"/>
    <x v="4"/>
    <x v="0"/>
    <x v="0"/>
  </r>
  <r>
    <x v="9"/>
    <x v="0"/>
    <x v="1"/>
    <x v="114"/>
    <x v="0"/>
    <x v="9"/>
    <x v="2"/>
    <x v="1"/>
    <x v="114"/>
    <x v="0"/>
    <x v="0"/>
  </r>
  <r>
    <x v="9"/>
    <x v="1"/>
    <x v="0"/>
    <x v="115"/>
    <x v="0"/>
    <x v="9"/>
    <x v="1"/>
    <x v="0"/>
    <x v="115"/>
    <x v="0"/>
    <x v="0"/>
  </r>
  <r>
    <x v="9"/>
    <x v="1"/>
    <x v="0"/>
    <x v="116"/>
    <x v="0"/>
    <x v="9"/>
    <x v="3"/>
    <x v="8"/>
    <x v="116"/>
    <x v="0"/>
    <x v="0"/>
  </r>
  <r>
    <x v="9"/>
    <x v="1"/>
    <x v="0"/>
    <x v="117"/>
    <x v="0"/>
    <x v="9"/>
    <x v="3"/>
    <x v="10"/>
    <x v="117"/>
    <x v="0"/>
    <x v="0"/>
  </r>
  <r>
    <x v="9"/>
    <x v="2"/>
    <x v="0"/>
    <x v="118"/>
    <x v="0"/>
    <x v="9"/>
    <x v="0"/>
    <x v="4"/>
    <x v="118"/>
    <x v="0"/>
    <x v="0"/>
  </r>
  <r>
    <x v="10"/>
    <x v="0"/>
    <x v="1"/>
    <x v="119"/>
    <x v="0"/>
    <x v="10"/>
    <x v="0"/>
    <x v="1"/>
    <x v="119"/>
    <x v="0"/>
    <x v="0"/>
  </r>
  <r>
    <x v="10"/>
    <x v="0"/>
    <x v="1"/>
    <x v="14"/>
    <x v="0"/>
    <x v="10"/>
    <x v="0"/>
    <x v="2"/>
    <x v="14"/>
    <x v="0"/>
    <x v="0"/>
  </r>
  <r>
    <x v="10"/>
    <x v="0"/>
    <x v="1"/>
    <x v="120"/>
    <x v="0"/>
    <x v="10"/>
    <x v="0"/>
    <x v="11"/>
    <x v="120"/>
    <x v="0"/>
    <x v="0"/>
  </r>
  <r>
    <x v="10"/>
    <x v="0"/>
    <x v="1"/>
    <x v="121"/>
    <x v="0"/>
    <x v="10"/>
    <x v="1"/>
    <x v="1"/>
    <x v="121"/>
    <x v="0"/>
    <x v="0"/>
  </r>
  <r>
    <x v="10"/>
    <x v="0"/>
    <x v="1"/>
    <x v="4"/>
    <x v="0"/>
    <x v="10"/>
    <x v="1"/>
    <x v="2"/>
    <x v="4"/>
    <x v="0"/>
    <x v="0"/>
  </r>
  <r>
    <x v="10"/>
    <x v="0"/>
    <x v="1"/>
    <x v="122"/>
    <x v="0"/>
    <x v="10"/>
    <x v="2"/>
    <x v="1"/>
    <x v="122"/>
    <x v="0"/>
    <x v="0"/>
  </r>
  <r>
    <x v="10"/>
    <x v="1"/>
    <x v="0"/>
    <x v="123"/>
    <x v="0"/>
    <x v="10"/>
    <x v="3"/>
    <x v="0"/>
    <x v="123"/>
    <x v="0"/>
    <x v="0"/>
  </r>
  <r>
    <x v="10"/>
    <x v="1"/>
    <x v="0"/>
    <x v="124"/>
    <x v="0"/>
    <x v="10"/>
    <x v="3"/>
    <x v="10"/>
    <x v="124"/>
    <x v="0"/>
    <x v="0"/>
  </r>
  <r>
    <x v="10"/>
    <x v="1"/>
    <x v="0"/>
    <x v="125"/>
    <x v="0"/>
    <x v="10"/>
    <x v="1"/>
    <x v="0"/>
    <x v="125"/>
    <x v="0"/>
    <x v="0"/>
  </r>
  <r>
    <x v="10"/>
    <x v="1"/>
    <x v="1"/>
    <x v="126"/>
    <x v="0"/>
    <x v="10"/>
    <x v="3"/>
    <x v="14"/>
    <x v="126"/>
    <x v="0"/>
    <x v="3"/>
  </r>
  <r>
    <x v="10"/>
    <x v="1"/>
    <x v="1"/>
    <x v="127"/>
    <x v="0"/>
    <x v="10"/>
    <x v="2"/>
    <x v="9"/>
    <x v="127"/>
    <x v="0"/>
    <x v="0"/>
  </r>
  <r>
    <x v="10"/>
    <x v="2"/>
    <x v="0"/>
    <x v="128"/>
    <x v="0"/>
    <x v="10"/>
    <x v="0"/>
    <x v="4"/>
    <x v="128"/>
    <x v="0"/>
    <x v="0"/>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r>
    <x v="11"/>
    <x v="4"/>
    <x v="3"/>
    <x v="129"/>
    <x v="0"/>
    <x v="11"/>
    <x v="4"/>
    <x v="17"/>
    <x v="129"/>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200:M208" firstHeaderRow="1" firstDataRow="3" firstDataCol="1"/>
  <pivotFields count="11">
    <pivotField compact="0" showAll="0">
      <items count="13">
        <item x="0"/>
        <item x="11"/>
        <item x="1"/>
        <item x="2"/>
        <item x="3"/>
        <item x="4"/>
        <item x="5"/>
        <item x="6"/>
        <item x="7"/>
        <item x="8"/>
        <item x="9"/>
        <item x="10"/>
        <item t="default"/>
      </items>
    </pivotField>
    <pivotField axis="axisRow" compact="0" showAll="0">
      <items count="6">
        <item x="3"/>
        <item x="0"/>
        <item x="1"/>
        <item x="4"/>
        <item x="2"/>
        <item t="default"/>
      </items>
    </pivotField>
    <pivotField axis="axisCol" compact="0" showAll="0">
      <items count="9">
        <item m="1" x="4"/>
        <item x="1"/>
        <item x="0"/>
        <item x="3"/>
        <item m="1" x="7"/>
        <item m="1" x="6"/>
        <item m="1" x="5"/>
        <item x="2"/>
        <item t="default"/>
      </items>
    </pivotField>
    <pivotField compact="0" showAll="0">
      <items count="131">
        <item x="129"/>
        <item x="0"/>
        <item x="1"/>
        <item x="2"/>
        <item x="3"/>
        <item x="4"/>
        <item x="5"/>
        <item x="6"/>
        <item x="7"/>
        <item x="8"/>
        <item x="9"/>
        <item x="10"/>
        <item x="11"/>
        <item x="12"/>
        <item x="13"/>
        <item x="14"/>
        <item x="15"/>
        <item x="16"/>
        <item x="18"/>
        <item x="19"/>
        <item x="20"/>
        <item x="21"/>
        <item x="17"/>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1"/>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compact="0" showAll="0">
      <items count="3">
        <item x="0"/>
        <item x="1"/>
        <item t="default"/>
      </items>
    </pivotField>
    <pivotField compact="0" showAll="0">
      <items count="13">
        <item x="0"/>
        <item x="11"/>
        <item x="1"/>
        <item x="2"/>
        <item x="3"/>
        <item x="4"/>
        <item x="5"/>
        <item x="6"/>
        <item x="7"/>
        <item x="8"/>
        <item x="9"/>
        <item x="10"/>
        <item t="default"/>
      </items>
    </pivotField>
    <pivotField compact="0" showAll="0">
      <items count="6">
        <item x="1"/>
        <item x="3"/>
        <item x="0"/>
        <item x="4"/>
        <item x="2"/>
        <item t="default"/>
      </items>
    </pivotField>
    <pivotField compact="0" showAll="0">
      <items count="19">
        <item x="0"/>
        <item x="1"/>
        <item x="2"/>
        <item x="5"/>
        <item x="17"/>
        <item x="4"/>
        <item x="6"/>
        <item x="3"/>
        <item x="8"/>
        <item x="9"/>
        <item x="7"/>
        <item x="10"/>
        <item x="11"/>
        <item x="12"/>
        <item x="13"/>
        <item x="14"/>
        <item x="15"/>
        <item x="16"/>
        <item t="default"/>
      </items>
    </pivotField>
    <pivotField dataField="1" compact="0" showAll="0">
      <items count="131">
        <item x="129"/>
        <item x="0"/>
        <item x="1"/>
        <item x="2"/>
        <item x="3"/>
        <item x="4"/>
        <item x="5"/>
        <item x="6"/>
        <item x="7"/>
        <item x="8"/>
        <item x="9"/>
        <item x="10"/>
        <item x="11"/>
        <item x="12"/>
        <item x="13"/>
        <item x="14"/>
        <item x="15"/>
        <item x="16"/>
        <item x="18"/>
        <item x="19"/>
        <item x="20"/>
        <item x="21"/>
        <item x="17"/>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1"/>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compact="0" showAll="0">
      <items count="3">
        <item x="0"/>
        <item x="1"/>
        <item t="default"/>
      </items>
    </pivotField>
    <pivotField axis="axisCol" compact="0" showAll="0">
      <items count="8">
        <item x="1"/>
        <item m="1" x="5"/>
        <item x="0"/>
        <item x="4"/>
        <item m="1" x="6"/>
        <item x="2"/>
        <item x="3"/>
        <item t="default"/>
      </items>
    </pivotField>
  </pivotFields>
  <rowFields count="1">
    <field x="1"/>
  </rowFields>
  <rowItems count="6">
    <i>
      <x/>
    </i>
    <i>
      <x v="1"/>
    </i>
    <i>
      <x v="2"/>
    </i>
    <i>
      <x v="3"/>
    </i>
    <i>
      <x v="4"/>
    </i>
    <i t="grand">
      <x/>
    </i>
  </rowItems>
  <colFields count="2">
    <field x="2"/>
    <field x="10"/>
  </colFields>
  <colItems count="11">
    <i>
      <x v="1"/>
      <x v="2"/>
    </i>
    <i r="1">
      <x v="5"/>
    </i>
    <i r="1">
      <x v="6"/>
    </i>
    <i t="default">
      <x v="1"/>
    </i>
    <i>
      <x v="2"/>
      <x v="2"/>
    </i>
    <i t="default">
      <x v="2"/>
    </i>
    <i>
      <x v="3"/>
      <x v="3"/>
    </i>
    <i t="default">
      <x v="3"/>
    </i>
    <i>
      <x v="7"/>
      <x/>
    </i>
    <i t="default">
      <x v="7"/>
    </i>
    <i t="grand">
      <x/>
    </i>
  </colItems>
  <dataFields count="1">
    <dataField name="求和项:金额2" fld="8" baseField="0" baseItem="0"/>
  </dataFields>
  <formats count="36">
    <format dxfId="0">
      <pivotArea type="all" dataOnly="0" outline="0" fieldPosition="0"/>
    </format>
    <format dxfId="1">
      <pivotArea collapsedLevelsAreSubtotals="1" fieldPosition="0">
        <references count="3">
          <reference field="1" count="1" selected="0">
            <x v="1"/>
          </reference>
          <reference field="10" count="1" selected="0">
            <x v="2"/>
          </reference>
          <reference field="2" count="1" selected="0">
            <x v="1"/>
          </reference>
        </references>
      </pivotArea>
    </format>
    <format dxfId="2">
      <pivotArea collapsedLevelsAreSubtotals="1" fieldPosition="0">
        <references count="2">
          <reference field="1" count="1" selected="0">
            <x v="1"/>
          </reference>
          <reference field="2" count="1" selected="0" defaultSubtotal="1">
            <x v="1"/>
          </reference>
        </references>
      </pivotArea>
    </format>
    <format dxfId="3">
      <pivotArea collapsedLevelsAreSubtotals="1" fieldPosition="0">
        <references count="3">
          <reference field="1" count="1" selected="0">
            <x v="1"/>
          </reference>
          <reference field="10" count="1" selected="0">
            <x v="2"/>
          </reference>
          <reference field="2" count="1" selected="0">
            <x v="2"/>
          </reference>
        </references>
      </pivotArea>
    </format>
    <format dxfId="4">
      <pivotArea collapsedLevelsAreSubtotals="1" fieldPosition="0">
        <references count="2">
          <reference field="1" count="1" selected="0">
            <x v="1"/>
          </reference>
          <reference field="2" count="1" selected="0" defaultSubtotal="1">
            <x v="2"/>
          </reference>
        </references>
      </pivotArea>
    </format>
    <format dxfId="5">
      <pivotArea collapsedLevelsAreSubtotals="1" fieldPosition="0">
        <references count="3">
          <reference field="1" count="1" selected="0">
            <x v="1"/>
          </reference>
          <reference field="10" count="1" selected="0">
            <x v="3"/>
          </reference>
          <reference field="2" count="1" selected="0">
            <x v="3"/>
          </reference>
        </references>
      </pivotArea>
    </format>
    <format dxfId="6">
      <pivotArea collapsedLevelsAreSubtotals="1" fieldPosition="0">
        <references count="2">
          <reference field="1" count="1" selected="0">
            <x v="1"/>
          </reference>
          <reference field="2" count="1" selected="0" defaultSubtotal="1">
            <x v="3"/>
          </reference>
        </references>
      </pivotArea>
    </format>
    <format dxfId="7">
      <pivotArea grandCol="1" collapsedLevelsAreSubtotals="1" fieldPosition="0">
        <references count="1">
          <reference field="1" count="1" selected="0">
            <x v="1"/>
          </reference>
        </references>
      </pivotArea>
    </format>
    <format dxfId="8">
      <pivotArea collapsedLevelsAreSubtotals="1" fieldPosition="0">
        <references count="3">
          <reference field="1" count="1" selected="0">
            <x v="2"/>
          </reference>
          <reference field="10" count="1" selected="0">
            <x v="2"/>
          </reference>
          <reference field="2" count="1" selected="0">
            <x v="1"/>
          </reference>
        </references>
      </pivotArea>
    </format>
    <format dxfId="9">
      <pivotArea collapsedLevelsAreSubtotals="1" fieldPosition="0">
        <references count="2">
          <reference field="1" count="1" selected="0">
            <x v="2"/>
          </reference>
          <reference field="2" count="1" selected="0" defaultSubtotal="1">
            <x v="1"/>
          </reference>
        </references>
      </pivotArea>
    </format>
    <format dxfId="10">
      <pivotArea collapsedLevelsAreSubtotals="1" fieldPosition="0">
        <references count="3">
          <reference field="1" count="1" selected="0">
            <x v="2"/>
          </reference>
          <reference field="10" count="1" selected="0">
            <x v="2"/>
          </reference>
          <reference field="2" count="1" selected="0">
            <x v="2"/>
          </reference>
        </references>
      </pivotArea>
    </format>
    <format dxfId="11">
      <pivotArea collapsedLevelsAreSubtotals="1" fieldPosition="0">
        <references count="2">
          <reference field="1" count="1" selected="0">
            <x v="2"/>
          </reference>
          <reference field="2" count="1" selected="0" defaultSubtotal="1">
            <x v="2"/>
          </reference>
        </references>
      </pivotArea>
    </format>
    <format dxfId="12">
      <pivotArea collapsedLevelsAreSubtotals="1" fieldPosition="0">
        <references count="3">
          <reference field="1" count="1" selected="0">
            <x v="2"/>
          </reference>
          <reference field="10" count="1" selected="0">
            <x v="3"/>
          </reference>
          <reference field="2" count="1" selected="0">
            <x v="3"/>
          </reference>
        </references>
      </pivotArea>
    </format>
    <format dxfId="13">
      <pivotArea collapsedLevelsAreSubtotals="1" fieldPosition="0">
        <references count="2">
          <reference field="1" count="1" selected="0">
            <x v="2"/>
          </reference>
          <reference field="2" count="1" selected="0" defaultSubtotal="1">
            <x v="3"/>
          </reference>
        </references>
      </pivotArea>
    </format>
    <format dxfId="14">
      <pivotArea grandCol="1" collapsedLevelsAreSubtotals="1" fieldPosition="0">
        <references count="1">
          <reference field="1" count="1" selected="0">
            <x v="2"/>
          </reference>
        </references>
      </pivotArea>
    </format>
    <format dxfId="15">
      <pivotArea collapsedLevelsAreSubtotals="1" fieldPosition="0">
        <references count="3">
          <reference field="1" count="1" selected="0">
            <x v="3"/>
          </reference>
          <reference field="10" count="1" selected="0">
            <x v="2"/>
          </reference>
          <reference field="2" count="1" selected="0">
            <x v="1"/>
          </reference>
        </references>
      </pivotArea>
    </format>
    <format dxfId="16">
      <pivotArea collapsedLevelsAreSubtotals="1" fieldPosition="0">
        <references count="2">
          <reference field="1" count="1" selected="0">
            <x v="3"/>
          </reference>
          <reference field="2" count="1" selected="0" defaultSubtotal="1">
            <x v="1"/>
          </reference>
        </references>
      </pivotArea>
    </format>
    <format dxfId="17">
      <pivotArea collapsedLevelsAreSubtotals="1" fieldPosition="0">
        <references count="3">
          <reference field="1" count="1" selected="0">
            <x v="3"/>
          </reference>
          <reference field="10" count="1" selected="0">
            <x v="2"/>
          </reference>
          <reference field="2" count="1" selected="0">
            <x v="2"/>
          </reference>
        </references>
      </pivotArea>
    </format>
    <format dxfId="18">
      <pivotArea collapsedLevelsAreSubtotals="1" fieldPosition="0">
        <references count="2">
          <reference field="1" count="1" selected="0">
            <x v="3"/>
          </reference>
          <reference field="2" count="1" selected="0" defaultSubtotal="1">
            <x v="2"/>
          </reference>
        </references>
      </pivotArea>
    </format>
    <format dxfId="19">
      <pivotArea collapsedLevelsAreSubtotals="1" fieldPosition="0">
        <references count="3">
          <reference field="1" count="1" selected="0">
            <x v="3"/>
          </reference>
          <reference field="10" count="1" selected="0">
            <x v="3"/>
          </reference>
          <reference field="2" count="1" selected="0">
            <x v="3"/>
          </reference>
        </references>
      </pivotArea>
    </format>
    <format dxfId="20">
      <pivotArea collapsedLevelsAreSubtotals="1" fieldPosition="0">
        <references count="2">
          <reference field="1" count="1" selected="0">
            <x v="3"/>
          </reference>
          <reference field="2" count="1" selected="0" defaultSubtotal="1">
            <x v="3"/>
          </reference>
        </references>
      </pivotArea>
    </format>
    <format dxfId="21">
      <pivotArea grandCol="1" collapsedLevelsAreSubtotals="1" fieldPosition="0">
        <references count="1">
          <reference field="1" count="1" selected="0">
            <x v="3"/>
          </reference>
        </references>
      </pivotArea>
    </format>
    <format dxfId="22">
      <pivotArea collapsedLevelsAreSubtotals="1" fieldPosition="0">
        <references count="3">
          <reference field="1" count="1" selected="0">
            <x v="4"/>
          </reference>
          <reference field="10" count="1" selected="0">
            <x v="2"/>
          </reference>
          <reference field="2" count="1" selected="0">
            <x v="1"/>
          </reference>
        </references>
      </pivotArea>
    </format>
    <format dxfId="23">
      <pivotArea collapsedLevelsAreSubtotals="1" fieldPosition="0">
        <references count="2">
          <reference field="1" count="1" selected="0">
            <x v="4"/>
          </reference>
          <reference field="2" count="1" selected="0" defaultSubtotal="1">
            <x v="1"/>
          </reference>
        </references>
      </pivotArea>
    </format>
    <format dxfId="24">
      <pivotArea collapsedLevelsAreSubtotals="1" fieldPosition="0">
        <references count="3">
          <reference field="1" count="1" selected="0">
            <x v="4"/>
          </reference>
          <reference field="10" count="1" selected="0">
            <x v="2"/>
          </reference>
          <reference field="2" count="1" selected="0">
            <x v="2"/>
          </reference>
        </references>
      </pivotArea>
    </format>
    <format dxfId="25">
      <pivotArea collapsedLevelsAreSubtotals="1" fieldPosition="0">
        <references count="2">
          <reference field="1" count="1" selected="0">
            <x v="4"/>
          </reference>
          <reference field="2" count="1" selected="0" defaultSubtotal="1">
            <x v="2"/>
          </reference>
        </references>
      </pivotArea>
    </format>
    <format dxfId="26">
      <pivotArea collapsedLevelsAreSubtotals="1" fieldPosition="0">
        <references count="3">
          <reference field="1" count="1" selected="0">
            <x v="4"/>
          </reference>
          <reference field="10" count="1" selected="0">
            <x v="3"/>
          </reference>
          <reference field="2" count="1" selected="0">
            <x v="3"/>
          </reference>
        </references>
      </pivotArea>
    </format>
    <format dxfId="27">
      <pivotArea collapsedLevelsAreSubtotals="1" fieldPosition="0">
        <references count="2">
          <reference field="1" count="1" selected="0">
            <x v="4"/>
          </reference>
          <reference field="2" count="1" selected="0" defaultSubtotal="1">
            <x v="3"/>
          </reference>
        </references>
      </pivotArea>
    </format>
    <format dxfId="28">
      <pivotArea grandCol="1" collapsedLevelsAreSubtotals="1" fieldPosition="0">
        <references count="1">
          <reference field="1" count="1" selected="0">
            <x v="4"/>
          </reference>
        </references>
      </pivotArea>
    </format>
    <format dxfId="29">
      <pivotArea grandRow="1" collapsedLevelsAreSubtotals="1" fieldPosition="0">
        <references count="2">
          <reference field="10" count="1" selected="0">
            <x v="2"/>
          </reference>
          <reference field="2" count="1" selected="0">
            <x v="1"/>
          </reference>
        </references>
      </pivotArea>
    </format>
    <format dxfId="30">
      <pivotArea grandRow="1" collapsedLevelsAreSubtotals="1" fieldPosition="0">
        <references count="1">
          <reference field="2" count="1" selected="0" defaultSubtotal="1">
            <x v="1"/>
          </reference>
        </references>
      </pivotArea>
    </format>
    <format dxfId="31">
      <pivotArea grandRow="1" collapsedLevelsAreSubtotals="1" fieldPosition="0">
        <references count="2">
          <reference field="10" count="1" selected="0">
            <x v="2"/>
          </reference>
          <reference field="2" count="1" selected="0">
            <x v="2"/>
          </reference>
        </references>
      </pivotArea>
    </format>
    <format dxfId="32">
      <pivotArea grandRow="1" collapsedLevelsAreSubtotals="1" fieldPosition="0">
        <references count="1">
          <reference field="2" count="1" selected="0" defaultSubtotal="1">
            <x v="2"/>
          </reference>
        </references>
      </pivotArea>
    </format>
    <format dxfId="33">
      <pivotArea grandRow="1" collapsedLevelsAreSubtotals="1" fieldPosition="0">
        <references count="2">
          <reference field="10" count="1" selected="0">
            <x v="3"/>
          </reference>
          <reference field="2" count="1" selected="0">
            <x v="3"/>
          </reference>
        </references>
      </pivotArea>
    </format>
    <format dxfId="34">
      <pivotArea grandRow="1" collapsedLevelsAreSubtotals="1" fieldPosition="0">
        <references count="1">
          <reference field="2" count="1" selected="0" defaultSubtotal="1">
            <x v="3"/>
          </reference>
        </references>
      </pivotArea>
    </format>
    <format dxfId="35">
      <pivotArea grandRow="1" grandCol="1"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xml"/><Relationship Id="rId1"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ivotTable" Target="../pivotTables/pivotTable1.xml"/><Relationship Id="rId1" Type="http://schemas.openxmlformats.org/officeDocument/2006/relationships/comments" Target="../comments8.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I17"/>
  <sheetViews>
    <sheetView workbookViewId="0">
      <selection activeCell="B15" sqref="B15"/>
    </sheetView>
  </sheetViews>
  <sheetFormatPr defaultColWidth="9" defaultRowHeight="15.95" customHeight="1"/>
  <cols>
    <col min="1" max="1" width="11.125" style="823" customWidth="1"/>
    <col min="2" max="2" width="35.25" style="823" customWidth="1"/>
    <col min="3" max="3" width="16.75" style="823" customWidth="1"/>
    <col min="4" max="5" width="9" style="823"/>
    <col min="8" max="8" width="11.75" customWidth="1"/>
  </cols>
  <sheetData>
    <row r="1" customHeight="1" spans="1:9">
      <c r="B1" s="1503" t="s">
        <v>0</v>
      </c>
      <c r="C1" s="1503" t="s">
        <v>1</v>
      </c>
      <c r="E1" s="1504" t="s">
        <v>2</v>
      </c>
      <c r="F1" s="1504"/>
      <c r="G1" s="1504"/>
      <c r="H1" s="1504"/>
      <c r="I1" s="1504"/>
    </row>
    <row r="2" customHeight="1" spans="1:9">
      <c r="A2" s="823" t="s">
        <v>3</v>
      </c>
      <c r="B2" s="823" t="s">
        <v>4</v>
      </c>
      <c r="C2" s="823" t="s">
        <v>5</v>
      </c>
      <c r="E2" s="1505"/>
    </row>
    <row r="3" customHeight="1" spans="1:9">
      <c r="A3" s="823" t="s">
        <v>6</v>
      </c>
      <c r="C3" s="823" t="s">
        <v>7</v>
      </c>
    </row>
    <row r="4" customHeight="1" spans="1:9">
      <c r="A4" s="823" t="s">
        <v>8</v>
      </c>
      <c r="C4" s="823" t="s">
        <v>9</v>
      </c>
    </row>
    <row r="5" customHeight="1" spans="1:9">
      <c r="A5" s="823" t="s">
        <v>10</v>
      </c>
      <c r="C5" s="823" t="s">
        <v>11</v>
      </c>
      <c r="F5" s="1506" t="s">
        <v>12</v>
      </c>
    </row>
    <row r="6" customHeight="1" spans="1:9">
      <c r="A6" s="823" t="s">
        <v>13</v>
      </c>
    </row>
    <row r="7" customHeight="1" spans="1:9">
      <c r="A7" s="823" t="s">
        <v>14</v>
      </c>
    </row>
    <row r="9" customHeight="1" spans="1:9">
      <c r="A9" s="1507"/>
      <c r="B9" s="1508" t="s">
        <v>15</v>
      </c>
      <c r="C9" s="1508" t="s">
        <v>16</v>
      </c>
    </row>
    <row r="10" customHeight="1" spans="1:9">
      <c r="A10" s="1507"/>
      <c r="B10" s="1509"/>
      <c r="C10" s="1510"/>
    </row>
    <row r="11" customHeight="1" spans="1:9">
      <c r="A11" s="1507" t="s">
        <v>17</v>
      </c>
      <c r="B11" s="1509">
        <v>44926</v>
      </c>
      <c r="C11" s="1510" t="s">
        <v>18</v>
      </c>
    </row>
    <row r="12" customHeight="1" spans="1:9">
      <c r="A12" s="1507" t="s">
        <v>19</v>
      </c>
      <c r="B12" s="1509">
        <v>45291</v>
      </c>
      <c r="C12" s="1510" t="s">
        <v>20</v>
      </c>
    </row>
    <row r="13" customHeight="1" spans="1:9">
      <c r="A13" s="1507" t="s">
        <v>21</v>
      </c>
      <c r="B13" s="1509">
        <v>45657</v>
      </c>
      <c r="C13" s="1510" t="s">
        <v>22</v>
      </c>
    </row>
    <row r="14" customHeight="1" spans="1:9">
      <c r="A14" s="1507" t="s">
        <v>23</v>
      </c>
      <c r="B14" s="1509">
        <v>45991</v>
      </c>
      <c r="C14" s="1510" t="s">
        <v>24</v>
      </c>
    </row>
    <row r="15" customHeight="1" spans="1:9">
      <c r="A15" s="1507"/>
      <c r="B15" s="1508" t="s">
        <v>25</v>
      </c>
      <c r="C15" s="1508" t="s">
        <v>26</v>
      </c>
      <c r="H15" s="1511"/>
    </row>
    <row r="16" customHeight="1" spans="1:9">
      <c r="A16" s="1507" t="s">
        <v>27</v>
      </c>
      <c r="B16" s="1507"/>
      <c r="C16" s="1509"/>
      <c r="H16" s="1511"/>
    </row>
    <row r="17" customHeight="1" spans="1:8">
      <c r="A17" s="1507" t="s">
        <v>28</v>
      </c>
      <c r="B17" s="1507"/>
      <c r="C17" s="1509"/>
      <c r="H17" s="1109"/>
    </row>
  </sheetData>
  <mergeCells count="1">
    <mergeCell ref="E1:I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00B0F0"/>
    <pageSetUpPr fitToPage="1"/>
  </sheetPr>
  <dimension ref="A1:AD38"/>
  <sheetViews>
    <sheetView view="pageBreakPreview" zoomScale="85" zoomScaleNormal="100" workbookViewId="0">
      <pane xSplit="3" ySplit="4" topLeftCell="T24" activePane="bottomRight" state="frozen"/>
      <selection/>
      <selection pane="topRight"/>
      <selection pane="bottomLeft"/>
      <selection pane="bottomRight" activeCell="W34" sqref="W34"/>
    </sheetView>
  </sheetViews>
  <sheetFormatPr defaultColWidth="9" defaultRowHeight="15"/>
  <cols>
    <col min="1" max="1" width="49.625" style="1295" customWidth="1"/>
    <col min="2" max="3" width="23.625" style="1333" customWidth="1"/>
    <col min="4" max="4" width="14.4666666666667" style="1412" customWidth="1"/>
    <col min="5" max="6" width="15.0333333333333" style="1412" customWidth="1"/>
    <col min="7" max="8" width="16.125" style="1295" customWidth="1"/>
    <col min="9" max="9" width="13" style="1295" customWidth="1"/>
    <col min="10" max="10" width="10.9666666666667" style="1295" customWidth="1"/>
    <col min="11" max="11" width="10.375" style="1295" customWidth="1"/>
    <col min="12" max="12" width="12.625" style="1295" customWidth="1"/>
    <col min="13" max="14" width="11.75" style="1295" customWidth="1"/>
    <col min="15" max="16" width="9" style="1295" customWidth="1"/>
    <col min="17" max="19" width="12.4" style="1295" customWidth="1"/>
    <col min="20" max="20" width="13.4666666666667" style="1295" customWidth="1"/>
    <col min="21" max="21" width="16.9666666666667" style="1295" customWidth="1"/>
    <col min="22" max="22" width="13.4666666666667" style="1295" customWidth="1"/>
    <col min="23" max="23" width="15.9666666666667" style="1295" customWidth="1"/>
    <col min="24" max="24" width="16.55" style="1295" customWidth="1"/>
    <col min="25" max="25" width="12.675" style="1295"/>
    <col min="26" max="26" width="13.4666666666667" style="1295"/>
    <col min="27" max="27" width="15.175" style="1295"/>
    <col min="28" max="28" width="13.4666666666667" style="1295"/>
    <col min="29" max="29" width="14.1833333333333" style="1295"/>
    <col min="30" max="30" width="9.68333333333333" style="1295"/>
    <col min="31" max="231" width="9" style="1295"/>
    <col min="232" max="232" width="49.625" style="1295" customWidth="1"/>
    <col min="233" max="234" width="23.625" style="1295" customWidth="1"/>
    <col min="235" max="487" width="9" style="1295"/>
    <col min="488" max="488" width="49.625" style="1295" customWidth="1"/>
    <col min="489" max="490" width="23.625" style="1295" customWidth="1"/>
    <col min="491" max="743" width="9" style="1295"/>
    <col min="744" max="744" width="49.625" style="1295" customWidth="1"/>
    <col min="745" max="746" width="23.625" style="1295" customWidth="1"/>
    <col min="747" max="999" width="9" style="1295"/>
    <col min="1000" max="1000" width="49.625" style="1295" customWidth="1"/>
    <col min="1001" max="1002" width="23.625" style="1295" customWidth="1"/>
    <col min="1003" max="1255" width="9" style="1295"/>
    <col min="1256" max="1256" width="49.625" style="1295" customWidth="1"/>
    <col min="1257" max="1258" width="23.625" style="1295" customWidth="1"/>
    <col min="1259" max="1511" width="9" style="1295"/>
    <col min="1512" max="1512" width="49.625" style="1295" customWidth="1"/>
    <col min="1513" max="1514" width="23.625" style="1295" customWidth="1"/>
    <col min="1515" max="1767" width="9" style="1295"/>
    <col min="1768" max="1768" width="49.625" style="1295" customWidth="1"/>
    <col min="1769" max="1770" width="23.625" style="1295" customWidth="1"/>
    <col min="1771" max="2023" width="9" style="1295"/>
    <col min="2024" max="2024" width="49.625" style="1295" customWidth="1"/>
    <col min="2025" max="2026" width="23.625" style="1295" customWidth="1"/>
    <col min="2027" max="2279" width="9" style="1295"/>
    <col min="2280" max="2280" width="49.625" style="1295" customWidth="1"/>
    <col min="2281" max="2282" width="23.625" style="1295" customWidth="1"/>
    <col min="2283" max="2535" width="9" style="1295"/>
    <col min="2536" max="2536" width="49.625" style="1295" customWidth="1"/>
    <col min="2537" max="2538" width="23.625" style="1295" customWidth="1"/>
    <col min="2539" max="2791" width="9" style="1295"/>
    <col min="2792" max="2792" width="49.625" style="1295" customWidth="1"/>
    <col min="2793" max="2794" width="23.625" style="1295" customWidth="1"/>
    <col min="2795" max="3047" width="9" style="1295"/>
    <col min="3048" max="3048" width="49.625" style="1295" customWidth="1"/>
    <col min="3049" max="3050" width="23.625" style="1295" customWidth="1"/>
    <col min="3051" max="3303" width="9" style="1295"/>
    <col min="3304" max="3304" width="49.625" style="1295" customWidth="1"/>
    <col min="3305" max="3306" width="23.625" style="1295" customWidth="1"/>
    <col min="3307" max="3559" width="9" style="1295"/>
    <col min="3560" max="3560" width="49.625" style="1295" customWidth="1"/>
    <col min="3561" max="3562" width="23.625" style="1295" customWidth="1"/>
    <col min="3563" max="3815" width="9" style="1295"/>
    <col min="3816" max="3816" width="49.625" style="1295" customWidth="1"/>
    <col min="3817" max="3818" width="23.625" style="1295" customWidth="1"/>
    <col min="3819" max="4071" width="9" style="1295"/>
    <col min="4072" max="4072" width="49.625" style="1295" customWidth="1"/>
    <col min="4073" max="4074" width="23.625" style="1295" customWidth="1"/>
    <col min="4075" max="4327" width="9" style="1295"/>
    <col min="4328" max="4328" width="49.625" style="1295" customWidth="1"/>
    <col min="4329" max="4330" width="23.625" style="1295" customWidth="1"/>
    <col min="4331" max="4583" width="9" style="1295"/>
    <col min="4584" max="4584" width="49.625" style="1295" customWidth="1"/>
    <col min="4585" max="4586" width="23.625" style="1295" customWidth="1"/>
    <col min="4587" max="4839" width="9" style="1295"/>
    <col min="4840" max="4840" width="49.625" style="1295" customWidth="1"/>
    <col min="4841" max="4842" width="23.625" style="1295" customWidth="1"/>
    <col min="4843" max="5095" width="9" style="1295"/>
    <col min="5096" max="5096" width="49.625" style="1295" customWidth="1"/>
    <col min="5097" max="5098" width="23.625" style="1295" customWidth="1"/>
    <col min="5099" max="5351" width="9" style="1295"/>
    <col min="5352" max="5352" width="49.625" style="1295" customWidth="1"/>
    <col min="5353" max="5354" width="23.625" style="1295" customWidth="1"/>
    <col min="5355" max="5607" width="9" style="1295"/>
    <col min="5608" max="5608" width="49.625" style="1295" customWidth="1"/>
    <col min="5609" max="5610" width="23.625" style="1295" customWidth="1"/>
    <col min="5611" max="5863" width="9" style="1295"/>
    <col min="5864" max="5864" width="49.625" style="1295" customWidth="1"/>
    <col min="5865" max="5866" width="23.625" style="1295" customWidth="1"/>
    <col min="5867" max="6119" width="9" style="1295"/>
    <col min="6120" max="6120" width="49.625" style="1295" customWidth="1"/>
    <col min="6121" max="6122" width="23.625" style="1295" customWidth="1"/>
    <col min="6123" max="6375" width="9" style="1295"/>
    <col min="6376" max="6376" width="49.625" style="1295" customWidth="1"/>
    <col min="6377" max="6378" width="23.625" style="1295" customWidth="1"/>
    <col min="6379" max="6631" width="9" style="1295"/>
    <col min="6632" max="6632" width="49.625" style="1295" customWidth="1"/>
    <col min="6633" max="6634" width="23.625" style="1295" customWidth="1"/>
    <col min="6635" max="6887" width="9" style="1295"/>
    <col min="6888" max="6888" width="49.625" style="1295" customWidth="1"/>
    <col min="6889" max="6890" width="23.625" style="1295" customWidth="1"/>
    <col min="6891" max="7143" width="9" style="1295"/>
    <col min="7144" max="7144" width="49.625" style="1295" customWidth="1"/>
    <col min="7145" max="7146" width="23.625" style="1295" customWidth="1"/>
    <col min="7147" max="7399" width="9" style="1295"/>
    <col min="7400" max="7400" width="49.625" style="1295" customWidth="1"/>
    <col min="7401" max="7402" width="23.625" style="1295" customWidth="1"/>
    <col min="7403" max="7655" width="9" style="1295"/>
    <col min="7656" max="7656" width="49.625" style="1295" customWidth="1"/>
    <col min="7657" max="7658" width="23.625" style="1295" customWidth="1"/>
    <col min="7659" max="7911" width="9" style="1295"/>
    <col min="7912" max="7912" width="49.625" style="1295" customWidth="1"/>
    <col min="7913" max="7914" width="23.625" style="1295" customWidth="1"/>
    <col min="7915" max="8167" width="9" style="1295"/>
    <col min="8168" max="8168" width="49.625" style="1295" customWidth="1"/>
    <col min="8169" max="8170" width="23.625" style="1295" customWidth="1"/>
    <col min="8171" max="8423" width="9" style="1295"/>
    <col min="8424" max="8424" width="49.625" style="1295" customWidth="1"/>
    <col min="8425" max="8426" width="23.625" style="1295" customWidth="1"/>
    <col min="8427" max="8679" width="9" style="1295"/>
    <col min="8680" max="8680" width="49.625" style="1295" customWidth="1"/>
    <col min="8681" max="8682" width="23.625" style="1295" customWidth="1"/>
    <col min="8683" max="8935" width="9" style="1295"/>
    <col min="8936" max="8936" width="49.625" style="1295" customWidth="1"/>
    <col min="8937" max="8938" width="23.625" style="1295" customWidth="1"/>
    <col min="8939" max="9191" width="9" style="1295"/>
    <col min="9192" max="9192" width="49.625" style="1295" customWidth="1"/>
    <col min="9193" max="9194" width="23.625" style="1295" customWidth="1"/>
    <col min="9195" max="9447" width="9" style="1295"/>
    <col min="9448" max="9448" width="49.625" style="1295" customWidth="1"/>
    <col min="9449" max="9450" width="23.625" style="1295" customWidth="1"/>
    <col min="9451" max="9703" width="9" style="1295"/>
    <col min="9704" max="9704" width="49.625" style="1295" customWidth="1"/>
    <col min="9705" max="9706" width="23.625" style="1295" customWidth="1"/>
    <col min="9707" max="9959" width="9" style="1295"/>
    <col min="9960" max="9960" width="49.625" style="1295" customWidth="1"/>
    <col min="9961" max="9962" width="23.625" style="1295" customWidth="1"/>
    <col min="9963" max="10215" width="9" style="1295"/>
    <col min="10216" max="10216" width="49.625" style="1295" customWidth="1"/>
    <col min="10217" max="10218" width="23.625" style="1295" customWidth="1"/>
    <col min="10219" max="10471" width="9" style="1295"/>
    <col min="10472" max="10472" width="49.625" style="1295" customWidth="1"/>
    <col min="10473" max="10474" width="23.625" style="1295" customWidth="1"/>
    <col min="10475" max="10727" width="9" style="1295"/>
    <col min="10728" max="10728" width="49.625" style="1295" customWidth="1"/>
    <col min="10729" max="10730" width="23.625" style="1295" customWidth="1"/>
    <col min="10731" max="10983" width="9" style="1295"/>
    <col min="10984" max="10984" width="49.625" style="1295" customWidth="1"/>
    <col min="10985" max="10986" width="23.625" style="1295" customWidth="1"/>
    <col min="10987" max="11239" width="9" style="1295"/>
    <col min="11240" max="11240" width="49.625" style="1295" customWidth="1"/>
    <col min="11241" max="11242" width="23.625" style="1295" customWidth="1"/>
    <col min="11243" max="11495" width="9" style="1295"/>
    <col min="11496" max="11496" width="49.625" style="1295" customWidth="1"/>
    <col min="11497" max="11498" width="23.625" style="1295" customWidth="1"/>
    <col min="11499" max="11751" width="9" style="1295"/>
    <col min="11752" max="11752" width="49.625" style="1295" customWidth="1"/>
    <col min="11753" max="11754" width="23.625" style="1295" customWidth="1"/>
    <col min="11755" max="12007" width="9" style="1295"/>
    <col min="12008" max="12008" width="49.625" style="1295" customWidth="1"/>
    <col min="12009" max="12010" width="23.625" style="1295" customWidth="1"/>
    <col min="12011" max="12263" width="9" style="1295"/>
    <col min="12264" max="12264" width="49.625" style="1295" customWidth="1"/>
    <col min="12265" max="12266" width="23.625" style="1295" customWidth="1"/>
    <col min="12267" max="12519" width="9" style="1295"/>
    <col min="12520" max="12520" width="49.625" style="1295" customWidth="1"/>
    <col min="12521" max="12522" width="23.625" style="1295" customWidth="1"/>
    <col min="12523" max="12775" width="9" style="1295"/>
    <col min="12776" max="12776" width="49.625" style="1295" customWidth="1"/>
    <col min="12777" max="12778" width="23.625" style="1295" customWidth="1"/>
    <col min="12779" max="13031" width="9" style="1295"/>
    <col min="13032" max="13032" width="49.625" style="1295" customWidth="1"/>
    <col min="13033" max="13034" width="23.625" style="1295" customWidth="1"/>
    <col min="13035" max="13287" width="9" style="1295"/>
    <col min="13288" max="13288" width="49.625" style="1295" customWidth="1"/>
    <col min="13289" max="13290" width="23.625" style="1295" customWidth="1"/>
    <col min="13291" max="13543" width="9" style="1295"/>
    <col min="13544" max="13544" width="49.625" style="1295" customWidth="1"/>
    <col min="13545" max="13546" width="23.625" style="1295" customWidth="1"/>
    <col min="13547" max="13799" width="9" style="1295"/>
    <col min="13800" max="13800" width="49.625" style="1295" customWidth="1"/>
    <col min="13801" max="13802" width="23.625" style="1295" customWidth="1"/>
    <col min="13803" max="14055" width="9" style="1295"/>
    <col min="14056" max="14056" width="49.625" style="1295" customWidth="1"/>
    <col min="14057" max="14058" width="23.625" style="1295" customWidth="1"/>
    <col min="14059" max="14311" width="9" style="1295"/>
    <col min="14312" max="14312" width="49.625" style="1295" customWidth="1"/>
    <col min="14313" max="14314" width="23.625" style="1295" customWidth="1"/>
    <col min="14315" max="14567" width="9" style="1295"/>
    <col min="14568" max="14568" width="49.625" style="1295" customWidth="1"/>
    <col min="14569" max="14570" width="23.625" style="1295" customWidth="1"/>
    <col min="14571" max="14823" width="9" style="1295"/>
    <col min="14824" max="14824" width="49.625" style="1295" customWidth="1"/>
    <col min="14825" max="14826" width="23.625" style="1295" customWidth="1"/>
    <col min="14827" max="15079" width="9" style="1295"/>
    <col min="15080" max="15080" width="49.625" style="1295" customWidth="1"/>
    <col min="15081" max="15082" width="23.625" style="1295" customWidth="1"/>
    <col min="15083" max="15335" width="9" style="1295"/>
    <col min="15336" max="15336" width="49.625" style="1295" customWidth="1"/>
    <col min="15337" max="15338" width="23.625" style="1295" customWidth="1"/>
    <col min="15339" max="15591" width="9" style="1295"/>
    <col min="15592" max="15592" width="49.625" style="1295" customWidth="1"/>
    <col min="15593" max="15594" width="23.625" style="1295" customWidth="1"/>
    <col min="15595" max="15847" width="9" style="1295"/>
    <col min="15848" max="15848" width="49.625" style="1295" customWidth="1"/>
    <col min="15849" max="15850" width="23.625" style="1295" customWidth="1"/>
    <col min="15851" max="16103" width="9" style="1295"/>
    <col min="16104" max="16104" width="49.625" style="1295" customWidth="1"/>
    <col min="16105" max="16106" width="23.625" style="1295" customWidth="1"/>
    <col min="16107" max="16384" width="9" style="1295"/>
  </cols>
  <sheetData>
    <row r="1" ht="27" spans="1:30">
      <c r="A1" s="1413" t="s">
        <v>29</v>
      </c>
      <c r="B1" s="1414"/>
      <c r="C1" s="1415"/>
      <c r="E1" s="1293"/>
      <c r="F1" s="1293"/>
    </row>
    <row r="2" spans="1:30">
      <c r="A2" s="1416"/>
      <c r="B2" s="1417"/>
      <c r="C2" s="1418" t="s">
        <v>30</v>
      </c>
      <c r="D2" s="1412">
        <f>(B5-B8)/B5</f>
        <v>0.684753409598871</v>
      </c>
      <c r="E2" s="1412">
        <f>(C5-C8)/C5</f>
        <v>0.178823760637432</v>
      </c>
      <c r="H2" s="1419"/>
      <c r="K2" s="1412">
        <f>(I5-I8)/I5</f>
        <v>0.136336614538952</v>
      </c>
      <c r="L2" s="1412">
        <f>(J5-J8)/J5</f>
        <v>0.099941107322914</v>
      </c>
      <c r="Q2" s="1295">
        <f>C5-C8</f>
        <v>23966729.89</v>
      </c>
      <c r="W2" s="1428">
        <f>W3/W5</f>
        <v>0.707251139458924</v>
      </c>
      <c r="X2" s="1428">
        <f>X3/X5</f>
        <v>0.160374832937401</v>
      </c>
      <c r="Z2" s="1488">
        <v>9585464.69000001</v>
      </c>
      <c r="AA2" s="1488">
        <v>70777394.33</v>
      </c>
    </row>
    <row r="3" ht="16.5" spans="1:30">
      <c r="A3" s="1420" t="s">
        <v>31</v>
      </c>
      <c r="B3" s="1421">
        <f>合并试算平衡表!B6</f>
        <v>45991</v>
      </c>
      <c r="C3" s="1357" t="s">
        <v>32</v>
      </c>
      <c r="F3" s="1422" t="s">
        <v>33</v>
      </c>
      <c r="G3" s="1422"/>
      <c r="Q3" s="1428">
        <f>Q2/C5</f>
        <v>0.178823760637432</v>
      </c>
      <c r="W3" s="1298">
        <f>W5-W8</f>
        <v>11607351.49</v>
      </c>
      <c r="X3" s="1298">
        <f>X5-X8</f>
        <v>19692046.32</v>
      </c>
      <c r="Z3" s="1488">
        <f>W5-Z2</f>
        <v>6826458.66</v>
      </c>
      <c r="AA3" s="1488">
        <f>X5-AA2</f>
        <v>52010239.86</v>
      </c>
      <c r="AC3" s="1298">
        <f>AA5-AA8</f>
        <v>9056400.38000003</v>
      </c>
      <c r="AD3" s="1294" t="s">
        <v>34</v>
      </c>
    </row>
    <row r="4" ht="16.5" spans="1:30">
      <c r="A4" s="1423" t="s">
        <v>35</v>
      </c>
      <c r="B4" s="1489" t="s">
        <v>36</v>
      </c>
      <c r="C4" s="1489" t="s">
        <v>37</v>
      </c>
      <c r="E4" s="1424" t="e">
        <f>(D5-E8)/D5</f>
        <v>#DIV/0!</v>
      </c>
      <c r="F4" s="1425" t="s">
        <v>38</v>
      </c>
      <c r="G4" s="1426" t="s">
        <v>39</v>
      </c>
      <c r="I4" s="1427" t="s">
        <v>40</v>
      </c>
      <c r="J4" s="1427" t="s">
        <v>41</v>
      </c>
      <c r="K4" s="1427" t="s">
        <v>42</v>
      </c>
      <c r="L4" s="1427" t="s">
        <v>43</v>
      </c>
      <c r="M4" s="1428"/>
      <c r="N4" s="1429"/>
      <c r="Q4" s="1490" t="s">
        <v>44</v>
      </c>
      <c r="R4" s="1490" t="s">
        <v>45</v>
      </c>
      <c r="S4" s="1490" t="s">
        <v>46</v>
      </c>
      <c r="T4" s="1490" t="s">
        <v>47</v>
      </c>
      <c r="U4" s="1490" t="s">
        <v>48</v>
      </c>
      <c r="V4" s="1490" t="s">
        <v>49</v>
      </c>
      <c r="W4" s="1491" t="s">
        <v>50</v>
      </c>
      <c r="X4" s="1492" t="s">
        <v>51</v>
      </c>
      <c r="Z4" s="1493"/>
      <c r="AA4" s="1493"/>
    </row>
    <row r="5" spans="1:30">
      <c r="A5" s="1430" t="s">
        <v>52</v>
      </c>
      <c r="B5" s="1357">
        <f t="shared" ref="B5:B30" si="0">C5-G5</f>
        <v>17635912.55</v>
      </c>
      <c r="C5" s="1357">
        <f>C6+C7</f>
        <v>134024303.06</v>
      </c>
      <c r="D5" s="1431"/>
      <c r="E5" s="1432"/>
      <c r="F5" s="1433">
        <v>17470608.37</v>
      </c>
      <c r="G5" s="1434">
        <v>116388390.51</v>
      </c>
      <c r="I5" s="1435">
        <v>14520602.75</v>
      </c>
      <c r="J5" s="1435">
        <v>46494371.38</v>
      </c>
      <c r="K5" s="1435">
        <f t="shared" ref="K5:K30" si="1">B5-I5</f>
        <v>3115309.80000001</v>
      </c>
      <c r="L5" s="1435">
        <f t="shared" ref="L5:L30" si="2">C5-J5</f>
        <v>87529931.68</v>
      </c>
      <c r="M5" s="1428">
        <f t="shared" ref="M5:M15" si="3">K5/I5</f>
        <v>0.214544110436463</v>
      </c>
      <c r="N5" s="1429">
        <f t="shared" ref="N5:N15" si="4">L5/J5</f>
        <v>1.88259200161273</v>
      </c>
      <c r="Q5" s="1298">
        <f>精铸PL!B5</f>
        <v>757088.85</v>
      </c>
      <c r="R5" s="1298">
        <f>精铸PL!C5</f>
        <v>6894779.77</v>
      </c>
      <c r="S5" s="1298">
        <f>热等静压PL!B5</f>
        <v>1375041.28</v>
      </c>
      <c r="T5" s="1298">
        <f>热等静压PL!C5</f>
        <v>18429411.64</v>
      </c>
      <c r="U5" s="1298">
        <f>SUM(U6:U7)</f>
        <v>908140.93</v>
      </c>
      <c r="V5" s="1298">
        <f>SUM(V6:V7)</f>
        <v>14087522.54</v>
      </c>
      <c r="W5" s="1298">
        <f>B5-Q5-S5+U5</f>
        <v>16411923.35</v>
      </c>
      <c r="X5" s="1298">
        <f>C5-R5-T5+V5</f>
        <v>122787634.19</v>
      </c>
      <c r="Z5" s="1488">
        <f>W5-新材料PL!D6-快速PL!C6</f>
        <v>-1276341.96000001</v>
      </c>
      <c r="AA5" s="1488">
        <f>X5-新材料PL!E6-快速PL!D6</f>
        <v>-122338716.1</v>
      </c>
    </row>
    <row r="6" spans="1:30">
      <c r="A6" s="1430" t="s">
        <v>53</v>
      </c>
      <c r="B6" s="1357">
        <f t="shared" si="0"/>
        <v>18206794.87</v>
      </c>
      <c r="C6" s="1357">
        <f>合并试算平衡表!K125</f>
        <v>133527261.61</v>
      </c>
      <c r="D6" s="1436"/>
      <c r="E6" s="1432"/>
      <c r="F6" s="1433">
        <v>17406946.01</v>
      </c>
      <c r="G6" s="1434">
        <v>115320466.74</v>
      </c>
      <c r="H6" s="1298"/>
      <c r="I6" s="1435">
        <v>14326059.22</v>
      </c>
      <c r="J6" s="1435">
        <v>45162003.66</v>
      </c>
      <c r="K6" s="1435">
        <f t="shared" si="1"/>
        <v>3880735.65000002</v>
      </c>
      <c r="L6" s="1435">
        <f t="shared" si="2"/>
        <v>88365257.95</v>
      </c>
      <c r="M6" s="1428">
        <f t="shared" si="3"/>
        <v>0.270886472714163</v>
      </c>
      <c r="N6" s="1429">
        <f t="shared" si="4"/>
        <v>1.95662837759046</v>
      </c>
      <c r="Q6" s="1298">
        <f>精铸PL!B6</f>
        <v>757088.850000001</v>
      </c>
      <c r="R6" s="1298">
        <f>精铸PL!C6</f>
        <v>6890832.87</v>
      </c>
      <c r="S6" s="1298">
        <f>热等静压PL!B6</f>
        <v>1375041.28</v>
      </c>
      <c r="T6" s="1298">
        <f>热等静压PL!C6</f>
        <v>18429411.64</v>
      </c>
      <c r="U6" s="1494">
        <f>66814.16+717929.94</f>
        <v>784744.1</v>
      </c>
      <c r="V6" s="1494">
        <f>252654.87+12342539.58</f>
        <v>12595194.45</v>
      </c>
      <c r="W6" s="1298">
        <f t="shared" ref="W6:W21" si="5">B6-Q6-S6+U6</f>
        <v>16859408.84</v>
      </c>
      <c r="X6" s="1298">
        <f t="shared" ref="X6:X21" si="6">C6-R6-T6+V6</f>
        <v>120802211.55</v>
      </c>
      <c r="Y6" s="1495"/>
      <c r="Z6" s="1488">
        <f>W6-新材料PL!D7-快速PL!C7</f>
        <v>-133883.449999981</v>
      </c>
      <c r="AA6" s="1488">
        <f>X6-新材料PL!E7-快速PL!D7</f>
        <v>-100356632.83</v>
      </c>
      <c r="AC6" s="1488">
        <f>93137171.52</f>
        <v>93137171.52</v>
      </c>
    </row>
    <row r="7" spans="1:30">
      <c r="A7" s="1430" t="s">
        <v>54</v>
      </c>
      <c r="B7" s="1357">
        <f t="shared" si="0"/>
        <v>-570882.320000001</v>
      </c>
      <c r="C7" s="1357">
        <f>合并试算平衡表!K126</f>
        <v>497041.449999999</v>
      </c>
      <c r="E7" s="1432"/>
      <c r="F7" s="1433">
        <v>63662.3599999995</v>
      </c>
      <c r="G7" s="1434">
        <v>1067923.77</v>
      </c>
      <c r="H7" s="1437"/>
      <c r="I7" s="1435">
        <v>194543.53</v>
      </c>
      <c r="J7" s="1435">
        <v>1332367.72</v>
      </c>
      <c r="K7" s="1435">
        <f t="shared" si="1"/>
        <v>-765425.850000001</v>
      </c>
      <c r="L7" s="1435">
        <f t="shared" si="2"/>
        <v>-835326.270000001</v>
      </c>
      <c r="M7" s="1428">
        <f t="shared" si="3"/>
        <v>-3.93447086109726</v>
      </c>
      <c r="N7" s="1429">
        <f t="shared" si="4"/>
        <v>-0.626948745050654</v>
      </c>
      <c r="Q7" s="1298">
        <f>精铸PL!B7</f>
        <v>0</v>
      </c>
      <c r="R7" s="1298">
        <f>精铸PL!C7</f>
        <v>3946.9</v>
      </c>
      <c r="S7" s="1298">
        <f>热等静压PL!B7</f>
        <v>0</v>
      </c>
      <c r="T7" s="1298">
        <f>热等静压PL!C7</f>
        <v>0</v>
      </c>
      <c r="U7" s="1494">
        <v>123396.83</v>
      </c>
      <c r="V7" s="1494">
        <v>1492328.09</v>
      </c>
      <c r="W7" s="1298">
        <f t="shared" si="5"/>
        <v>-447485.490000001</v>
      </c>
      <c r="X7" s="1298">
        <f t="shared" si="6"/>
        <v>1985422.64</v>
      </c>
      <c r="Z7" s="1488">
        <f>W7-新材料PL!D8-快速PL!C8</f>
        <v>-1142458.51</v>
      </c>
      <c r="AA7" s="1488">
        <f>X7-新材料PL!E8-快速PL!D8</f>
        <v>-21982083.27</v>
      </c>
      <c r="AC7" s="1488">
        <f>3909115.43-合并调整抵消分录!F224</f>
        <v>3909115.43</v>
      </c>
    </row>
    <row r="8" spans="1:30">
      <c r="A8" s="1430" t="s">
        <v>55</v>
      </c>
      <c r="B8" s="1357">
        <f t="shared" si="0"/>
        <v>5559661.29999998</v>
      </c>
      <c r="C8" s="1357">
        <f>C9+C10</f>
        <v>110057573.17</v>
      </c>
      <c r="E8" s="1432"/>
      <c r="F8" s="1433">
        <v>15004808.96</v>
      </c>
      <c r="G8" s="1434">
        <v>104497911.87</v>
      </c>
      <c r="H8" s="1364"/>
      <c r="I8" s="1435">
        <v>12540912.93</v>
      </c>
      <c r="J8" s="1435">
        <v>41847672.42</v>
      </c>
      <c r="K8" s="1435">
        <f t="shared" si="1"/>
        <v>-6981251.63000002</v>
      </c>
      <c r="L8" s="1435">
        <f t="shared" si="2"/>
        <v>68209900.75</v>
      </c>
      <c r="M8" s="1428">
        <f t="shared" si="3"/>
        <v>-0.556678103816483</v>
      </c>
      <c r="N8" s="1429">
        <f t="shared" si="4"/>
        <v>1.62995686033426</v>
      </c>
      <c r="Q8" s="1298">
        <f>精铸PL!B8</f>
        <v>765142.840000001</v>
      </c>
      <c r="R8" s="1298">
        <f>精铸PL!C8</f>
        <v>5464056.94</v>
      </c>
      <c r="S8" s="1298">
        <f>热等静压PL!B8</f>
        <v>876946.02</v>
      </c>
      <c r="T8" s="1298">
        <f>热等静压PL!C8</f>
        <v>15352894.29</v>
      </c>
      <c r="U8" s="1298">
        <f>U9+U10</f>
        <v>886999.42</v>
      </c>
      <c r="V8" s="1298">
        <f>V9+V10</f>
        <v>13854965.93</v>
      </c>
      <c r="W8" s="1298">
        <f t="shared" si="5"/>
        <v>4804571.85999998</v>
      </c>
      <c r="X8" s="1298">
        <f t="shared" si="6"/>
        <v>103095587.87</v>
      </c>
      <c r="Z8" s="1488">
        <f>W8-新材料PL!D9-快速PL!C9</f>
        <v>-11959844.93</v>
      </c>
      <c r="AA8" s="1488">
        <f>X8-新材料PL!E9-快速PL!D9</f>
        <v>-131395116.48</v>
      </c>
      <c r="AC8" s="1298"/>
    </row>
    <row r="9" spans="1:30">
      <c r="A9" s="1430" t="s">
        <v>56</v>
      </c>
      <c r="B9" s="1357">
        <f t="shared" si="0"/>
        <v>6384482.12999998</v>
      </c>
      <c r="C9" s="1357">
        <f>合并试算平衡表!K128</f>
        <v>110057573.17</v>
      </c>
      <c r="E9" s="1432"/>
      <c r="F9" s="1433">
        <v>14981283.16</v>
      </c>
      <c r="G9" s="1434">
        <v>103673091.04</v>
      </c>
      <c r="I9" s="1435">
        <v>12420464.71</v>
      </c>
      <c r="J9" s="1435">
        <v>41161831.25</v>
      </c>
      <c r="K9" s="1435">
        <f t="shared" si="1"/>
        <v>-6035982.58000002</v>
      </c>
      <c r="L9" s="1435">
        <f t="shared" si="2"/>
        <v>68895741.92</v>
      </c>
      <c r="M9" s="1428">
        <f t="shared" si="3"/>
        <v>-0.485970752377752</v>
      </c>
      <c r="N9" s="1429">
        <f t="shared" si="4"/>
        <v>1.67377737646208</v>
      </c>
      <c r="Q9" s="1298">
        <f>精铸PL!B9</f>
        <v>765142.840000001</v>
      </c>
      <c r="R9" s="1298">
        <f>精铸PL!C9</f>
        <v>5464056.94</v>
      </c>
      <c r="S9" s="1298">
        <f>热等静压PL!B9</f>
        <v>876946.02</v>
      </c>
      <c r="T9" s="1298">
        <f>热等静压PL!C9</f>
        <v>15352894.29</v>
      </c>
      <c r="U9" s="1298">
        <f>U6</f>
        <v>784744.1</v>
      </c>
      <c r="V9" s="1298">
        <f>V6</f>
        <v>12595194.45</v>
      </c>
      <c r="W9" s="1298">
        <f t="shared" si="5"/>
        <v>5527137.36999998</v>
      </c>
      <c r="X9" s="1298">
        <f t="shared" si="6"/>
        <v>101835816.39</v>
      </c>
      <c r="Z9" s="1488">
        <f>W9-新材料PL!D10-快速PL!C10</f>
        <v>-10586564.83</v>
      </c>
      <c r="AA9" s="1488">
        <f>X9-新材料PL!E10-快速PL!D10</f>
        <v>-109182211.59</v>
      </c>
    </row>
    <row r="10" spans="1:30">
      <c r="A10" s="1430" t="s">
        <v>57</v>
      </c>
      <c r="B10" s="1357">
        <f t="shared" si="0"/>
        <v>-824820.830000002</v>
      </c>
      <c r="C10" s="1357">
        <f>合并试算平衡表!K129</f>
        <v>0</v>
      </c>
      <c r="E10" s="1432"/>
      <c r="F10" s="1433">
        <v>23525.800000001</v>
      </c>
      <c r="G10" s="1434">
        <v>824820.830000002</v>
      </c>
      <c r="I10" s="1435">
        <v>120448.22</v>
      </c>
      <c r="J10" s="1435">
        <v>685841.17</v>
      </c>
      <c r="K10" s="1435">
        <f t="shared" si="1"/>
        <v>-945269.050000002</v>
      </c>
      <c r="L10" s="1435">
        <f t="shared" si="2"/>
        <v>-685841.17</v>
      </c>
      <c r="M10" s="1428">
        <f t="shared" si="3"/>
        <v>-7.84792876142131</v>
      </c>
      <c r="N10" s="1429">
        <f t="shared" si="4"/>
        <v>-1</v>
      </c>
      <c r="Q10" s="1298">
        <f>精铸PL!B10</f>
        <v>0</v>
      </c>
      <c r="R10" s="1298">
        <f>精铸PL!C10</f>
        <v>0</v>
      </c>
      <c r="S10" s="1298">
        <f>热等静压PL!B10</f>
        <v>0</v>
      </c>
      <c r="T10" s="1298">
        <f>热等静压PL!C10</f>
        <v>0</v>
      </c>
      <c r="U10" s="1298">
        <f>U7-U13</f>
        <v>102255.32</v>
      </c>
      <c r="V10" s="1298">
        <f>V7-V13</f>
        <v>1259771.48</v>
      </c>
      <c r="W10" s="1298">
        <f t="shared" si="5"/>
        <v>-722565.510000002</v>
      </c>
      <c r="X10" s="1298">
        <f t="shared" si="6"/>
        <v>1259771.48</v>
      </c>
      <c r="Z10" s="1488">
        <f>W10-新材料PL!D11-快速PL!C11</f>
        <v>-1373280.1</v>
      </c>
      <c r="AA10" s="1488">
        <f>X10-新材料PL!E11-快速PL!D11</f>
        <v>-22212904.89</v>
      </c>
    </row>
    <row r="11" spans="1:30">
      <c r="A11" s="1430" t="s">
        <v>58</v>
      </c>
      <c r="B11" s="1357">
        <f t="shared" si="0"/>
        <v>-997712.24</v>
      </c>
      <c r="C11" s="1357">
        <f>合并试算平衡表!K130</f>
        <v>829444.38</v>
      </c>
      <c r="D11" s="1412">
        <f>C11/$C$5</f>
        <v>0.00618876100126911</v>
      </c>
      <c r="E11" s="1298">
        <f>D5*0.007</f>
        <v>0</v>
      </c>
      <c r="F11" s="1298">
        <v>71444.4800000002</v>
      </c>
      <c r="G11" s="1434">
        <v>1827156.62</v>
      </c>
      <c r="I11" s="1435">
        <v>90103.84</v>
      </c>
      <c r="J11" s="1435">
        <v>475596.62</v>
      </c>
      <c r="K11" s="1435">
        <f t="shared" si="1"/>
        <v>-1087816.08</v>
      </c>
      <c r="L11" s="1435">
        <f t="shared" si="2"/>
        <v>353847.76</v>
      </c>
      <c r="M11" s="1428">
        <f t="shared" si="3"/>
        <v>-12.0729158712881</v>
      </c>
      <c r="N11" s="1429">
        <f t="shared" si="4"/>
        <v>0.744008147072197</v>
      </c>
      <c r="O11" s="1299" t="s">
        <v>59</v>
      </c>
      <c r="Q11" s="1298">
        <f>精铸PL!B11</f>
        <v>4572.03</v>
      </c>
      <c r="R11" s="1298">
        <f>精铸PL!C11</f>
        <v>27595.05</v>
      </c>
      <c r="S11" s="1298">
        <f>热等静压PL!B11</f>
        <v>1020.39</v>
      </c>
      <c r="T11" s="1298">
        <f>热等静压PL!C11</f>
        <v>6811.17</v>
      </c>
      <c r="U11" s="1298"/>
      <c r="V11" s="1298"/>
      <c r="W11" s="1298">
        <f t="shared" si="5"/>
        <v>-1003304.66</v>
      </c>
      <c r="X11" s="1298">
        <f t="shared" si="6"/>
        <v>795038.16</v>
      </c>
      <c r="Z11" s="1488">
        <f>W11-新材料PL!D12-快速PL!C12</f>
        <v>-1061049.21</v>
      </c>
      <c r="AA11" s="1488">
        <f>X11-新材料PL!E12-快速PL!D12</f>
        <v>-1061049.21</v>
      </c>
    </row>
    <row r="12" spans="1:30">
      <c r="A12" s="1430" t="s">
        <v>60</v>
      </c>
      <c r="B12" s="1357">
        <f t="shared" si="0"/>
        <v>-521103.679999999</v>
      </c>
      <c r="C12" s="1357">
        <f>合并试算平衡表!K131</f>
        <v>8045697.97</v>
      </c>
      <c r="D12" s="1412">
        <f>C12/$C$5</f>
        <v>0.0600316344595958</v>
      </c>
      <c r="E12" s="1298">
        <f>D12*$D$5</f>
        <v>0</v>
      </c>
      <c r="F12" s="1298">
        <v>964070.03</v>
      </c>
      <c r="G12" s="1434">
        <v>8566801.65</v>
      </c>
      <c r="H12" s="1298"/>
      <c r="I12" s="1435">
        <v>938241.48</v>
      </c>
      <c r="J12" s="1435">
        <v>4692975.98</v>
      </c>
      <c r="K12" s="1435">
        <f t="shared" si="1"/>
        <v>-1459345.16</v>
      </c>
      <c r="L12" s="1435">
        <f t="shared" si="2"/>
        <v>3352721.99</v>
      </c>
      <c r="M12" s="1428">
        <f t="shared" si="3"/>
        <v>-1.55540464913148</v>
      </c>
      <c r="N12" s="1429">
        <f t="shared" si="4"/>
        <v>0.714412774386286</v>
      </c>
      <c r="O12" s="1299" t="s">
        <v>61</v>
      </c>
      <c r="Q12" s="1298">
        <f>精铸PL!B12</f>
        <v>48065.29</v>
      </c>
      <c r="R12" s="1298">
        <f>精铸PL!C12</f>
        <v>533425.91</v>
      </c>
      <c r="S12" s="1298">
        <f>热等静压PL!B12</f>
        <v>117870.1</v>
      </c>
      <c r="T12" s="1298">
        <f>热等静压PL!C12</f>
        <v>641148.73</v>
      </c>
      <c r="U12" s="1298"/>
      <c r="V12" s="1298"/>
      <c r="W12" s="1298">
        <f t="shared" si="5"/>
        <v>-687039.069999999</v>
      </c>
      <c r="X12" s="1298">
        <f t="shared" si="6"/>
        <v>6871123.33</v>
      </c>
      <c r="Z12" s="1488">
        <f>W12-新材料PL!D13-快速PL!C13</f>
        <v>-2731662.87</v>
      </c>
      <c r="AA12" s="1488">
        <f>X12-新材料PL!E13-快速PL!D13</f>
        <v>-2731662.87</v>
      </c>
    </row>
    <row r="13" spans="1:30">
      <c r="A13" s="1430" t="s">
        <v>62</v>
      </c>
      <c r="B13" s="1357">
        <f t="shared" si="0"/>
        <v>-766556.379999999</v>
      </c>
      <c r="C13" s="1357">
        <f>合并试算平衡表!K132</f>
        <v>8350965.06</v>
      </c>
      <c r="D13" s="1412">
        <f>C13/$C$5</f>
        <v>0.0623093339740139</v>
      </c>
      <c r="E13" s="1298">
        <f>D13*$D$5</f>
        <v>0</v>
      </c>
      <c r="F13" s="1298">
        <v>891664.76</v>
      </c>
      <c r="G13" s="1434">
        <v>9117521.44</v>
      </c>
      <c r="H13" s="1298"/>
      <c r="I13" s="1435">
        <v>941704.85</v>
      </c>
      <c r="J13" s="1435">
        <v>4286617.3</v>
      </c>
      <c r="K13" s="1435">
        <f t="shared" si="1"/>
        <v>-1708261.23</v>
      </c>
      <c r="L13" s="1435">
        <f t="shared" si="2"/>
        <v>4064347.76</v>
      </c>
      <c r="M13" s="1428">
        <f t="shared" si="3"/>
        <v>-1.81400916646017</v>
      </c>
      <c r="N13" s="1429">
        <f t="shared" si="4"/>
        <v>0.94814803271568</v>
      </c>
      <c r="O13" s="1299" t="s">
        <v>63</v>
      </c>
      <c r="Q13" s="1298">
        <f>精铸PL!B13</f>
        <v>66954.09</v>
      </c>
      <c r="R13" s="1298">
        <f>精铸PL!C13</f>
        <v>635654.87</v>
      </c>
      <c r="S13" s="1298">
        <f>热等静压PL!B13</f>
        <v>37604.38</v>
      </c>
      <c r="T13" s="1298">
        <f>热等静压PL!C13</f>
        <v>446142.54</v>
      </c>
      <c r="U13" s="1494">
        <v>21141.51</v>
      </c>
      <c r="V13" s="1494">
        <v>232556.61</v>
      </c>
      <c r="W13" s="1298">
        <f t="shared" si="5"/>
        <v>-849973.339999999</v>
      </c>
      <c r="X13" s="1298">
        <f t="shared" si="6"/>
        <v>7501724.26</v>
      </c>
      <c r="Z13" s="1488">
        <f>W13-新材料PL!D14-快速PL!C14</f>
        <v>-1534749.74</v>
      </c>
      <c r="AA13" s="1488">
        <f>X13-新材料PL!E14-快速PL!D14</f>
        <v>-1534749.71</v>
      </c>
    </row>
    <row r="14" spans="1:30">
      <c r="A14" s="1430" t="s">
        <v>64</v>
      </c>
      <c r="B14" s="1357">
        <f t="shared" si="0"/>
        <v>942695.370000001</v>
      </c>
      <c r="C14" s="1357">
        <f>合并试算平衡表!K133</f>
        <v>19920178.25</v>
      </c>
      <c r="D14" s="1412">
        <f>C14/$C$5</f>
        <v>0.148631089997775</v>
      </c>
      <c r="E14" s="1298">
        <f>D14*$D$5</f>
        <v>0</v>
      </c>
      <c r="F14" s="1298">
        <v>2625421.08</v>
      </c>
      <c r="G14" s="1434">
        <v>18977482.88</v>
      </c>
      <c r="H14" s="1298"/>
      <c r="I14" s="1435">
        <v>1386872.11</v>
      </c>
      <c r="J14" s="1435">
        <v>8292064.81</v>
      </c>
      <c r="K14" s="1435">
        <f t="shared" si="1"/>
        <v>-444176.739999999</v>
      </c>
      <c r="L14" s="1435">
        <f t="shared" si="2"/>
        <v>11628113.44</v>
      </c>
      <c r="M14" s="1428">
        <f t="shared" si="3"/>
        <v>-0.320272314078044</v>
      </c>
      <c r="N14" s="1429">
        <f t="shared" si="4"/>
        <v>1.40231820498759</v>
      </c>
      <c r="O14" s="1299" t="s">
        <v>65</v>
      </c>
      <c r="Q14" s="1298">
        <f>精铸PL!B14</f>
        <v>23475.8099999999</v>
      </c>
      <c r="R14" s="1298">
        <f>精铸PL!C14</f>
        <v>652802.07</v>
      </c>
      <c r="S14" s="1298">
        <f>热等静压PL!B14</f>
        <v>166797.05</v>
      </c>
      <c r="T14" s="1298">
        <f>热等静压PL!C14</f>
        <v>892711.12</v>
      </c>
      <c r="W14" s="1298">
        <f t="shared" si="5"/>
        <v>752422.510000001</v>
      </c>
      <c r="X14" s="1298">
        <f t="shared" si="6"/>
        <v>18374665.06</v>
      </c>
      <c r="Z14" s="1488">
        <f>W14-新材料PL!D15-快速PL!C15</f>
        <v>-4055268.96</v>
      </c>
      <c r="AA14" s="1488">
        <f>X14-新材料PL!E15-快速PL!D15</f>
        <v>-4055268.96</v>
      </c>
    </row>
    <row r="15" spans="1:30">
      <c r="A15" s="1430" t="s">
        <v>66</v>
      </c>
      <c r="B15" s="1357">
        <f t="shared" si="0"/>
        <v>-224415.61</v>
      </c>
      <c r="C15" s="1357">
        <f>合并试算平衡表!K134</f>
        <v>4508765.31</v>
      </c>
      <c r="D15" s="1412">
        <f>C15/$C$5</f>
        <v>0.0336414009030998</v>
      </c>
      <c r="E15" s="1298">
        <f>D15*$D$5</f>
        <v>0</v>
      </c>
      <c r="F15" s="1298">
        <v>400727.74</v>
      </c>
      <c r="G15" s="1434">
        <v>4733180.92</v>
      </c>
      <c r="H15" s="1298"/>
      <c r="I15" s="1435">
        <v>523640.15</v>
      </c>
      <c r="J15" s="1435">
        <v>2939834.15</v>
      </c>
      <c r="K15" s="1435">
        <f t="shared" si="1"/>
        <v>-748055.76</v>
      </c>
      <c r="L15" s="1435">
        <f t="shared" si="2"/>
        <v>1568931.16</v>
      </c>
      <c r="M15" s="1428">
        <f t="shared" si="3"/>
        <v>-1.42856837849428</v>
      </c>
      <c r="N15" s="1429">
        <f t="shared" si="4"/>
        <v>0.533680160154613</v>
      </c>
      <c r="O15" s="1299" t="s">
        <v>67</v>
      </c>
      <c r="Q15" s="1298">
        <f>精铸PL!B15</f>
        <v>20294.88</v>
      </c>
      <c r="R15" s="1298">
        <f>精铸PL!C15</f>
        <v>175284.93</v>
      </c>
      <c r="S15" s="1298">
        <f>热等静压PL!B15</f>
        <v>416.99</v>
      </c>
      <c r="T15" s="1298">
        <f>热等静压PL!C15</f>
        <v>-2452.71</v>
      </c>
      <c r="U15" s="1298">
        <v>0</v>
      </c>
      <c r="V15" s="1298">
        <v>0</v>
      </c>
      <c r="W15" s="1298">
        <f t="shared" si="5"/>
        <v>-245127.48</v>
      </c>
      <c r="X15" s="1298">
        <f t="shared" si="6"/>
        <v>4335933.09</v>
      </c>
      <c r="Z15" s="1488">
        <f>W15-新材料PL!D16-快速PL!C16</f>
        <v>-659752.5</v>
      </c>
      <c r="AA15" s="1488">
        <f>X15-新材料PL!E16-快速PL!D16</f>
        <v>-659752.5</v>
      </c>
    </row>
    <row r="16" spans="1:30">
      <c r="A16" s="1430" t="s">
        <v>68</v>
      </c>
      <c r="B16" s="1357">
        <f t="shared" si="0"/>
        <v>0</v>
      </c>
      <c r="C16" s="1357">
        <f>合并试算平衡表!K140</f>
        <v>0</v>
      </c>
      <c r="F16" s="1298">
        <v>0</v>
      </c>
      <c r="G16" s="1434">
        <v>0</v>
      </c>
      <c r="I16" s="1435">
        <v>0</v>
      </c>
      <c r="J16" s="1435">
        <v>-7500</v>
      </c>
      <c r="K16" s="1435">
        <f t="shared" si="1"/>
        <v>0</v>
      </c>
      <c r="L16" s="1435">
        <f t="shared" si="2"/>
        <v>7500</v>
      </c>
      <c r="W16" s="1298">
        <f t="shared" si="5"/>
        <v>0</v>
      </c>
      <c r="X16" s="1298">
        <f t="shared" si="6"/>
        <v>0</v>
      </c>
      <c r="Z16" s="1493"/>
      <c r="AA16" s="1493"/>
    </row>
    <row r="17" spans="1:28">
      <c r="A17" s="1430" t="s">
        <v>69</v>
      </c>
      <c r="B17" s="1357">
        <f t="shared" si="0"/>
        <v>-579092.11</v>
      </c>
      <c r="C17" s="1357">
        <f>合并试算平衡表!K139</f>
        <v>-1780058.26</v>
      </c>
      <c r="F17" s="1298">
        <v>0</v>
      </c>
      <c r="G17" s="1434">
        <v>-1200966.15</v>
      </c>
      <c r="I17" s="1435"/>
      <c r="J17" s="1435"/>
      <c r="K17" s="1435">
        <f t="shared" si="1"/>
        <v>-579092.11</v>
      </c>
      <c r="L17" s="1435">
        <f t="shared" si="2"/>
        <v>-1780058.26</v>
      </c>
      <c r="Q17" s="1298">
        <f>-精铸PL!B17</f>
        <v>0</v>
      </c>
      <c r="R17" s="1298">
        <f>精铸PL!C17</f>
        <v>45991.45</v>
      </c>
      <c r="S17" s="1298">
        <f>-热等静压PL!B17</f>
        <v>0</v>
      </c>
      <c r="T17" s="1298">
        <f>热等静压PL!C17</f>
        <v>-139781.06</v>
      </c>
      <c r="W17" s="1298">
        <f t="shared" si="5"/>
        <v>-579092.11</v>
      </c>
      <c r="X17" s="1298">
        <f t="shared" si="6"/>
        <v>-1686268.65</v>
      </c>
      <c r="Z17" s="1488">
        <f>W17+新材料PL!D18+快速PL!C18</f>
        <v>-579092.11</v>
      </c>
      <c r="AA17" s="1488">
        <f>X17+新材料PL!E18+快速PL!D18</f>
        <v>-2793445.19</v>
      </c>
    </row>
    <row r="18" spans="1:28">
      <c r="A18" s="1430" t="s">
        <v>70</v>
      </c>
      <c r="B18" s="1357">
        <f t="shared" si="0"/>
        <v>0</v>
      </c>
      <c r="C18" s="1357">
        <v>0</v>
      </c>
      <c r="F18" s="1298">
        <v>0</v>
      </c>
      <c r="G18" s="1434">
        <v>0</v>
      </c>
      <c r="I18" s="1435"/>
      <c r="J18" s="1435"/>
      <c r="K18" s="1435">
        <f t="shared" si="1"/>
        <v>0</v>
      </c>
      <c r="L18" s="1435">
        <f t="shared" si="2"/>
        <v>0</v>
      </c>
      <c r="W18" s="1298">
        <f t="shared" si="5"/>
        <v>0</v>
      </c>
      <c r="X18" s="1298">
        <f t="shared" si="6"/>
        <v>0</v>
      </c>
    </row>
    <row r="19" spans="1:28">
      <c r="A19" s="1430" t="s">
        <v>71</v>
      </c>
      <c r="B19" s="1357">
        <f t="shared" si="0"/>
        <v>713796.94</v>
      </c>
      <c r="C19" s="1357">
        <f>合并试算平衡表!K136</f>
        <v>853056.55</v>
      </c>
      <c r="F19" s="1298">
        <v>3.49245965480804e-10</v>
      </c>
      <c r="G19" s="1434">
        <v>139259.61</v>
      </c>
      <c r="I19" s="1435">
        <v>12833.33</v>
      </c>
      <c r="J19" s="1435">
        <v>94275.86</v>
      </c>
      <c r="K19" s="1435">
        <f t="shared" si="1"/>
        <v>700963.61</v>
      </c>
      <c r="L19" s="1435">
        <f t="shared" si="2"/>
        <v>758780.69</v>
      </c>
      <c r="W19" s="1298">
        <f t="shared" si="5"/>
        <v>713796.94</v>
      </c>
      <c r="X19" s="1298">
        <f t="shared" si="6"/>
        <v>853056.55</v>
      </c>
      <c r="AA19" s="1427">
        <v>2411</v>
      </c>
    </row>
    <row r="20" spans="1:28">
      <c r="A20" s="1430" t="s">
        <v>72</v>
      </c>
      <c r="B20" s="1357">
        <f t="shared" si="0"/>
        <v>0</v>
      </c>
      <c r="C20" s="1357">
        <v>0</v>
      </c>
      <c r="F20" s="1298">
        <v>0</v>
      </c>
      <c r="G20" s="1434">
        <v>0</v>
      </c>
      <c r="I20" s="1435"/>
      <c r="J20" s="1435"/>
      <c r="K20" s="1435">
        <f t="shared" si="1"/>
        <v>0</v>
      </c>
      <c r="L20" s="1435">
        <f t="shared" si="2"/>
        <v>0</v>
      </c>
      <c r="W20" s="1298">
        <f t="shared" si="5"/>
        <v>0</v>
      </c>
      <c r="X20" s="1298">
        <f t="shared" si="6"/>
        <v>0</v>
      </c>
      <c r="Z20" s="1298">
        <v>236635.29</v>
      </c>
      <c r="AA20" s="1490" t="s">
        <v>73</v>
      </c>
    </row>
    <row r="21" spans="1:28">
      <c r="A21" s="1439" t="s">
        <v>74</v>
      </c>
      <c r="B21" s="1357">
        <f t="shared" si="0"/>
        <v>622840.85</v>
      </c>
      <c r="C21" s="1357">
        <f>合并试算平衡表!K135</f>
        <v>1305528.31</v>
      </c>
      <c r="F21" s="1298">
        <v>165040</v>
      </c>
      <c r="G21" s="1434">
        <v>682687.46</v>
      </c>
      <c r="I21" s="1435">
        <v>0</v>
      </c>
      <c r="J21" s="1435">
        <v>153443.41</v>
      </c>
      <c r="K21" s="1435">
        <f t="shared" si="1"/>
        <v>622840.85</v>
      </c>
      <c r="L21" s="1435">
        <f t="shared" si="2"/>
        <v>1152084.9</v>
      </c>
      <c r="Q21" s="1298">
        <f>精铸PL!B21</f>
        <v>175000</v>
      </c>
      <c r="R21" s="1298">
        <f>精铸PL!C21</f>
        <v>559647.46</v>
      </c>
      <c r="S21" s="1298">
        <f>热等静压PL!B21</f>
        <v>0</v>
      </c>
      <c r="T21" s="1298">
        <f>热等静压PL!C21</f>
        <v>0</v>
      </c>
      <c r="W21" s="1298">
        <f t="shared" ref="W21:W24" si="7">B21-Q21-S21+U21</f>
        <v>447840.85</v>
      </c>
      <c r="X21" s="1298">
        <f t="shared" si="6"/>
        <v>745880.85</v>
      </c>
      <c r="Z21" s="1298">
        <f>AB28+AB31+AB32</f>
        <v>14465224.39</v>
      </c>
      <c r="AA21" s="1295" t="s">
        <v>75</v>
      </c>
    </row>
    <row r="22" spans="1:28">
      <c r="A22" s="1440" t="s">
        <v>76</v>
      </c>
      <c r="B22" s="1385">
        <f t="shared" si="0"/>
        <v>14400889.47</v>
      </c>
      <c r="C22" s="1385">
        <f>C5-C8-C11-C12-C13-C14-C15+C16+C18+C19+C21+C17</f>
        <v>-17309794.48</v>
      </c>
      <c r="E22" s="1298"/>
      <c r="F22" s="1298">
        <v>-2322488.68000001</v>
      </c>
      <c r="G22" s="1434">
        <v>-31710683.95</v>
      </c>
      <c r="H22" s="1298"/>
      <c r="I22" s="1435">
        <v>-1888039.28000002</v>
      </c>
      <c r="J22" s="1435">
        <v>-15785170.63</v>
      </c>
      <c r="K22" s="1435">
        <f t="shared" si="1"/>
        <v>16288928.75</v>
      </c>
      <c r="L22" s="1435">
        <f t="shared" si="2"/>
        <v>-1524623.84999997</v>
      </c>
      <c r="Q22" s="1426">
        <f>Q5-Q8-Q11-Q12-Q13-Q14-Q15+Q16+Q18+Q19+Q21+Q17</f>
        <v>3583.90999999884</v>
      </c>
      <c r="R22" s="1426">
        <f>R5-R8-R11-R12-R13-R14-R15+R16+R18+R19+R21+R17</f>
        <v>11598.909999999</v>
      </c>
      <c r="S22" s="1426">
        <f>S5-S8-S11-S12-S13-S14-S15+S16+S18+S19+S21+S17</f>
        <v>174386.35</v>
      </c>
      <c r="T22" s="1426">
        <f>T5-T8-T11-T12-T13-T14-T15+T16+T18+T19+T21+T17</f>
        <v>952375.440000001</v>
      </c>
      <c r="W22" s="1426">
        <f>W5-W8-W11-W12-W13-W14-W15+W16+W18+W19+W21+W17</f>
        <v>14222919.21</v>
      </c>
      <c r="X22" s="1426">
        <f>X5-X8-X11-X12-X13-X14-X15+X16+X18+X19+X21+X17</f>
        <v>-18273768.83</v>
      </c>
      <c r="Z22" s="1298">
        <f>SUM(Z20:Z21)</f>
        <v>14701859.68</v>
      </c>
      <c r="AA22" s="1490" t="s">
        <v>77</v>
      </c>
    </row>
    <row r="23" spans="1:28">
      <c r="A23" s="1430" t="s">
        <v>78</v>
      </c>
      <c r="B23" s="1357">
        <f t="shared" si="0"/>
        <v>-119902.09</v>
      </c>
      <c r="C23" s="1357">
        <f>合并试算平衡表!K143</f>
        <v>70120.03</v>
      </c>
      <c r="F23" s="1298">
        <v>0</v>
      </c>
      <c r="G23" s="1434">
        <v>190022.12</v>
      </c>
      <c r="I23" s="1435">
        <v>250001.17</v>
      </c>
      <c r="J23" s="1435">
        <v>2016411.03</v>
      </c>
      <c r="K23" s="1435">
        <f t="shared" si="1"/>
        <v>-369903.26</v>
      </c>
      <c r="L23" s="1435">
        <f t="shared" si="2"/>
        <v>-1946291</v>
      </c>
      <c r="Q23" s="1298">
        <f>精铸PL!B23</f>
        <v>0</v>
      </c>
      <c r="R23" s="1298">
        <f>精铸PL!C23</f>
        <v>3.03</v>
      </c>
      <c r="S23" s="1298">
        <f>热等静压PL!B23</f>
        <v>0</v>
      </c>
      <c r="T23" s="1298">
        <f>热等静压PL!C23</f>
        <v>1.73</v>
      </c>
      <c r="W23" s="1298">
        <f t="shared" si="7"/>
        <v>-119902.09</v>
      </c>
      <c r="X23" s="1298">
        <f t="shared" ref="X23:X27" si="8">C23-R23-T23+V23</f>
        <v>70115.27</v>
      </c>
      <c r="Z23" s="1298">
        <f>Z22-W6</f>
        <v>-2157549.16000002</v>
      </c>
      <c r="AA23" s="1295" t="s">
        <v>79</v>
      </c>
    </row>
    <row r="24" spans="1:28">
      <c r="A24" s="1430" t="s">
        <v>80</v>
      </c>
      <c r="B24" s="1357">
        <f t="shared" si="0"/>
        <v>15755.35</v>
      </c>
      <c r="C24" s="1357">
        <f>合并试算平衡表!K145</f>
        <v>24203.21</v>
      </c>
      <c r="E24" s="1431"/>
      <c r="F24" s="1441">
        <v>0</v>
      </c>
      <c r="G24" s="1434">
        <v>8447.86</v>
      </c>
      <c r="I24" s="1435">
        <v>15.66</v>
      </c>
      <c r="J24" s="1435">
        <v>341.48</v>
      </c>
      <c r="K24" s="1435">
        <f t="shared" si="1"/>
        <v>15739.69</v>
      </c>
      <c r="L24" s="1435">
        <f t="shared" si="2"/>
        <v>23861.73</v>
      </c>
      <c r="Q24" s="1298">
        <f>精铸PL!B24</f>
        <v>592.32</v>
      </c>
      <c r="R24" s="1298">
        <f>精铸PL!C24</f>
        <v>3130.45</v>
      </c>
      <c r="S24" s="1298">
        <f>热等静压PL!B24</f>
        <v>0</v>
      </c>
      <c r="T24" s="1298">
        <f>热等静压PL!C24</f>
        <v>0</v>
      </c>
      <c r="W24" s="1298">
        <f t="shared" si="7"/>
        <v>15163.03</v>
      </c>
      <c r="X24" s="1298">
        <f t="shared" si="8"/>
        <v>21072.76</v>
      </c>
    </row>
    <row r="25" spans="1:28">
      <c r="A25" s="1430" t="s">
        <v>81</v>
      </c>
      <c r="B25" s="1357">
        <f t="shared" si="0"/>
        <v>0</v>
      </c>
      <c r="C25" s="1357">
        <v>0</v>
      </c>
      <c r="D25" s="1298"/>
      <c r="E25" s="1431"/>
      <c r="F25" s="1441">
        <v>0</v>
      </c>
      <c r="G25" s="1434">
        <v>0</v>
      </c>
      <c r="I25" s="1435"/>
      <c r="J25" s="1435"/>
      <c r="K25" s="1435">
        <f t="shared" si="1"/>
        <v>0</v>
      </c>
      <c r="L25" s="1435">
        <f t="shared" si="2"/>
        <v>0</v>
      </c>
      <c r="W25" s="1298">
        <v>0</v>
      </c>
      <c r="X25" s="1298">
        <v>0</v>
      </c>
      <c r="Y25" s="1298"/>
    </row>
    <row r="26" spans="1:28">
      <c r="A26" s="1440" t="s">
        <v>82</v>
      </c>
      <c r="B26" s="1385">
        <f t="shared" si="0"/>
        <v>14265232.03</v>
      </c>
      <c r="C26" s="1385">
        <f>C22+C23-C24</f>
        <v>-17263877.66</v>
      </c>
      <c r="E26" s="1298"/>
      <c r="F26" s="1298">
        <v>-2322488.68000001</v>
      </c>
      <c r="G26" s="1434">
        <v>-31529109.69</v>
      </c>
      <c r="I26" s="1435">
        <v>-1638053.77000002</v>
      </c>
      <c r="J26" s="1435">
        <v>-13769101.08</v>
      </c>
      <c r="K26" s="1435">
        <f t="shared" si="1"/>
        <v>15903285.8000001</v>
      </c>
      <c r="L26" s="1435">
        <f t="shared" si="2"/>
        <v>-3494776.57999997</v>
      </c>
      <c r="Q26" s="1426">
        <f>Q22+Q23-Q24</f>
        <v>2991.58999999884</v>
      </c>
      <c r="R26" s="1426">
        <f>R22+R23-R24</f>
        <v>8471.48999999903</v>
      </c>
      <c r="S26" s="1426">
        <f>S22+S23-S24</f>
        <v>174386.35</v>
      </c>
      <c r="T26" s="1426">
        <f>T22+T23-T24</f>
        <v>952377.170000001</v>
      </c>
      <c r="W26" s="1426">
        <f>W22+W23-W24</f>
        <v>14087854.09</v>
      </c>
      <c r="X26" s="1426">
        <f>X22+X23-X24</f>
        <v>-18224726.32</v>
      </c>
    </row>
    <row r="27" ht="15.75" spans="1:28">
      <c r="A27" s="1430" t="s">
        <v>83</v>
      </c>
      <c r="B27" s="1357">
        <f t="shared" si="0"/>
        <v>6470.17000000001</v>
      </c>
      <c r="C27" s="1357">
        <f>合并试算平衡表!K148</f>
        <v>45634.12</v>
      </c>
      <c r="F27" s="1298">
        <v>0</v>
      </c>
      <c r="G27" s="1434">
        <v>39163.95</v>
      </c>
      <c r="I27" s="1435">
        <v>0</v>
      </c>
      <c r="J27" s="1435">
        <v>11520.73</v>
      </c>
      <c r="K27" s="1435">
        <f t="shared" si="1"/>
        <v>6470.17000000001</v>
      </c>
      <c r="L27" s="1435">
        <f t="shared" si="2"/>
        <v>34113.39</v>
      </c>
      <c r="Q27" s="1298">
        <f>精铸PL!B27</f>
        <v>0</v>
      </c>
      <c r="R27" s="1298">
        <f>精铸PL!C27</f>
        <v>0</v>
      </c>
      <c r="S27" s="1298">
        <f>热等静压PL!B27</f>
        <v>8505.93</v>
      </c>
      <c r="T27" s="1295">
        <f>热等静压PL!C27</f>
        <v>47669.88</v>
      </c>
      <c r="W27" s="1298">
        <f>B27-Q27-S27+U27</f>
        <v>-2035.75999999999</v>
      </c>
      <c r="X27" s="1298">
        <f t="shared" si="8"/>
        <v>-2035.75999999999</v>
      </c>
      <c r="AA27" t="s">
        <v>84</v>
      </c>
      <c r="AB27" s="1298">
        <v>14327637.86</v>
      </c>
    </row>
    <row r="28" ht="15.75" spans="1:28">
      <c r="A28" s="1440" t="s">
        <v>85</v>
      </c>
      <c r="B28" s="1385">
        <f t="shared" si="0"/>
        <v>14258761.86</v>
      </c>
      <c r="C28" s="1385">
        <f>C26-C27</f>
        <v>-17309511.78</v>
      </c>
      <c r="F28" s="1298">
        <v>-2322488.68000001</v>
      </c>
      <c r="G28" s="1434">
        <v>-31568273.64</v>
      </c>
      <c r="I28" s="1435">
        <v>-1638053.77000002</v>
      </c>
      <c r="J28" s="1435">
        <v>-13780621.81</v>
      </c>
      <c r="K28" s="1435">
        <f t="shared" si="1"/>
        <v>15896815.63</v>
      </c>
      <c r="L28" s="1435">
        <f t="shared" si="2"/>
        <v>-3528889.96999997</v>
      </c>
      <c r="Q28" s="1426">
        <f>Q26-Q27</f>
        <v>2991.58999999884</v>
      </c>
      <c r="R28" s="1426">
        <f>R26-R27</f>
        <v>8471.48999999903</v>
      </c>
      <c r="S28" s="1426">
        <f>S26-S27</f>
        <v>165880.42</v>
      </c>
      <c r="T28" s="1426">
        <f>T26-T27</f>
        <v>904707.290000001</v>
      </c>
      <c r="U28" s="1426"/>
      <c r="W28" s="1426">
        <f>W26-W27</f>
        <v>14089889.85</v>
      </c>
      <c r="X28" s="1426">
        <f>X26-X27</f>
        <v>-18222690.56</v>
      </c>
      <c r="AA28" s="1496" t="s">
        <v>86</v>
      </c>
      <c r="AB28" s="1497">
        <v>13946191.2</v>
      </c>
    </row>
    <row r="29" spans="1:28">
      <c r="A29" s="1430" t="s">
        <v>87</v>
      </c>
      <c r="B29" s="1357">
        <f t="shared" si="0"/>
        <v>42034.2394879997</v>
      </c>
      <c r="C29" s="1357">
        <f>合并试算平衡表!K151</f>
        <v>43251.8832679999</v>
      </c>
      <c r="F29" s="1298">
        <v>15808.2501280001</v>
      </c>
      <c r="G29" s="1434">
        <v>1217.64378000018</v>
      </c>
      <c r="I29" s="1435">
        <v>123837.00395</v>
      </c>
      <c r="J29" s="1435">
        <v>-122541.815704</v>
      </c>
      <c r="K29" s="1435">
        <f t="shared" si="1"/>
        <v>-81802.7644620003</v>
      </c>
      <c r="L29" s="1435">
        <f t="shared" si="2"/>
        <v>165793.698972</v>
      </c>
      <c r="AA29" s="1490" t="s">
        <v>88</v>
      </c>
      <c r="AB29" s="1298">
        <v>381446.66</v>
      </c>
    </row>
    <row r="30" ht="15.75" spans="1:28">
      <c r="A30" s="1430" t="s">
        <v>89</v>
      </c>
      <c r="B30" s="1357">
        <f t="shared" si="0"/>
        <v>14216727.620512</v>
      </c>
      <c r="C30" s="1357">
        <f>合并试算平衡表!K150</f>
        <v>-17352763.663268</v>
      </c>
      <c r="F30" s="1298">
        <v>-2338296.930128</v>
      </c>
      <c r="G30" s="1434">
        <v>-31569491.28378</v>
      </c>
      <c r="I30" s="1435">
        <v>-1761890.77395001</v>
      </c>
      <c r="J30" s="1435">
        <v>-13658079.994296</v>
      </c>
      <c r="K30" s="1435">
        <f t="shared" si="1"/>
        <v>15978618.394462</v>
      </c>
      <c r="L30" s="1435">
        <f t="shared" si="2"/>
        <v>-3694683.66897197</v>
      </c>
      <c r="AA30" s="1490" t="s">
        <v>90</v>
      </c>
      <c r="AB30" s="1298"/>
    </row>
    <row r="31" spans="1:28">
      <c r="A31" s="1430" t="s">
        <v>91</v>
      </c>
      <c r="B31" s="1357">
        <v>0</v>
      </c>
      <c r="C31" s="1357">
        <v>0</v>
      </c>
      <c r="D31" s="1298"/>
      <c r="F31" s="1298">
        <v>0</v>
      </c>
      <c r="G31" s="1431">
        <v>0</v>
      </c>
      <c r="AA31" s="1498" t="s">
        <v>92</v>
      </c>
      <c r="AB31" s="1499">
        <v>28141.6</v>
      </c>
    </row>
    <row r="32" ht="15.75" spans="1:28">
      <c r="A32" s="1430" t="s">
        <v>93</v>
      </c>
      <c r="B32" s="1357"/>
      <c r="C32" s="1357"/>
      <c r="AA32" s="1500" t="s">
        <v>94</v>
      </c>
      <c r="AB32" s="1501">
        <v>490891.59</v>
      </c>
    </row>
    <row r="33" spans="1:28">
      <c r="A33" s="1430" t="s">
        <v>95</v>
      </c>
      <c r="B33" s="1357"/>
      <c r="C33" s="1357"/>
      <c r="AB33" s="1298"/>
    </row>
    <row r="34" ht="15.75" spans="1:28">
      <c r="A34" s="1442"/>
      <c r="B34" s="1399"/>
      <c r="C34" s="1379"/>
      <c r="Q34" s="1502">
        <f>精铸PL!B28</f>
        <v>2991.58999999884</v>
      </c>
      <c r="R34" s="1502">
        <f>精铸PL!C28</f>
        <v>8471.48999999903</v>
      </c>
      <c r="S34" s="1292">
        <f>热等静压PL!B28</f>
        <v>165880.420000001</v>
      </c>
      <c r="T34" s="1292">
        <f>热等静压PL!C28</f>
        <v>904707.290000001</v>
      </c>
      <c r="W34" s="1298">
        <f>W28-B28+精铸PL!B28+热等静压PL!B28</f>
        <v>-5.5297277867794e-9</v>
      </c>
      <c r="X34" s="1298">
        <f>X28-C28+精铸PL!C28+热等静压PL!C28</f>
        <v>-8.61473381519318e-9</v>
      </c>
      <c r="AB34" s="1298"/>
    </row>
    <row r="35" spans="1:28">
      <c r="D35" s="1419"/>
      <c r="P35" s="1295" t="s">
        <v>79</v>
      </c>
      <c r="Q35" s="1502">
        <f>Q28-Q34</f>
        <v>0</v>
      </c>
      <c r="R35" s="1502">
        <f>R28-R34</f>
        <v>0</v>
      </c>
      <c r="S35" s="1502">
        <f>S28-S34</f>
        <v>-9.60426405072212e-10</v>
      </c>
      <c r="T35" s="1502">
        <f>T28-T34</f>
        <v>0</v>
      </c>
    </row>
    <row r="37" spans="1:28">
      <c r="B37" s="1443"/>
      <c r="E37" s="1431"/>
      <c r="F37" s="1431"/>
    </row>
    <row r="38" spans="1:28">
      <c r="E38" s="1431"/>
      <c r="F38" s="1431"/>
    </row>
  </sheetData>
  <mergeCells count="2">
    <mergeCell ref="A1:C1"/>
    <mergeCell ref="F3:G3"/>
  </mergeCells>
  <pageMargins left="0.7" right="0.7" top="0.75" bottom="0.75" header="0.3" footer="0.3"/>
  <pageSetup paperSize="9"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R67"/>
  <sheetViews>
    <sheetView view="pageBreakPreview" zoomScaleNormal="100" workbookViewId="0">
      <pane xSplit="1" ySplit="5" topLeftCell="B39" activePane="bottomRight" state="frozen"/>
      <selection/>
      <selection pane="topRight"/>
      <selection pane="bottomLeft"/>
      <selection pane="bottomRight" activeCell="Y20" sqref="Y20"/>
    </sheetView>
  </sheetViews>
  <sheetFormatPr defaultColWidth="9" defaultRowHeight="14.25"/>
  <cols>
    <col min="1" max="1" width="25.75" style="24" customWidth="1"/>
    <col min="2" max="2" width="18.625" style="2" customWidth="1"/>
    <col min="3" max="3" width="20.625" style="2" customWidth="1"/>
    <col min="4" max="4" width="18.375" style="2" hidden="1" customWidth="1"/>
    <col min="5" max="5" width="32.625" style="24" customWidth="1"/>
    <col min="6" max="7" width="18.375" style="2" customWidth="1"/>
    <col min="8" max="8" width="18.375" style="1450" hidden="1" customWidth="1"/>
    <col min="9" max="10" width="18.375" style="1450" customWidth="1"/>
    <col min="11" max="11" width="17.625" style="24" customWidth="1"/>
    <col min="12" max="13" width="16.625" style="24" customWidth="1"/>
    <col min="14" max="14" width="17.625" style="24" customWidth="1"/>
    <col min="15" max="16" width="11.375" style="24" customWidth="1"/>
    <col min="17" max="18" width="10.875" style="24" customWidth="1"/>
    <col min="19" max="239" width="9" style="24"/>
    <col min="240" max="240" width="21.625" style="24" customWidth="1"/>
    <col min="241" max="241" width="18.625" style="24" customWidth="1"/>
    <col min="242" max="242" width="15.625" style="24" customWidth="1"/>
    <col min="243" max="243" width="21.625" style="24" customWidth="1"/>
    <col min="244" max="244" width="14.625" style="24" customWidth="1"/>
    <col min="245" max="245" width="15.625" style="24" customWidth="1"/>
    <col min="246" max="495" width="9" style="24"/>
    <col min="496" max="496" width="21.625" style="24" customWidth="1"/>
    <col min="497" max="497" width="18.625" style="24" customWidth="1"/>
    <col min="498" max="498" width="15.625" style="24" customWidth="1"/>
    <col min="499" max="499" width="21.625" style="24" customWidth="1"/>
    <col min="500" max="500" width="14.625" style="24" customWidth="1"/>
    <col min="501" max="501" width="15.625" style="24" customWidth="1"/>
    <col min="502" max="751" width="9" style="24"/>
    <col min="752" max="752" width="21.625" style="24" customWidth="1"/>
    <col min="753" max="753" width="18.625" style="24" customWidth="1"/>
    <col min="754" max="754" width="15.625" style="24" customWidth="1"/>
    <col min="755" max="755" width="21.625" style="24" customWidth="1"/>
    <col min="756" max="756" width="14.625" style="24" customWidth="1"/>
    <col min="757" max="757" width="15.625" style="24" customWidth="1"/>
    <col min="758" max="1007" width="9" style="24"/>
    <col min="1008" max="1008" width="21.625" style="24" customWidth="1"/>
    <col min="1009" max="1009" width="18.625" style="24" customWidth="1"/>
    <col min="1010" max="1010" width="15.625" style="24" customWidth="1"/>
    <col min="1011" max="1011" width="21.625" style="24" customWidth="1"/>
    <col min="1012" max="1012" width="14.625" style="24" customWidth="1"/>
    <col min="1013" max="1013" width="15.625" style="24" customWidth="1"/>
    <col min="1014" max="1263" width="9" style="24"/>
    <col min="1264" max="1264" width="21.625" style="24" customWidth="1"/>
    <col min="1265" max="1265" width="18.625" style="24" customWidth="1"/>
    <col min="1266" max="1266" width="15.625" style="24" customWidth="1"/>
    <col min="1267" max="1267" width="21.625" style="24" customWidth="1"/>
    <col min="1268" max="1268" width="14.625" style="24" customWidth="1"/>
    <col min="1269" max="1269" width="15.625" style="24" customWidth="1"/>
    <col min="1270" max="1519" width="9" style="24"/>
    <col min="1520" max="1520" width="21.625" style="24" customWidth="1"/>
    <col min="1521" max="1521" width="18.625" style="24" customWidth="1"/>
    <col min="1522" max="1522" width="15.625" style="24" customWidth="1"/>
    <col min="1523" max="1523" width="21.625" style="24" customWidth="1"/>
    <col min="1524" max="1524" width="14.625" style="24" customWidth="1"/>
    <col min="1525" max="1525" width="15.625" style="24" customWidth="1"/>
    <col min="1526" max="1775" width="9" style="24"/>
    <col min="1776" max="1776" width="21.625" style="24" customWidth="1"/>
    <col min="1777" max="1777" width="18.625" style="24" customWidth="1"/>
    <col min="1778" max="1778" width="15.625" style="24" customWidth="1"/>
    <col min="1779" max="1779" width="21.625" style="24" customWidth="1"/>
    <col min="1780" max="1780" width="14.625" style="24" customWidth="1"/>
    <col min="1781" max="1781" width="15.625" style="24" customWidth="1"/>
    <col min="1782" max="2031" width="9" style="24"/>
    <col min="2032" max="2032" width="21.625" style="24" customWidth="1"/>
    <col min="2033" max="2033" width="18.625" style="24" customWidth="1"/>
    <col min="2034" max="2034" width="15.625" style="24" customWidth="1"/>
    <col min="2035" max="2035" width="21.625" style="24" customWidth="1"/>
    <col min="2036" max="2036" width="14.625" style="24" customWidth="1"/>
    <col min="2037" max="2037" width="15.625" style="24" customWidth="1"/>
    <col min="2038" max="2287" width="9" style="24"/>
    <col min="2288" max="2288" width="21.625" style="24" customWidth="1"/>
    <col min="2289" max="2289" width="18.625" style="24" customWidth="1"/>
    <col min="2290" max="2290" width="15.625" style="24" customWidth="1"/>
    <col min="2291" max="2291" width="21.625" style="24" customWidth="1"/>
    <col min="2292" max="2292" width="14.625" style="24" customWidth="1"/>
    <col min="2293" max="2293" width="15.625" style="24" customWidth="1"/>
    <col min="2294" max="2543" width="9" style="24"/>
    <col min="2544" max="2544" width="21.625" style="24" customWidth="1"/>
    <col min="2545" max="2545" width="18.625" style="24" customWidth="1"/>
    <col min="2546" max="2546" width="15.625" style="24" customWidth="1"/>
    <col min="2547" max="2547" width="21.625" style="24" customWidth="1"/>
    <col min="2548" max="2548" width="14.625" style="24" customWidth="1"/>
    <col min="2549" max="2549" width="15.625" style="24" customWidth="1"/>
    <col min="2550" max="2799" width="9" style="24"/>
    <col min="2800" max="2800" width="21.625" style="24" customWidth="1"/>
    <col min="2801" max="2801" width="18.625" style="24" customWidth="1"/>
    <col min="2802" max="2802" width="15.625" style="24" customWidth="1"/>
    <col min="2803" max="2803" width="21.625" style="24" customWidth="1"/>
    <col min="2804" max="2804" width="14.625" style="24" customWidth="1"/>
    <col min="2805" max="2805" width="15.625" style="24" customWidth="1"/>
    <col min="2806" max="3055" width="9" style="24"/>
    <col min="3056" max="3056" width="21.625" style="24" customWidth="1"/>
    <col min="3057" max="3057" width="18.625" style="24" customWidth="1"/>
    <col min="3058" max="3058" width="15.625" style="24" customWidth="1"/>
    <col min="3059" max="3059" width="21.625" style="24" customWidth="1"/>
    <col min="3060" max="3060" width="14.625" style="24" customWidth="1"/>
    <col min="3061" max="3061" width="15.625" style="24" customWidth="1"/>
    <col min="3062" max="3311" width="9" style="24"/>
    <col min="3312" max="3312" width="21.625" style="24" customWidth="1"/>
    <col min="3313" max="3313" width="18.625" style="24" customWidth="1"/>
    <col min="3314" max="3314" width="15.625" style="24" customWidth="1"/>
    <col min="3315" max="3315" width="21.625" style="24" customWidth="1"/>
    <col min="3316" max="3316" width="14.625" style="24" customWidth="1"/>
    <col min="3317" max="3317" width="15.625" style="24" customWidth="1"/>
    <col min="3318" max="3567" width="9" style="24"/>
    <col min="3568" max="3568" width="21.625" style="24" customWidth="1"/>
    <col min="3569" max="3569" width="18.625" style="24" customWidth="1"/>
    <col min="3570" max="3570" width="15.625" style="24" customWidth="1"/>
    <col min="3571" max="3571" width="21.625" style="24" customWidth="1"/>
    <col min="3572" max="3572" width="14.625" style="24" customWidth="1"/>
    <col min="3573" max="3573" width="15.625" style="24" customWidth="1"/>
    <col min="3574" max="3823" width="9" style="24"/>
    <col min="3824" max="3824" width="21.625" style="24" customWidth="1"/>
    <col min="3825" max="3825" width="18.625" style="24" customWidth="1"/>
    <col min="3826" max="3826" width="15.625" style="24" customWidth="1"/>
    <col min="3827" max="3827" width="21.625" style="24" customWidth="1"/>
    <col min="3828" max="3828" width="14.625" style="24" customWidth="1"/>
    <col min="3829" max="3829" width="15.625" style="24" customWidth="1"/>
    <col min="3830" max="4079" width="9" style="24"/>
    <col min="4080" max="4080" width="21.625" style="24" customWidth="1"/>
    <col min="4081" max="4081" width="18.625" style="24" customWidth="1"/>
    <col min="4082" max="4082" width="15.625" style="24" customWidth="1"/>
    <col min="4083" max="4083" width="21.625" style="24" customWidth="1"/>
    <col min="4084" max="4084" width="14.625" style="24" customWidth="1"/>
    <col min="4085" max="4085" width="15.625" style="24" customWidth="1"/>
    <col min="4086" max="4335" width="9" style="24"/>
    <col min="4336" max="4336" width="21.625" style="24" customWidth="1"/>
    <col min="4337" max="4337" width="18.625" style="24" customWidth="1"/>
    <col min="4338" max="4338" width="15.625" style="24" customWidth="1"/>
    <col min="4339" max="4339" width="21.625" style="24" customWidth="1"/>
    <col min="4340" max="4340" width="14.625" style="24" customWidth="1"/>
    <col min="4341" max="4341" width="15.625" style="24" customWidth="1"/>
    <col min="4342" max="4591" width="9" style="24"/>
    <col min="4592" max="4592" width="21.625" style="24" customWidth="1"/>
    <col min="4593" max="4593" width="18.625" style="24" customWidth="1"/>
    <col min="4594" max="4594" width="15.625" style="24" customWidth="1"/>
    <col min="4595" max="4595" width="21.625" style="24" customWidth="1"/>
    <col min="4596" max="4596" width="14.625" style="24" customWidth="1"/>
    <col min="4597" max="4597" width="15.625" style="24" customWidth="1"/>
    <col min="4598" max="4847" width="9" style="24"/>
    <col min="4848" max="4848" width="21.625" style="24" customWidth="1"/>
    <col min="4849" max="4849" width="18.625" style="24" customWidth="1"/>
    <col min="4850" max="4850" width="15.625" style="24" customWidth="1"/>
    <col min="4851" max="4851" width="21.625" style="24" customWidth="1"/>
    <col min="4852" max="4852" width="14.625" style="24" customWidth="1"/>
    <col min="4853" max="4853" width="15.625" style="24" customWidth="1"/>
    <col min="4854" max="5103" width="9" style="24"/>
    <col min="5104" max="5104" width="21.625" style="24" customWidth="1"/>
    <col min="5105" max="5105" width="18.625" style="24" customWidth="1"/>
    <col min="5106" max="5106" width="15.625" style="24" customWidth="1"/>
    <col min="5107" max="5107" width="21.625" style="24" customWidth="1"/>
    <col min="5108" max="5108" width="14.625" style="24" customWidth="1"/>
    <col min="5109" max="5109" width="15.625" style="24" customWidth="1"/>
    <col min="5110" max="5359" width="9" style="24"/>
    <col min="5360" max="5360" width="21.625" style="24" customWidth="1"/>
    <col min="5361" max="5361" width="18.625" style="24" customWidth="1"/>
    <col min="5362" max="5362" width="15.625" style="24" customWidth="1"/>
    <col min="5363" max="5363" width="21.625" style="24" customWidth="1"/>
    <col min="5364" max="5364" width="14.625" style="24" customWidth="1"/>
    <col min="5365" max="5365" width="15.625" style="24" customWidth="1"/>
    <col min="5366" max="5615" width="9" style="24"/>
    <col min="5616" max="5616" width="21.625" style="24" customWidth="1"/>
    <col min="5617" max="5617" width="18.625" style="24" customWidth="1"/>
    <col min="5618" max="5618" width="15.625" style="24" customWidth="1"/>
    <col min="5619" max="5619" width="21.625" style="24" customWidth="1"/>
    <col min="5620" max="5620" width="14.625" style="24" customWidth="1"/>
    <col min="5621" max="5621" width="15.625" style="24" customWidth="1"/>
    <col min="5622" max="5871" width="9" style="24"/>
    <col min="5872" max="5872" width="21.625" style="24" customWidth="1"/>
    <col min="5873" max="5873" width="18.625" style="24" customWidth="1"/>
    <col min="5874" max="5874" width="15.625" style="24" customWidth="1"/>
    <col min="5875" max="5875" width="21.625" style="24" customWidth="1"/>
    <col min="5876" max="5876" width="14.625" style="24" customWidth="1"/>
    <col min="5877" max="5877" width="15.625" style="24" customWidth="1"/>
    <col min="5878" max="6127" width="9" style="24"/>
    <col min="6128" max="6128" width="21.625" style="24" customWidth="1"/>
    <col min="6129" max="6129" width="18.625" style="24" customWidth="1"/>
    <col min="6130" max="6130" width="15.625" style="24" customWidth="1"/>
    <col min="6131" max="6131" width="21.625" style="24" customWidth="1"/>
    <col min="6132" max="6132" width="14.625" style="24" customWidth="1"/>
    <col min="6133" max="6133" width="15.625" style="24" customWidth="1"/>
    <col min="6134" max="6383" width="9" style="24"/>
    <col min="6384" max="6384" width="21.625" style="24" customWidth="1"/>
    <col min="6385" max="6385" width="18.625" style="24" customWidth="1"/>
    <col min="6386" max="6386" width="15.625" style="24" customWidth="1"/>
    <col min="6387" max="6387" width="21.625" style="24" customWidth="1"/>
    <col min="6388" max="6388" width="14.625" style="24" customWidth="1"/>
    <col min="6389" max="6389" width="15.625" style="24" customWidth="1"/>
    <col min="6390" max="6639" width="9" style="24"/>
    <col min="6640" max="6640" width="21.625" style="24" customWidth="1"/>
    <col min="6641" max="6641" width="18.625" style="24" customWidth="1"/>
    <col min="6642" max="6642" width="15.625" style="24" customWidth="1"/>
    <col min="6643" max="6643" width="21.625" style="24" customWidth="1"/>
    <col min="6644" max="6644" width="14.625" style="24" customWidth="1"/>
    <col min="6645" max="6645" width="15.625" style="24" customWidth="1"/>
    <col min="6646" max="6895" width="9" style="24"/>
    <col min="6896" max="6896" width="21.625" style="24" customWidth="1"/>
    <col min="6897" max="6897" width="18.625" style="24" customWidth="1"/>
    <col min="6898" max="6898" width="15.625" style="24" customWidth="1"/>
    <col min="6899" max="6899" width="21.625" style="24" customWidth="1"/>
    <col min="6900" max="6900" width="14.625" style="24" customWidth="1"/>
    <col min="6901" max="6901" width="15.625" style="24" customWidth="1"/>
    <col min="6902" max="7151" width="9" style="24"/>
    <col min="7152" max="7152" width="21.625" style="24" customWidth="1"/>
    <col min="7153" max="7153" width="18.625" style="24" customWidth="1"/>
    <col min="7154" max="7154" width="15.625" style="24" customWidth="1"/>
    <col min="7155" max="7155" width="21.625" style="24" customWidth="1"/>
    <col min="7156" max="7156" width="14.625" style="24" customWidth="1"/>
    <col min="7157" max="7157" width="15.625" style="24" customWidth="1"/>
    <col min="7158" max="7407" width="9" style="24"/>
    <col min="7408" max="7408" width="21.625" style="24" customWidth="1"/>
    <col min="7409" max="7409" width="18.625" style="24" customWidth="1"/>
    <col min="7410" max="7410" width="15.625" style="24" customWidth="1"/>
    <col min="7411" max="7411" width="21.625" style="24" customWidth="1"/>
    <col min="7412" max="7412" width="14.625" style="24" customWidth="1"/>
    <col min="7413" max="7413" width="15.625" style="24" customWidth="1"/>
    <col min="7414" max="7663" width="9" style="24"/>
    <col min="7664" max="7664" width="21.625" style="24" customWidth="1"/>
    <col min="7665" max="7665" width="18.625" style="24" customWidth="1"/>
    <col min="7666" max="7666" width="15.625" style="24" customWidth="1"/>
    <col min="7667" max="7667" width="21.625" style="24" customWidth="1"/>
    <col min="7668" max="7668" width="14.625" style="24" customWidth="1"/>
    <col min="7669" max="7669" width="15.625" style="24" customWidth="1"/>
    <col min="7670" max="7919" width="9" style="24"/>
    <col min="7920" max="7920" width="21.625" style="24" customWidth="1"/>
    <col min="7921" max="7921" width="18.625" style="24" customWidth="1"/>
    <col min="7922" max="7922" width="15.625" style="24" customWidth="1"/>
    <col min="7923" max="7923" width="21.625" style="24" customWidth="1"/>
    <col min="7924" max="7924" width="14.625" style="24" customWidth="1"/>
    <col min="7925" max="7925" width="15.625" style="24" customWidth="1"/>
    <col min="7926" max="8175" width="9" style="24"/>
    <col min="8176" max="8176" width="21.625" style="24" customWidth="1"/>
    <col min="8177" max="8177" width="18.625" style="24" customWidth="1"/>
    <col min="8178" max="8178" width="15.625" style="24" customWidth="1"/>
    <col min="8179" max="8179" width="21.625" style="24" customWidth="1"/>
    <col min="8180" max="8180" width="14.625" style="24" customWidth="1"/>
    <col min="8181" max="8181" width="15.625" style="24" customWidth="1"/>
    <col min="8182" max="8431" width="9" style="24"/>
    <col min="8432" max="8432" width="21.625" style="24" customWidth="1"/>
    <col min="8433" max="8433" width="18.625" style="24" customWidth="1"/>
    <col min="8434" max="8434" width="15.625" style="24" customWidth="1"/>
    <col min="8435" max="8435" width="21.625" style="24" customWidth="1"/>
    <col min="8436" max="8436" width="14.625" style="24" customWidth="1"/>
    <col min="8437" max="8437" width="15.625" style="24" customWidth="1"/>
    <col min="8438" max="8687" width="9" style="24"/>
    <col min="8688" max="8688" width="21.625" style="24" customWidth="1"/>
    <col min="8689" max="8689" width="18.625" style="24" customWidth="1"/>
    <col min="8690" max="8690" width="15.625" style="24" customWidth="1"/>
    <col min="8691" max="8691" width="21.625" style="24" customWidth="1"/>
    <col min="8692" max="8692" width="14.625" style="24" customWidth="1"/>
    <col min="8693" max="8693" width="15.625" style="24" customWidth="1"/>
    <col min="8694" max="8943" width="9" style="24"/>
    <col min="8944" max="8944" width="21.625" style="24" customWidth="1"/>
    <col min="8945" max="8945" width="18.625" style="24" customWidth="1"/>
    <col min="8946" max="8946" width="15.625" style="24" customWidth="1"/>
    <col min="8947" max="8947" width="21.625" style="24" customWidth="1"/>
    <col min="8948" max="8948" width="14.625" style="24" customWidth="1"/>
    <col min="8949" max="8949" width="15.625" style="24" customWidth="1"/>
    <col min="8950" max="9199" width="9" style="24"/>
    <col min="9200" max="9200" width="21.625" style="24" customWidth="1"/>
    <col min="9201" max="9201" width="18.625" style="24" customWidth="1"/>
    <col min="9202" max="9202" width="15.625" style="24" customWidth="1"/>
    <col min="9203" max="9203" width="21.625" style="24" customWidth="1"/>
    <col min="9204" max="9204" width="14.625" style="24" customWidth="1"/>
    <col min="9205" max="9205" width="15.625" style="24" customWidth="1"/>
    <col min="9206" max="9455" width="9" style="24"/>
    <col min="9456" max="9456" width="21.625" style="24" customWidth="1"/>
    <col min="9457" max="9457" width="18.625" style="24" customWidth="1"/>
    <col min="9458" max="9458" width="15.625" style="24" customWidth="1"/>
    <col min="9459" max="9459" width="21.625" style="24" customWidth="1"/>
    <col min="9460" max="9460" width="14.625" style="24" customWidth="1"/>
    <col min="9461" max="9461" width="15.625" style="24" customWidth="1"/>
    <col min="9462" max="9711" width="9" style="24"/>
    <col min="9712" max="9712" width="21.625" style="24" customWidth="1"/>
    <col min="9713" max="9713" width="18.625" style="24" customWidth="1"/>
    <col min="9714" max="9714" width="15.625" style="24" customWidth="1"/>
    <col min="9715" max="9715" width="21.625" style="24" customWidth="1"/>
    <col min="9716" max="9716" width="14.625" style="24" customWidth="1"/>
    <col min="9717" max="9717" width="15.625" style="24" customWidth="1"/>
    <col min="9718" max="9967" width="9" style="24"/>
    <col min="9968" max="9968" width="21.625" style="24" customWidth="1"/>
    <col min="9969" max="9969" width="18.625" style="24" customWidth="1"/>
    <col min="9970" max="9970" width="15.625" style="24" customWidth="1"/>
    <col min="9971" max="9971" width="21.625" style="24" customWidth="1"/>
    <col min="9972" max="9972" width="14.625" style="24" customWidth="1"/>
    <col min="9973" max="9973" width="15.625" style="24" customWidth="1"/>
    <col min="9974" max="10223" width="9" style="24"/>
    <col min="10224" max="10224" width="21.625" style="24" customWidth="1"/>
    <col min="10225" max="10225" width="18.625" style="24" customWidth="1"/>
    <col min="10226" max="10226" width="15.625" style="24" customWidth="1"/>
    <col min="10227" max="10227" width="21.625" style="24" customWidth="1"/>
    <col min="10228" max="10228" width="14.625" style="24" customWidth="1"/>
    <col min="10229" max="10229" width="15.625" style="24" customWidth="1"/>
    <col min="10230" max="10479" width="9" style="24"/>
    <col min="10480" max="10480" width="21.625" style="24" customWidth="1"/>
    <col min="10481" max="10481" width="18.625" style="24" customWidth="1"/>
    <col min="10482" max="10482" width="15.625" style="24" customWidth="1"/>
    <col min="10483" max="10483" width="21.625" style="24" customWidth="1"/>
    <col min="10484" max="10484" width="14.625" style="24" customWidth="1"/>
    <col min="10485" max="10485" width="15.625" style="24" customWidth="1"/>
    <col min="10486" max="10735" width="9" style="24"/>
    <col min="10736" max="10736" width="21.625" style="24" customWidth="1"/>
    <col min="10737" max="10737" width="18.625" style="24" customWidth="1"/>
    <col min="10738" max="10738" width="15.625" style="24" customWidth="1"/>
    <col min="10739" max="10739" width="21.625" style="24" customWidth="1"/>
    <col min="10740" max="10740" width="14.625" style="24" customWidth="1"/>
    <col min="10741" max="10741" width="15.625" style="24" customWidth="1"/>
    <col min="10742" max="10991" width="9" style="24"/>
    <col min="10992" max="10992" width="21.625" style="24" customWidth="1"/>
    <col min="10993" max="10993" width="18.625" style="24" customWidth="1"/>
    <col min="10994" max="10994" width="15.625" style="24" customWidth="1"/>
    <col min="10995" max="10995" width="21.625" style="24" customWidth="1"/>
    <col min="10996" max="10996" width="14.625" style="24" customWidth="1"/>
    <col min="10997" max="10997" width="15.625" style="24" customWidth="1"/>
    <col min="10998" max="11247" width="9" style="24"/>
    <col min="11248" max="11248" width="21.625" style="24" customWidth="1"/>
    <col min="11249" max="11249" width="18.625" style="24" customWidth="1"/>
    <col min="11250" max="11250" width="15.625" style="24" customWidth="1"/>
    <col min="11251" max="11251" width="21.625" style="24" customWidth="1"/>
    <col min="11252" max="11252" width="14.625" style="24" customWidth="1"/>
    <col min="11253" max="11253" width="15.625" style="24" customWidth="1"/>
    <col min="11254" max="11503" width="9" style="24"/>
    <col min="11504" max="11504" width="21.625" style="24" customWidth="1"/>
    <col min="11505" max="11505" width="18.625" style="24" customWidth="1"/>
    <col min="11506" max="11506" width="15.625" style="24" customWidth="1"/>
    <col min="11507" max="11507" width="21.625" style="24" customWidth="1"/>
    <col min="11508" max="11508" width="14.625" style="24" customWidth="1"/>
    <col min="11509" max="11509" width="15.625" style="24" customWidth="1"/>
    <col min="11510" max="11759" width="9" style="24"/>
    <col min="11760" max="11760" width="21.625" style="24" customWidth="1"/>
    <col min="11761" max="11761" width="18.625" style="24" customWidth="1"/>
    <col min="11762" max="11762" width="15.625" style="24" customWidth="1"/>
    <col min="11763" max="11763" width="21.625" style="24" customWidth="1"/>
    <col min="11764" max="11764" width="14.625" style="24" customWidth="1"/>
    <col min="11765" max="11765" width="15.625" style="24" customWidth="1"/>
    <col min="11766" max="12015" width="9" style="24"/>
    <col min="12016" max="12016" width="21.625" style="24" customWidth="1"/>
    <col min="12017" max="12017" width="18.625" style="24" customWidth="1"/>
    <col min="12018" max="12018" width="15.625" style="24" customWidth="1"/>
    <col min="12019" max="12019" width="21.625" style="24" customWidth="1"/>
    <col min="12020" max="12020" width="14.625" style="24" customWidth="1"/>
    <col min="12021" max="12021" width="15.625" style="24" customWidth="1"/>
    <col min="12022" max="12271" width="9" style="24"/>
    <col min="12272" max="12272" width="21.625" style="24" customWidth="1"/>
    <col min="12273" max="12273" width="18.625" style="24" customWidth="1"/>
    <col min="12274" max="12274" width="15.625" style="24" customWidth="1"/>
    <col min="12275" max="12275" width="21.625" style="24" customWidth="1"/>
    <col min="12276" max="12276" width="14.625" style="24" customWidth="1"/>
    <col min="12277" max="12277" width="15.625" style="24" customWidth="1"/>
    <col min="12278" max="12527" width="9" style="24"/>
    <col min="12528" max="12528" width="21.625" style="24" customWidth="1"/>
    <col min="12529" max="12529" width="18.625" style="24" customWidth="1"/>
    <col min="12530" max="12530" width="15.625" style="24" customWidth="1"/>
    <col min="12531" max="12531" width="21.625" style="24" customWidth="1"/>
    <col min="12532" max="12532" width="14.625" style="24" customWidth="1"/>
    <col min="12533" max="12533" width="15.625" style="24" customWidth="1"/>
    <col min="12534" max="12783" width="9" style="24"/>
    <col min="12784" max="12784" width="21.625" style="24" customWidth="1"/>
    <col min="12785" max="12785" width="18.625" style="24" customWidth="1"/>
    <col min="12786" max="12786" width="15.625" style="24" customWidth="1"/>
    <col min="12787" max="12787" width="21.625" style="24" customWidth="1"/>
    <col min="12788" max="12788" width="14.625" style="24" customWidth="1"/>
    <col min="12789" max="12789" width="15.625" style="24" customWidth="1"/>
    <col min="12790" max="13039" width="9" style="24"/>
    <col min="13040" max="13040" width="21.625" style="24" customWidth="1"/>
    <col min="13041" max="13041" width="18.625" style="24" customWidth="1"/>
    <col min="13042" max="13042" width="15.625" style="24" customWidth="1"/>
    <col min="13043" max="13043" width="21.625" style="24" customWidth="1"/>
    <col min="13044" max="13044" width="14.625" style="24" customWidth="1"/>
    <col min="13045" max="13045" width="15.625" style="24" customWidth="1"/>
    <col min="13046" max="13295" width="9" style="24"/>
    <col min="13296" max="13296" width="21.625" style="24" customWidth="1"/>
    <col min="13297" max="13297" width="18.625" style="24" customWidth="1"/>
    <col min="13298" max="13298" width="15.625" style="24" customWidth="1"/>
    <col min="13299" max="13299" width="21.625" style="24" customWidth="1"/>
    <col min="13300" max="13300" width="14.625" style="24" customWidth="1"/>
    <col min="13301" max="13301" width="15.625" style="24" customWidth="1"/>
    <col min="13302" max="13551" width="9" style="24"/>
    <col min="13552" max="13552" width="21.625" style="24" customWidth="1"/>
    <col min="13553" max="13553" width="18.625" style="24" customWidth="1"/>
    <col min="13554" max="13554" width="15.625" style="24" customWidth="1"/>
    <col min="13555" max="13555" width="21.625" style="24" customWidth="1"/>
    <col min="13556" max="13556" width="14.625" style="24" customWidth="1"/>
    <col min="13557" max="13557" width="15.625" style="24" customWidth="1"/>
    <col min="13558" max="13807" width="9" style="24"/>
    <col min="13808" max="13808" width="21.625" style="24" customWidth="1"/>
    <col min="13809" max="13809" width="18.625" style="24" customWidth="1"/>
    <col min="13810" max="13810" width="15.625" style="24" customWidth="1"/>
    <col min="13811" max="13811" width="21.625" style="24" customWidth="1"/>
    <col min="13812" max="13812" width="14.625" style="24" customWidth="1"/>
    <col min="13813" max="13813" width="15.625" style="24" customWidth="1"/>
    <col min="13814" max="14063" width="9" style="24"/>
    <col min="14064" max="14064" width="21.625" style="24" customWidth="1"/>
    <col min="14065" max="14065" width="18.625" style="24" customWidth="1"/>
    <col min="14066" max="14066" width="15.625" style="24" customWidth="1"/>
    <col min="14067" max="14067" width="21.625" style="24" customWidth="1"/>
    <col min="14068" max="14068" width="14.625" style="24" customWidth="1"/>
    <col min="14069" max="14069" width="15.625" style="24" customWidth="1"/>
    <col min="14070" max="14319" width="9" style="24"/>
    <col min="14320" max="14320" width="21.625" style="24" customWidth="1"/>
    <col min="14321" max="14321" width="18.625" style="24" customWidth="1"/>
    <col min="14322" max="14322" width="15.625" style="24" customWidth="1"/>
    <col min="14323" max="14323" width="21.625" style="24" customWidth="1"/>
    <col min="14324" max="14324" width="14.625" style="24" customWidth="1"/>
    <col min="14325" max="14325" width="15.625" style="24" customWidth="1"/>
    <col min="14326" max="14575" width="9" style="24"/>
    <col min="14576" max="14576" width="21.625" style="24" customWidth="1"/>
    <col min="14577" max="14577" width="18.625" style="24" customWidth="1"/>
    <col min="14578" max="14578" width="15.625" style="24" customWidth="1"/>
    <col min="14579" max="14579" width="21.625" style="24" customWidth="1"/>
    <col min="14580" max="14580" width="14.625" style="24" customWidth="1"/>
    <col min="14581" max="14581" width="15.625" style="24" customWidth="1"/>
    <col min="14582" max="14831" width="9" style="24"/>
    <col min="14832" max="14832" width="21.625" style="24" customWidth="1"/>
    <col min="14833" max="14833" width="18.625" style="24" customWidth="1"/>
    <col min="14834" max="14834" width="15.625" style="24" customWidth="1"/>
    <col min="14835" max="14835" width="21.625" style="24" customWidth="1"/>
    <col min="14836" max="14836" width="14.625" style="24" customWidth="1"/>
    <col min="14837" max="14837" width="15.625" style="24" customWidth="1"/>
    <col min="14838" max="15087" width="9" style="24"/>
    <col min="15088" max="15088" width="21.625" style="24" customWidth="1"/>
    <col min="15089" max="15089" width="18.625" style="24" customWidth="1"/>
    <col min="15090" max="15090" width="15.625" style="24" customWidth="1"/>
    <col min="15091" max="15091" width="21.625" style="24" customWidth="1"/>
    <col min="15092" max="15092" width="14.625" style="24" customWidth="1"/>
    <col min="15093" max="15093" width="15.625" style="24" customWidth="1"/>
    <col min="15094" max="15343" width="9" style="24"/>
    <col min="15344" max="15344" width="21.625" style="24" customWidth="1"/>
    <col min="15345" max="15345" width="18.625" style="24" customWidth="1"/>
    <col min="15346" max="15346" width="15.625" style="24" customWidth="1"/>
    <col min="15347" max="15347" width="21.625" style="24" customWidth="1"/>
    <col min="15348" max="15348" width="14.625" style="24" customWidth="1"/>
    <col min="15349" max="15349" width="15.625" style="24" customWidth="1"/>
    <col min="15350" max="15599" width="9" style="24"/>
    <col min="15600" max="15600" width="21.625" style="24" customWidth="1"/>
    <col min="15601" max="15601" width="18.625" style="24" customWidth="1"/>
    <col min="15602" max="15602" width="15.625" style="24" customWidth="1"/>
    <col min="15603" max="15603" width="21.625" style="24" customWidth="1"/>
    <col min="15604" max="15604" width="14.625" style="24" customWidth="1"/>
    <col min="15605" max="15605" width="15.625" style="24" customWidth="1"/>
    <col min="15606" max="15855" width="9" style="24"/>
    <col min="15856" max="15856" width="21.625" style="24" customWidth="1"/>
    <col min="15857" max="15857" width="18.625" style="24" customWidth="1"/>
    <col min="15858" max="15858" width="15.625" style="24" customWidth="1"/>
    <col min="15859" max="15859" width="21.625" style="24" customWidth="1"/>
    <col min="15860" max="15860" width="14.625" style="24" customWidth="1"/>
    <col min="15861" max="15861" width="15.625" style="24" customWidth="1"/>
    <col min="15862" max="16111" width="9" style="24"/>
    <col min="16112" max="16112" width="21.625" style="24" customWidth="1"/>
    <col min="16113" max="16113" width="18.625" style="24" customWidth="1"/>
    <col min="16114" max="16114" width="15.625" style="24" customWidth="1"/>
    <col min="16115" max="16115" width="21.625" style="24" customWidth="1"/>
    <col min="16116" max="16116" width="14.625" style="24" customWidth="1"/>
    <col min="16117" max="16117" width="15.625" style="24" customWidth="1"/>
    <col min="16118" max="16384" width="9" style="24"/>
  </cols>
  <sheetData>
    <row r="1" ht="25.5" spans="1:13">
      <c r="A1" s="25" t="s">
        <v>96</v>
      </c>
      <c r="B1" s="26"/>
      <c r="C1" s="26"/>
      <c r="D1" s="26"/>
      <c r="E1" s="26"/>
      <c r="F1" s="26"/>
      <c r="G1" s="27"/>
      <c r="H1" s="1451"/>
      <c r="I1" s="1451"/>
      <c r="J1" s="1451"/>
    </row>
    <row r="2" spans="1:13">
      <c r="A2" s="28"/>
      <c r="B2" s="29"/>
      <c r="C2" s="29"/>
      <c r="D2" s="29"/>
      <c r="E2" s="30"/>
      <c r="F2" s="29"/>
      <c r="G2" s="31" t="s">
        <v>97</v>
      </c>
      <c r="H2" s="1452"/>
      <c r="I2" s="1452"/>
      <c r="J2" s="1452"/>
    </row>
    <row r="3" spans="1:13">
      <c r="A3" s="32" t="s">
        <v>98</v>
      </c>
      <c r="B3" s="33"/>
      <c r="C3" s="34"/>
      <c r="D3" s="34"/>
      <c r="E3" s="35">
        <f>'利润表-合并'!B3</f>
        <v>45991</v>
      </c>
      <c r="F3" s="36"/>
      <c r="G3" s="37" t="s">
        <v>99</v>
      </c>
      <c r="H3" s="1452"/>
      <c r="I3" s="1453"/>
      <c r="J3" s="1452"/>
    </row>
    <row r="4" spans="1:13">
      <c r="A4" s="32"/>
      <c r="B4" s="33"/>
      <c r="C4" s="34"/>
      <c r="D4" s="34"/>
      <c r="E4" s="35"/>
      <c r="F4" s="36"/>
      <c r="G4" s="37"/>
      <c r="H4" s="1452"/>
      <c r="I4" s="1453"/>
      <c r="J4" s="1452"/>
    </row>
    <row r="5" spans="1:13">
      <c r="A5" s="38" t="s">
        <v>100</v>
      </c>
      <c r="B5" s="14" t="s">
        <v>101</v>
      </c>
      <c r="C5" s="14" t="s">
        <v>102</v>
      </c>
      <c r="D5" s="14"/>
      <c r="E5" s="39" t="s">
        <v>103</v>
      </c>
      <c r="F5" s="14" t="s">
        <v>101</v>
      </c>
      <c r="G5" s="14" t="s">
        <v>102</v>
      </c>
      <c r="H5" s="1454"/>
      <c r="I5" s="1454"/>
      <c r="J5" s="1454"/>
    </row>
    <row r="6" spans="1:13">
      <c r="A6" s="40" t="s">
        <v>104</v>
      </c>
      <c r="B6" s="20"/>
      <c r="C6" s="20"/>
      <c r="D6" s="1455"/>
      <c r="E6" s="41" t="s">
        <v>105</v>
      </c>
      <c r="F6" s="42"/>
      <c r="G6" s="42"/>
      <c r="H6" s="1456"/>
      <c r="I6" s="1456"/>
      <c r="J6" s="1456"/>
    </row>
    <row r="7" spans="1:13">
      <c r="A7" s="40" t="s">
        <v>106</v>
      </c>
      <c r="B7" s="43">
        <v>47919713.14</v>
      </c>
      <c r="C7" s="1457">
        <f>合并试算平衡表!K9</f>
        <v>56972677.29</v>
      </c>
      <c r="D7" s="1458">
        <f>(C7-B7)/B7</f>
        <v>0.188919414512171</v>
      </c>
      <c r="E7" s="41" t="s">
        <v>107</v>
      </c>
      <c r="F7" s="45">
        <v>62800000</v>
      </c>
      <c r="G7" s="17">
        <f>合并试算平衡表!K64</f>
        <v>116552069.19</v>
      </c>
      <c r="H7" s="1459">
        <f>(F7-G7)/F7</f>
        <v>-0.855924668630573</v>
      </c>
      <c r="I7" s="1460"/>
      <c r="J7" s="1460"/>
      <c r="K7" s="47"/>
      <c r="L7" s="47"/>
    </row>
    <row r="8" spans="1:13">
      <c r="A8" s="40" t="s">
        <v>108</v>
      </c>
      <c r="B8" s="43">
        <v>40494291.31</v>
      </c>
      <c r="C8" s="1457">
        <f>精铸BS!C7+新材料BS!D7+快速BS!D7+热等静压BS!C7</f>
        <v>21767935.48</v>
      </c>
      <c r="D8" s="1458">
        <f t="shared" ref="D8:D48" si="0">(C8-B8)/B8</f>
        <v>-0.46244434028101</v>
      </c>
      <c r="E8" s="41" t="s">
        <v>109</v>
      </c>
      <c r="F8" s="45"/>
      <c r="G8" s="17"/>
      <c r="H8" s="1459" t="e">
        <f t="shared" ref="H8:H11" si="1">(F8-G8)/F8</f>
        <v>#DIV/0!</v>
      </c>
      <c r="I8" s="1460"/>
      <c r="J8" s="1460"/>
    </row>
    <row r="9" spans="1:13">
      <c r="A9" s="40" t="s">
        <v>110</v>
      </c>
      <c r="B9" s="43">
        <v>7415709.83</v>
      </c>
      <c r="C9" s="1457">
        <f>精铸BS!C8+新材料BS!D8+快速BS!D8+热等静压BS!C8</f>
        <v>504397.14</v>
      </c>
      <c r="D9" s="1458">
        <f t="shared" si="0"/>
        <v>-0.931982621817337</v>
      </c>
      <c r="E9" s="41" t="s">
        <v>111</v>
      </c>
      <c r="F9" s="45">
        <v>13567983.47</v>
      </c>
      <c r="G9" s="17">
        <f>合并试算平衡表!K70</f>
        <v>1128557.48</v>
      </c>
      <c r="H9" s="1459">
        <f t="shared" si="1"/>
        <v>0.916822018357014</v>
      </c>
      <c r="I9" s="1460"/>
      <c r="J9" s="1460"/>
    </row>
    <row r="10" spans="1:13">
      <c r="A10" s="40" t="s">
        <v>112</v>
      </c>
      <c r="B10" s="43">
        <v>6000000</v>
      </c>
      <c r="C10" s="1457">
        <f>合并试算平衡表!K12</f>
        <v>0</v>
      </c>
      <c r="D10" s="1458">
        <f t="shared" si="0"/>
        <v>-1</v>
      </c>
      <c r="E10" s="41" t="s">
        <v>113</v>
      </c>
      <c r="F10" s="45">
        <v>97313282.78</v>
      </c>
      <c r="G10" s="56">
        <f>合并试算平衡表!K71</f>
        <v>149330873.6</v>
      </c>
      <c r="H10" s="1459">
        <f t="shared" si="1"/>
        <v>-0.534537417030707</v>
      </c>
      <c r="I10" s="1460"/>
      <c r="J10" s="1460"/>
    </row>
    <row r="11" spans="1:13">
      <c r="A11" s="40" t="s">
        <v>114</v>
      </c>
      <c r="B11" s="43">
        <v>7578956.58</v>
      </c>
      <c r="C11" s="1457">
        <f>合并试算平衡表!K14</f>
        <v>6766158.54</v>
      </c>
      <c r="D11" s="1458">
        <f t="shared" si="0"/>
        <v>-0.107244055487121</v>
      </c>
      <c r="E11" s="41" t="s">
        <v>115</v>
      </c>
      <c r="F11" s="45">
        <v>412768.62</v>
      </c>
      <c r="G11" s="17">
        <f>合并试算平衡表!K72</f>
        <v>3510493.86</v>
      </c>
      <c r="H11" s="1459">
        <f t="shared" si="1"/>
        <v>-7.50474985235069</v>
      </c>
      <c r="I11" s="1460"/>
      <c r="J11" s="1460"/>
    </row>
    <row r="12" spans="1:13">
      <c r="A12" s="40" t="s">
        <v>116</v>
      </c>
      <c r="B12" s="43">
        <v>75509437.84</v>
      </c>
      <c r="C12" s="1457">
        <f>合并试算平衡表!K15</f>
        <v>115332025.16</v>
      </c>
      <c r="D12" s="1458">
        <f t="shared" si="0"/>
        <v>0.527385562111874</v>
      </c>
      <c r="E12" s="41" t="s">
        <v>88</v>
      </c>
      <c r="F12" s="45">
        <v>0</v>
      </c>
      <c r="G12" s="17">
        <f>合并试算平衡表!K73</f>
        <v>5289417.98</v>
      </c>
      <c r="H12" s="1459">
        <f t="shared" ref="H12:H22" si="2">(F13-G13)/F13</f>
        <v>0.476428873363629</v>
      </c>
      <c r="I12" s="1460"/>
      <c r="J12" s="1460"/>
    </row>
    <row r="13" spans="1:13">
      <c r="A13" s="40" t="s">
        <v>117</v>
      </c>
      <c r="B13" s="43">
        <v>1306843.08</v>
      </c>
      <c r="C13" s="1457">
        <f>合并试算平衡表!K17</f>
        <v>7259283.37</v>
      </c>
      <c r="D13" s="1458">
        <f t="shared" si="0"/>
        <v>4.55482404972447</v>
      </c>
      <c r="E13" s="41" t="s">
        <v>118</v>
      </c>
      <c r="F13" s="45">
        <v>6096722.58</v>
      </c>
      <c r="G13" s="17">
        <f>合并试算平衡表!K76</f>
        <v>3192067.91</v>
      </c>
      <c r="H13" s="1459">
        <f t="shared" si="2"/>
        <v>5.77359146093808</v>
      </c>
      <c r="I13" s="1460"/>
      <c r="J13" s="1460"/>
      <c r="L13" s="47"/>
      <c r="M13" s="47"/>
    </row>
    <row r="14" spans="1:13">
      <c r="A14" s="40" t="s">
        <v>119</v>
      </c>
      <c r="B14" s="43">
        <v>0</v>
      </c>
      <c r="C14" s="1457">
        <f>合并试算平衡表!K21</f>
        <v>0</v>
      </c>
      <c r="D14" s="1458" t="e">
        <f t="shared" si="0"/>
        <v>#DIV/0!</v>
      </c>
      <c r="E14" s="41" t="s">
        <v>120</v>
      </c>
      <c r="F14" s="45">
        <v>-154621.2</v>
      </c>
      <c r="G14" s="17">
        <f>合并试算平衡表!K77</f>
        <v>738098.44</v>
      </c>
      <c r="H14" s="1459">
        <f t="shared" si="2"/>
        <v>-1.91002137035512</v>
      </c>
      <c r="I14" s="1460"/>
      <c r="J14" s="1460"/>
    </row>
    <row r="15" spans="1:13">
      <c r="A15" s="40" t="s">
        <v>121</v>
      </c>
      <c r="B15" s="43">
        <v>0</v>
      </c>
      <c r="C15" s="1457">
        <f>合并试算平衡表!K22</f>
        <v>0</v>
      </c>
      <c r="D15" s="1458" t="e">
        <f t="shared" si="0"/>
        <v>#DIV/0!</v>
      </c>
      <c r="E15" s="41" t="s">
        <v>122</v>
      </c>
      <c r="F15" s="45">
        <v>156763.89</v>
      </c>
      <c r="G15" s="17">
        <f>合并试算平衡表!K78</f>
        <v>456186.27</v>
      </c>
      <c r="H15" s="1459" t="e">
        <f t="shared" si="2"/>
        <v>#DIV/0!</v>
      </c>
      <c r="I15" s="1460"/>
      <c r="J15" s="1460"/>
      <c r="K15" s="1461"/>
    </row>
    <row r="16" spans="1:13">
      <c r="A16" s="40" t="s">
        <v>123</v>
      </c>
      <c r="B16" s="43">
        <v>2584018.13</v>
      </c>
      <c r="C16" s="1457">
        <f>合并试算平衡表!K23</f>
        <v>721163.11</v>
      </c>
      <c r="D16" s="1458">
        <f t="shared" si="0"/>
        <v>-0.720914067270883</v>
      </c>
      <c r="E16" s="41" t="s">
        <v>124</v>
      </c>
      <c r="F16" s="45">
        <v>0</v>
      </c>
      <c r="G16" s="17">
        <f>合并试算平衡表!K79</f>
        <v>0</v>
      </c>
      <c r="H16" s="1459">
        <f t="shared" si="2"/>
        <v>-1.84386714292954</v>
      </c>
      <c r="I16" s="1460"/>
      <c r="J16" s="1460"/>
    </row>
    <row r="17" ht="15" spans="1:18">
      <c r="A17" s="40" t="s">
        <v>125</v>
      </c>
      <c r="B17" s="43">
        <v>101190375.1</v>
      </c>
      <c r="C17" s="1457">
        <f>合并试算平衡表!K25</f>
        <v>113311288.21</v>
      </c>
      <c r="D17" s="1458">
        <f t="shared" si="0"/>
        <v>0.11978326098724</v>
      </c>
      <c r="E17" s="41" t="s">
        <v>126</v>
      </c>
      <c r="F17" s="45">
        <v>1224220.28</v>
      </c>
      <c r="G17" s="17">
        <f>合并试算平衡表!K80</f>
        <v>3481519.83</v>
      </c>
      <c r="H17" s="1459">
        <f t="shared" si="2"/>
        <v>0.652864071780901</v>
      </c>
      <c r="I17" s="1460"/>
      <c r="J17" s="1460"/>
    </row>
    <row r="18" spans="1:18">
      <c r="A18" s="40" t="s">
        <v>127</v>
      </c>
      <c r="B18" s="43">
        <v>36662265.37</v>
      </c>
      <c r="C18" s="1457">
        <f>精铸BS!C17+新材料BS!D17+快速BS!D17+热等静压BS!C17</f>
        <v>34576848.86</v>
      </c>
      <c r="D18" s="1458">
        <f t="shared" si="0"/>
        <v>-0.0568818235576477</v>
      </c>
      <c r="E18" s="41" t="s">
        <v>128</v>
      </c>
      <c r="F18" s="45">
        <v>36447158.97</v>
      </c>
      <c r="G18" s="17">
        <f>合并试算平衡表!K86+合并试算平衡表!K87</f>
        <v>12652118.36</v>
      </c>
      <c r="H18" s="1459">
        <f>(F32-G32)/F32</f>
        <v>-15.8788756771791</v>
      </c>
      <c r="I18" s="1460"/>
      <c r="J18" s="1460"/>
      <c r="L18" s="1462" t="s">
        <v>129</v>
      </c>
      <c r="N18" s="1463" t="s">
        <v>130</v>
      </c>
      <c r="O18" s="1464" t="s">
        <v>94</v>
      </c>
      <c r="P18" s="1464" t="s">
        <v>131</v>
      </c>
      <c r="Q18" s="1465" t="s">
        <v>92</v>
      </c>
      <c r="R18" s="320"/>
    </row>
    <row r="19" spans="1:18">
      <c r="A19" s="40" t="s">
        <v>132</v>
      </c>
      <c r="B19" s="43">
        <v>21132634.65</v>
      </c>
      <c r="C19" s="1457">
        <f>精铸BS!C18+新材料BS!D18+快速BS!D18+热等静压BS!C18</f>
        <v>21228692.36</v>
      </c>
      <c r="D19" s="1458">
        <f t="shared" si="0"/>
        <v>0.0045454677843494</v>
      </c>
      <c r="E19" s="1466"/>
      <c r="F19" s="1467"/>
      <c r="G19" s="1467"/>
      <c r="H19" s="1459" t="e">
        <f t="shared" si="2"/>
        <v>#DIV/0!</v>
      </c>
      <c r="I19" s="1460"/>
      <c r="J19" s="1460"/>
      <c r="K19" s="280">
        <f>(C19-B19)/0.75</f>
        <v>128076.946666668</v>
      </c>
      <c r="L19" s="47">
        <f>K19/10000</f>
        <v>12.8076946666668</v>
      </c>
      <c r="M19" s="24" t="s">
        <v>133</v>
      </c>
      <c r="N19" s="1468">
        <f>(精铸BS!C18-精铸BS!B18)/0.75/10000</f>
        <v>549.151234666667</v>
      </c>
      <c r="O19" s="1469">
        <f>(新材料BS!D18-新材料BS!C18)/0.75/10000</f>
        <v>348.423945333333</v>
      </c>
      <c r="P19" s="1469">
        <f>Q19+R19</f>
        <v>-884.767485333333</v>
      </c>
      <c r="Q19" s="47">
        <f>(快速BS!D18-快速BS!C18)/0.75/10000</f>
        <v>-1045.651284</v>
      </c>
      <c r="R19" s="1470">
        <f>L19-N19-O19-Q19</f>
        <v>160.883798666667</v>
      </c>
    </row>
    <row r="20" spans="1:18">
      <c r="A20" s="40" t="s">
        <v>134</v>
      </c>
      <c r="B20" s="43">
        <v>41755340.8</v>
      </c>
      <c r="C20" s="1457">
        <f>精铸BS!C19+新材料BS!D19+快速BS!D19+热等静压BS!C19</f>
        <v>44092936.58</v>
      </c>
      <c r="D20" s="1458">
        <f t="shared" si="0"/>
        <v>0.055983156530721</v>
      </c>
      <c r="E20" s="1471"/>
      <c r="F20" s="1472">
        <v>0</v>
      </c>
      <c r="G20" s="1473">
        <v>0</v>
      </c>
      <c r="H20" s="1459" t="e">
        <f t="shared" si="2"/>
        <v>#DIV/0!</v>
      </c>
      <c r="I20" s="1460"/>
      <c r="J20" s="1460"/>
      <c r="K20" s="280">
        <f>(C20-B20)/0.75+'利润表-合并'!C5</f>
        <v>137141097.433333</v>
      </c>
      <c r="L20" s="47">
        <f>K20/10000</f>
        <v>13714.1097433333</v>
      </c>
      <c r="M20" s="24" t="s">
        <v>135</v>
      </c>
      <c r="N20" s="1468">
        <f>((精铸BS!C19-精铸BS!B19)/0.75+精铸PL!C5)/10000</f>
        <v>192.748591666667</v>
      </c>
      <c r="O20" s="1469">
        <f>((新材料BS!D19-新材料BS!C19)/0.75+新材料PL!E6)/10000</f>
        <v>16099.639639</v>
      </c>
      <c r="P20" s="1469">
        <f t="shared" ref="P20:P21" si="3">Q20+R20</f>
        <v>-2578.27848733333</v>
      </c>
      <c r="Q20" s="47">
        <f>((快速BS!D19-快速BS!C19)/0.75+快速PL!D6)/10000</f>
        <v>9242.90930333333</v>
      </c>
      <c r="R20" s="1470">
        <f>L20-N20-O20-Q20</f>
        <v>-11821.1877906667</v>
      </c>
    </row>
    <row r="21" ht="15" spans="1:18">
      <c r="A21" s="40" t="s">
        <v>136</v>
      </c>
      <c r="B21" s="43">
        <v>1640134.28</v>
      </c>
      <c r="C21" s="1457">
        <f>精铸BS!C20+新材料BS!D20+快速BS!D20+热等静压BS!C20</f>
        <v>1114684.79</v>
      </c>
      <c r="D21" s="1458">
        <f t="shared" si="0"/>
        <v>-0.320369799233755</v>
      </c>
      <c r="E21" s="49"/>
      <c r="F21" s="45">
        <v>0</v>
      </c>
      <c r="G21" s="23">
        <v>0</v>
      </c>
      <c r="H21" s="1459" t="e">
        <f t="shared" si="2"/>
        <v>#DIV/0!</v>
      </c>
      <c r="I21" s="1460"/>
      <c r="J21" s="1460"/>
      <c r="K21" s="280">
        <f>K19+K20</f>
        <v>137269174.38</v>
      </c>
      <c r="L21" s="47">
        <f>L19+L20</f>
        <v>13726.917438</v>
      </c>
      <c r="M21" s="24" t="s">
        <v>137</v>
      </c>
      <c r="N21" s="1474">
        <f>N19+N20</f>
        <v>741.899826333333</v>
      </c>
      <c r="O21" s="1475">
        <f>O19+O20</f>
        <v>16448.0635843333</v>
      </c>
      <c r="P21" s="1475">
        <f t="shared" si="3"/>
        <v>-3463.04597266663</v>
      </c>
      <c r="Q21" s="334">
        <f>Q19+Q20</f>
        <v>8197.25801933333</v>
      </c>
      <c r="R21" s="1476">
        <f t="shared" ref="R20:R21" si="4">L21-N21-O21-Q21</f>
        <v>-11660.303992</v>
      </c>
    </row>
    <row r="22" spans="1:18">
      <c r="A22" s="1477" t="s">
        <v>138</v>
      </c>
      <c r="B22" s="43"/>
      <c r="C22" s="1457"/>
      <c r="D22" s="1458" t="e">
        <f t="shared" si="0"/>
        <v>#DIV/0!</v>
      </c>
      <c r="E22" s="49"/>
      <c r="F22" s="45">
        <v>0</v>
      </c>
      <c r="G22" s="23">
        <v>0</v>
      </c>
      <c r="H22" s="1459" t="e">
        <f t="shared" si="2"/>
        <v>#DIV/0!</v>
      </c>
      <c r="I22" s="1460"/>
      <c r="J22" s="1460"/>
      <c r="K22" s="47"/>
      <c r="L22" s="47"/>
      <c r="N22" s="1478"/>
      <c r="O22" s="1478"/>
      <c r="P22" s="1478"/>
    </row>
    <row r="23" spans="1:18">
      <c r="A23" s="1477" t="s">
        <v>139</v>
      </c>
      <c r="B23" s="43"/>
      <c r="C23" s="1457"/>
      <c r="D23" s="1458"/>
      <c r="E23" s="41"/>
      <c r="F23" s="45">
        <v>0</v>
      </c>
      <c r="G23" s="17">
        <v>0</v>
      </c>
      <c r="H23" s="1459"/>
      <c r="I23" s="1460"/>
      <c r="J23" s="1460"/>
      <c r="K23" s="47"/>
      <c r="L23" s="47"/>
      <c r="N23" s="1478"/>
      <c r="O23" s="1478"/>
      <c r="P23" s="1478"/>
    </row>
    <row r="24" spans="1:18">
      <c r="A24" s="40" t="s">
        <v>140</v>
      </c>
      <c r="B24" s="43">
        <v>0</v>
      </c>
      <c r="C24" s="44">
        <f>合并试算平衡表!K28</f>
        <v>0</v>
      </c>
      <c r="D24" s="1458" t="e">
        <f t="shared" si="0"/>
        <v>#DIV/0!</v>
      </c>
      <c r="E24" s="41"/>
      <c r="F24" s="45"/>
      <c r="G24" s="17"/>
      <c r="H24" s="1459">
        <f t="shared" ref="H24:H30" si="5">(F25-G25)/F25</f>
        <v>-0.360165162227148</v>
      </c>
      <c r="I24" s="1460"/>
      <c r="J24" s="1460"/>
      <c r="K24" s="47"/>
      <c r="L24" s="47"/>
      <c r="N24" s="1478"/>
      <c r="O24" s="1478"/>
      <c r="P24" s="1478"/>
    </row>
    <row r="25" spans="1:18">
      <c r="A25" s="40" t="s">
        <v>141</v>
      </c>
      <c r="B25" s="43">
        <v>477319.67</v>
      </c>
      <c r="C25" s="44">
        <f>合并试算平衡表!K29</f>
        <v>3625070.26</v>
      </c>
      <c r="D25" s="1458">
        <f t="shared" si="0"/>
        <v>6.59463832697278</v>
      </c>
      <c r="E25" s="41" t="s">
        <v>142</v>
      </c>
      <c r="F25" s="16">
        <v>217864279.39</v>
      </c>
      <c r="G25" s="16">
        <f>SUM(G7:G23)</f>
        <v>296331402.92</v>
      </c>
      <c r="H25" s="1459" t="e">
        <f t="shared" si="5"/>
        <v>#DIV/0!</v>
      </c>
      <c r="I25" s="1460">
        <f>G25/10000</f>
        <v>29633.140292</v>
      </c>
      <c r="J25" s="1460"/>
      <c r="K25" s="47"/>
      <c r="L25" s="47"/>
      <c r="N25" s="1478"/>
      <c r="O25" s="1478"/>
      <c r="P25" s="1478"/>
    </row>
    <row r="26" spans="1:18">
      <c r="A26" s="40" t="s">
        <v>143</v>
      </c>
      <c r="B26" s="53">
        <v>242566663.54</v>
      </c>
      <c r="C26" s="53">
        <f>C7+C10+C11+C12+C13+C16+C17+C22+C25</f>
        <v>303987665.94</v>
      </c>
      <c r="D26" s="1458">
        <f t="shared" si="0"/>
        <v>0.253212875601397</v>
      </c>
      <c r="E26" s="41" t="s">
        <v>144</v>
      </c>
      <c r="F26" s="51">
        <v>0</v>
      </c>
      <c r="G26" s="52">
        <v>0</v>
      </c>
      <c r="H26" s="1459">
        <f t="shared" si="5"/>
        <v>0.0258</v>
      </c>
      <c r="I26" s="1460"/>
      <c r="J26" s="1460"/>
      <c r="K26" s="47">
        <f>K19/1.13+K20</f>
        <v>137254439.864012</v>
      </c>
      <c r="L26" s="47">
        <f>K26/10000</f>
        <v>13725.4439864012</v>
      </c>
      <c r="M26" s="24" t="s">
        <v>145</v>
      </c>
      <c r="N26" s="1469">
        <f>((精铸BS!C18-精铸BS!B18+精铸BS!C19-精铸BS!B19)+精铸PL!C5)/10000</f>
        <v>728.794364</v>
      </c>
      <c r="O26" s="1469">
        <f>((新材料BS!C18-新材料BS!B18+新材料BS!C19-新材料BS!B19)+新材料PL!C6)/10000</f>
        <v>730.523324</v>
      </c>
      <c r="P26" s="1469" t="e">
        <f t="shared" ref="P26" si="6">Q26+R26</f>
        <v>#VALUE!</v>
      </c>
      <c r="Q26" s="47" t="e">
        <f>((快速BS!C18-快速BS!B18+快速BS!C19-快速BS!B19)+快速PL!C5)/10000</f>
        <v>#VALUE!</v>
      </c>
      <c r="R26" s="47" t="e">
        <f>L26-N26-O26-Q26</f>
        <v>#VALUE!</v>
      </c>
    </row>
    <row r="27" spans="1:18">
      <c r="A27" s="50" t="s">
        <v>146</v>
      </c>
      <c r="B27" s="46">
        <v>0</v>
      </c>
      <c r="C27" s="20">
        <v>0</v>
      </c>
      <c r="D27" s="1458" t="e">
        <f t="shared" si="0"/>
        <v>#DIV/0!</v>
      </c>
      <c r="E27" s="41" t="s">
        <v>147</v>
      </c>
      <c r="F27" s="45">
        <v>50000000</v>
      </c>
      <c r="G27" s="17">
        <f>合并试算平衡表!K90</f>
        <v>48710000</v>
      </c>
      <c r="H27" s="1459" t="e">
        <f t="shared" si="5"/>
        <v>#DIV/0!</v>
      </c>
      <c r="I27" s="1460"/>
      <c r="J27" s="1460"/>
    </row>
    <row r="28" spans="1:18">
      <c r="A28" s="40" t="s">
        <v>148</v>
      </c>
      <c r="B28" s="46">
        <v>0</v>
      </c>
      <c r="C28" s="20">
        <f>合并试算平衡表!K33</f>
        <v>0</v>
      </c>
      <c r="D28" s="1458" t="e">
        <f t="shared" si="0"/>
        <v>#DIV/0!</v>
      </c>
      <c r="E28" s="41" t="s">
        <v>149</v>
      </c>
      <c r="F28" s="45">
        <v>0</v>
      </c>
      <c r="G28" s="17">
        <f>合并试算平衡表!K91</f>
        <v>0</v>
      </c>
      <c r="H28" s="1459">
        <f t="shared" si="5"/>
        <v>1</v>
      </c>
      <c r="I28" s="1460"/>
      <c r="J28" s="1460"/>
      <c r="K28" s="47"/>
      <c r="L28" s="47"/>
    </row>
    <row r="29" spans="1:18">
      <c r="A29" s="40" t="s">
        <v>150</v>
      </c>
      <c r="B29" s="46">
        <v>0</v>
      </c>
      <c r="C29" s="20">
        <f>合并试算平衡表!K34</f>
        <v>0</v>
      </c>
      <c r="D29" s="1458" t="e">
        <f t="shared" si="0"/>
        <v>#DIV/0!</v>
      </c>
      <c r="E29" s="41" t="s">
        <v>151</v>
      </c>
      <c r="F29" s="45">
        <v>2497172.22</v>
      </c>
      <c r="G29" s="17">
        <f>合并试算平衡表!K94</f>
        <v>0</v>
      </c>
      <c r="H29" s="1459" t="e">
        <f t="shared" si="5"/>
        <v>#DIV/0!</v>
      </c>
      <c r="I29" s="1460"/>
      <c r="J29" s="1460"/>
      <c r="L29" s="47"/>
    </row>
    <row r="30" spans="1:18">
      <c r="A30" s="40" t="s">
        <v>152</v>
      </c>
      <c r="B30" s="43">
        <v>28650</v>
      </c>
      <c r="C30" s="20">
        <f>合并试算平衡表!K35</f>
        <v>0</v>
      </c>
      <c r="D30" s="1458">
        <f t="shared" si="0"/>
        <v>-1</v>
      </c>
      <c r="E30" s="41" t="s">
        <v>153</v>
      </c>
      <c r="F30" s="45">
        <v>0</v>
      </c>
      <c r="G30" s="17">
        <v>0</v>
      </c>
      <c r="H30" s="1459" t="e">
        <f t="shared" si="5"/>
        <v>#DIV/0!</v>
      </c>
      <c r="I30" s="1460"/>
      <c r="J30" s="1460"/>
    </row>
    <row r="31" spans="1:18">
      <c r="A31" s="40" t="s">
        <v>154</v>
      </c>
      <c r="B31" s="43">
        <v>0</v>
      </c>
      <c r="C31" s="1479">
        <f>合并试算平衡表!K36</f>
        <v>0</v>
      </c>
      <c r="D31" s="1458" t="e">
        <f t="shared" si="0"/>
        <v>#DIV/0!</v>
      </c>
      <c r="E31" s="41" t="s">
        <v>155</v>
      </c>
      <c r="F31" s="45"/>
      <c r="G31" s="17"/>
      <c r="H31" s="1459" t="e">
        <f t="shared" ref="H24:H46" si="7">(F33-G33)/F33</f>
        <v>#DIV/0!</v>
      </c>
      <c r="I31" s="1460"/>
      <c r="J31" s="1460"/>
      <c r="L31" s="47"/>
    </row>
    <row r="32" spans="1:18">
      <c r="A32" s="40" t="s">
        <v>156</v>
      </c>
      <c r="B32" s="43">
        <v>0</v>
      </c>
      <c r="C32" s="20">
        <f>合并试算平衡表!K39</f>
        <v>0</v>
      </c>
      <c r="D32" s="1458" t="e">
        <f t="shared" si="0"/>
        <v>#DIV/0!</v>
      </c>
      <c r="E32" s="41" t="s">
        <v>157</v>
      </c>
      <c r="F32" s="45">
        <v>2010252.89</v>
      </c>
      <c r="G32" s="17">
        <f>合并试算平衡表!K98</f>
        <v>33930808.61</v>
      </c>
      <c r="H32" s="1459" t="e">
        <f t="shared" si="7"/>
        <v>#DIV/0!</v>
      </c>
      <c r="I32" s="1460"/>
      <c r="J32" s="1460"/>
    </row>
    <row r="33" spans="1:16">
      <c r="A33" s="40" t="s">
        <v>158</v>
      </c>
      <c r="B33" s="43">
        <v>327748193.75</v>
      </c>
      <c r="C33" s="20">
        <f>合并试算平衡表!K40</f>
        <v>363761630.43</v>
      </c>
      <c r="D33" s="1458">
        <f t="shared" si="0"/>
        <v>0.109881419232078</v>
      </c>
      <c r="E33" s="55" t="s">
        <v>159</v>
      </c>
      <c r="F33" s="45">
        <v>0</v>
      </c>
      <c r="G33" s="17">
        <f>合并试算平衡表!K99</f>
        <v>0</v>
      </c>
      <c r="H33" s="1459">
        <f t="shared" si="7"/>
        <v>-0.516138552559119</v>
      </c>
      <c r="I33" s="1460"/>
      <c r="J33" s="1460"/>
      <c r="K33" s="47">
        <f>C33-B33</f>
        <v>36013436.6799999</v>
      </c>
      <c r="L33" s="47">
        <f>ROUND(K33/10000,2)</f>
        <v>3601.34</v>
      </c>
      <c r="M33" s="24" t="s">
        <v>160</v>
      </c>
    </row>
    <row r="34" spans="1:16">
      <c r="A34" s="40" t="s">
        <v>161</v>
      </c>
      <c r="B34" s="43">
        <v>115189259.78</v>
      </c>
      <c r="C34" s="20">
        <f>合并试算平衡表!K41</f>
        <v>168509461.95</v>
      </c>
      <c r="D34" s="1458">
        <f t="shared" si="0"/>
        <v>0.46289213310196</v>
      </c>
      <c r="E34" s="41" t="s">
        <v>162</v>
      </c>
      <c r="F34" s="45">
        <v>0</v>
      </c>
      <c r="G34" s="17">
        <f>合并试算平衡表!K100</f>
        <v>0</v>
      </c>
      <c r="H34" s="1459">
        <f t="shared" si="7"/>
        <v>-0.391378785934058</v>
      </c>
      <c r="I34" s="1460"/>
      <c r="J34" s="1460"/>
      <c r="K34" s="47">
        <f>C34-B34</f>
        <v>53320202.17</v>
      </c>
      <c r="L34" s="47">
        <f>ROUND(K34/10000,2)</f>
        <v>5332.02</v>
      </c>
      <c r="M34" s="24" t="s">
        <v>163</v>
      </c>
    </row>
    <row r="35" spans="1:16">
      <c r="A35" s="40" t="s">
        <v>164</v>
      </c>
      <c r="B35" s="43">
        <v>212558933.97</v>
      </c>
      <c r="C35" s="20">
        <f>C33-C34</f>
        <v>195252168.48</v>
      </c>
      <c r="D35" s="1458">
        <f t="shared" si="0"/>
        <v>-0.0814210212986986</v>
      </c>
      <c r="E35" s="41" t="s">
        <v>165</v>
      </c>
      <c r="F35" s="16">
        <v>54507425.11</v>
      </c>
      <c r="G35" s="16">
        <f>SUM(G27:G34)</f>
        <v>82640808.61</v>
      </c>
      <c r="H35" s="1459" t="e">
        <f t="shared" si="7"/>
        <v>#DIV/0!</v>
      </c>
      <c r="I35" s="1460"/>
      <c r="J35" s="1460"/>
    </row>
    <row r="36" spans="1:16">
      <c r="A36" s="40" t="s">
        <v>166</v>
      </c>
      <c r="B36" s="43">
        <v>16725441.6</v>
      </c>
      <c r="C36" s="20">
        <f>合并试算平衡表!K45</f>
        <v>42663259.62</v>
      </c>
      <c r="D36" s="1458">
        <f t="shared" si="0"/>
        <v>1.55080019053129</v>
      </c>
      <c r="E36" s="41" t="s">
        <v>167</v>
      </c>
      <c r="F36" s="16">
        <v>272371704.5</v>
      </c>
      <c r="G36" s="16">
        <f>G25+G35</f>
        <v>378972211.53</v>
      </c>
      <c r="H36" s="1459">
        <f t="shared" si="7"/>
        <v>-0.00997325298982384</v>
      </c>
      <c r="I36" s="1460"/>
      <c r="J36" s="1460"/>
      <c r="K36" s="47"/>
      <c r="O36" s="47"/>
      <c r="P36" s="47"/>
    </row>
    <row r="37" spans="1:16">
      <c r="A37" s="40" t="s">
        <v>168</v>
      </c>
      <c r="B37" s="43">
        <v>0</v>
      </c>
      <c r="C37" s="20">
        <f>合并试算平衡表!K46</f>
        <v>0</v>
      </c>
      <c r="D37" s="1458" t="e">
        <f t="shared" si="0"/>
        <v>#DIV/0!</v>
      </c>
      <c r="E37" s="41" t="s">
        <v>169</v>
      </c>
      <c r="F37" s="51">
        <v>0</v>
      </c>
      <c r="G37" s="52">
        <v>0</v>
      </c>
      <c r="H37" s="1459">
        <f t="shared" si="7"/>
        <v>-0.117865546252615</v>
      </c>
      <c r="I37" s="1460"/>
      <c r="J37" s="1460"/>
      <c r="L37" s="47"/>
    </row>
    <row r="38" spans="1:16">
      <c r="A38" s="40" t="s">
        <v>170</v>
      </c>
      <c r="B38" s="43">
        <v>0</v>
      </c>
      <c r="C38" s="20">
        <f>合并试算平衡表!K47</f>
        <v>0</v>
      </c>
      <c r="D38" s="1458" t="e">
        <f t="shared" si="0"/>
        <v>#DIV/0!</v>
      </c>
      <c r="E38" s="41" t="s">
        <v>171</v>
      </c>
      <c r="F38" s="45">
        <v>260216000</v>
      </c>
      <c r="G38" s="44">
        <f>合并试算平衡表!K104</f>
        <v>262811200</v>
      </c>
      <c r="H38" s="1459" t="e">
        <f t="shared" si="7"/>
        <v>#DIV/0!</v>
      </c>
      <c r="I38" s="1460"/>
      <c r="J38" s="1460"/>
      <c r="L38" s="47"/>
    </row>
    <row r="39" spans="1:16">
      <c r="A39" s="40" t="s">
        <v>172</v>
      </c>
      <c r="B39" s="43">
        <v>0</v>
      </c>
      <c r="C39" s="20">
        <f>合并试算平衡表!K48</f>
        <v>0</v>
      </c>
      <c r="D39" s="1458" t="e">
        <f t="shared" si="0"/>
        <v>#DIV/0!</v>
      </c>
      <c r="E39" s="41" t="s">
        <v>173</v>
      </c>
      <c r="F39" s="45">
        <v>105245344.33</v>
      </c>
      <c r="G39" s="44">
        <f>合并试算平衡表!K108</f>
        <v>117650144.33</v>
      </c>
      <c r="H39" s="1459" t="e">
        <f t="shared" si="7"/>
        <v>#DIV/0!</v>
      </c>
      <c r="I39" s="1460"/>
      <c r="J39" s="1460"/>
      <c r="O39" s="47"/>
      <c r="P39" s="47"/>
    </row>
    <row r="40" spans="1:16">
      <c r="A40" s="40" t="s">
        <v>174</v>
      </c>
      <c r="B40" s="43">
        <v>0</v>
      </c>
      <c r="C40" s="20">
        <f>合并试算平衡表!K49</f>
        <v>0</v>
      </c>
      <c r="D40" s="1458" t="e">
        <f t="shared" si="0"/>
        <v>#DIV/0!</v>
      </c>
      <c r="E40" s="41" t="s">
        <v>175</v>
      </c>
      <c r="F40" s="45"/>
      <c r="G40" s="57"/>
      <c r="H40" s="1459">
        <f t="shared" si="7"/>
        <v>-0.432491892881439</v>
      </c>
      <c r="I40" s="1460"/>
      <c r="J40" s="1460"/>
      <c r="K40" s="47"/>
      <c r="L40" s="47"/>
      <c r="M40" s="47"/>
    </row>
    <row r="41" spans="1:16">
      <c r="A41" s="40" t="s">
        <v>176</v>
      </c>
      <c r="B41" s="43">
        <v>12866865.36</v>
      </c>
      <c r="C41" s="20">
        <f>合并试算平衡表!K50</f>
        <v>13011878.2</v>
      </c>
      <c r="D41" s="1458">
        <f t="shared" si="0"/>
        <v>0.0112702539385241</v>
      </c>
      <c r="E41" s="41" t="s">
        <v>177</v>
      </c>
      <c r="F41" s="45">
        <v>0</v>
      </c>
      <c r="G41" s="57">
        <f>合并试算平衡表!K112</f>
        <v>0</v>
      </c>
      <c r="H41" s="1459">
        <f t="shared" si="7"/>
        <v>0.190488633169053</v>
      </c>
      <c r="I41" s="1460"/>
      <c r="J41" s="1460"/>
      <c r="K41" s="47"/>
      <c r="L41" s="47"/>
      <c r="M41" s="47"/>
      <c r="N41" s="47"/>
      <c r="O41" s="47"/>
      <c r="P41" s="47"/>
    </row>
    <row r="42" spans="1:16">
      <c r="A42" s="40" t="s">
        <v>178</v>
      </c>
      <c r="B42" s="43">
        <v>0</v>
      </c>
      <c r="C42" s="20">
        <f>合并试算平衡表!K51</f>
        <v>0</v>
      </c>
      <c r="D42" s="1458" t="e">
        <f t="shared" si="0"/>
        <v>#DIV/0!</v>
      </c>
      <c r="E42" s="41" t="s">
        <v>179</v>
      </c>
      <c r="F42" s="45">
        <v>-135824842.702528</v>
      </c>
      <c r="G42" s="58">
        <f>合并试算平衡表!K114</f>
        <v>-194567986.023268</v>
      </c>
      <c r="H42" s="1459">
        <f t="shared" si="7"/>
        <v>-0.023112165476697</v>
      </c>
      <c r="I42" s="1460">
        <f>G42-F42-'利润表-合并'!C30</f>
        <v>-41390379.6574721</v>
      </c>
      <c r="J42" s="1460"/>
      <c r="L42" s="47"/>
    </row>
    <row r="43" spans="1:16">
      <c r="A43" s="40" t="s">
        <v>180</v>
      </c>
      <c r="B43" s="43">
        <v>6070777.76</v>
      </c>
      <c r="C43" s="20">
        <f>合并试算平衡表!K52</f>
        <v>4043375.5</v>
      </c>
      <c r="D43" s="1458">
        <f t="shared" si="0"/>
        <v>-0.333960876209048</v>
      </c>
      <c r="E43" s="41" t="s">
        <v>181</v>
      </c>
      <c r="F43" s="58">
        <v>229636501.627472</v>
      </c>
      <c r="G43" s="58">
        <f>G38+G39+G42</f>
        <v>185893358.306732</v>
      </c>
      <c r="H43" s="1459">
        <f t="shared" si="7"/>
        <v>0.188761994529046</v>
      </c>
      <c r="I43" s="1460"/>
      <c r="J43" s="1460"/>
      <c r="K43" s="59"/>
      <c r="M43" s="47"/>
    </row>
    <row r="44" spans="1:16">
      <c r="A44" s="40" t="s">
        <v>182</v>
      </c>
      <c r="B44" s="43">
        <v>4569310.05</v>
      </c>
      <c r="C44" s="20">
        <f>合并试算平衡表!K53</f>
        <v>3260114.95</v>
      </c>
      <c r="D44" s="1458">
        <f t="shared" si="0"/>
        <v>-0.286519208736995</v>
      </c>
      <c r="E44" s="49" t="s">
        <v>183</v>
      </c>
      <c r="F44" s="45">
        <v>1871390.342528</v>
      </c>
      <c r="G44" s="58">
        <f>F44+'利润表-合并'!C29</f>
        <v>1914642.225796</v>
      </c>
      <c r="H44" s="1459" t="e">
        <f>(#REF!-#REF!)/#REF!</f>
        <v>#REF!</v>
      </c>
      <c r="I44" s="1460"/>
      <c r="J44" s="1460"/>
    </row>
    <row r="45" spans="1:16">
      <c r="A45" s="40" t="s">
        <v>184</v>
      </c>
      <c r="B45" s="43">
        <v>19251</v>
      </c>
      <c r="C45" s="20">
        <f>合并试算平衡表!K54</f>
        <v>10042.63</v>
      </c>
      <c r="D45" s="1458">
        <f t="shared" si="0"/>
        <v>-0.478332034699496</v>
      </c>
      <c r="E45" s="41" t="s">
        <v>185</v>
      </c>
      <c r="F45" s="58">
        <v>231507891.97</v>
      </c>
      <c r="G45" s="58">
        <f>G43+G44</f>
        <v>187808000.532528</v>
      </c>
      <c r="H45" s="1459" t="e">
        <f>(F46-G46)/F46</f>
        <v>#DIV/0!</v>
      </c>
      <c r="I45" s="1460"/>
      <c r="J45" s="1460"/>
      <c r="L45" s="47"/>
    </row>
    <row r="46" spans="1:16">
      <c r="A46" s="40" t="s">
        <v>186</v>
      </c>
      <c r="B46" s="43">
        <v>8473703.19</v>
      </c>
      <c r="C46" s="20">
        <f>合并试算平衡表!K55</f>
        <v>0</v>
      </c>
      <c r="D46" s="1458">
        <f t="shared" si="0"/>
        <v>-1</v>
      </c>
      <c r="E46" s="49"/>
      <c r="F46" s="45">
        <v>0</v>
      </c>
      <c r="G46" s="23">
        <v>0</v>
      </c>
      <c r="H46" s="1459" t="e">
        <f>(F47-G47)/F47</f>
        <v>#DIV/0!</v>
      </c>
      <c r="I46" s="1460"/>
      <c r="J46" s="1460"/>
      <c r="M46" s="47"/>
    </row>
    <row r="47" spans="1:16">
      <c r="A47" s="40" t="s">
        <v>187</v>
      </c>
      <c r="B47" s="54">
        <v>261312932.93</v>
      </c>
      <c r="C47" s="54">
        <f>C35+C36+C41+C43+C44+C45+C46+C31+C37+C30</f>
        <v>258240839.38</v>
      </c>
      <c r="D47" s="1458">
        <f t="shared" si="0"/>
        <v>-0.0117563777481424</v>
      </c>
      <c r="E47" s="41"/>
      <c r="F47" s="45">
        <v>0</v>
      </c>
      <c r="G47" s="23">
        <v>0</v>
      </c>
      <c r="H47" s="1459" t="e">
        <f>(#REF!-#REF!)/#REF!</f>
        <v>#REF!</v>
      </c>
      <c r="I47" s="1460"/>
      <c r="J47" s="1460"/>
    </row>
    <row r="48" spans="1:16">
      <c r="A48" s="40" t="s">
        <v>188</v>
      </c>
      <c r="B48" s="53">
        <v>503879596.47</v>
      </c>
      <c r="C48" s="53">
        <f>C47+C26</f>
        <v>562228505.32</v>
      </c>
      <c r="D48" s="1458">
        <f t="shared" si="0"/>
        <v>0.115799308522852</v>
      </c>
      <c r="E48" s="41" t="s">
        <v>189</v>
      </c>
      <c r="F48" s="16">
        <v>503879596.47</v>
      </c>
      <c r="G48" s="16">
        <f>G45+G36</f>
        <v>566780212.062528</v>
      </c>
      <c r="H48" s="1459">
        <f>(F48-G48)/F48</f>
        <v>-0.124832630718106</v>
      </c>
      <c r="I48" s="1460"/>
      <c r="J48" s="1460"/>
      <c r="K48" s="61"/>
      <c r="L48" s="61"/>
      <c r="M48" s="61"/>
    </row>
    <row r="49" spans="1:13">
      <c r="A49" s="62"/>
      <c r="B49" s="22"/>
      <c r="C49" s="22"/>
      <c r="D49" s="22"/>
      <c r="E49" s="63"/>
      <c r="F49" s="22"/>
      <c r="G49" s="23"/>
      <c r="H49" s="1480"/>
      <c r="I49" s="1481">
        <f>I42/0.7778</f>
        <v>-53214681.9972642</v>
      </c>
      <c r="J49" s="1480"/>
    </row>
    <row r="50" spans="1:13">
      <c r="I50" s="1482"/>
    </row>
    <row r="51" spans="1:13">
      <c r="B51" s="44"/>
      <c r="C51" s="44"/>
      <c r="D51" s="1483"/>
      <c r="F51" s="59">
        <f>B48-F48</f>
        <v>0</v>
      </c>
      <c r="G51" s="59">
        <f>G48-C48</f>
        <v>4551706.74252808</v>
      </c>
      <c r="H51" s="1484"/>
      <c r="I51" s="1485"/>
      <c r="J51" s="1484"/>
    </row>
    <row r="52" spans="1:13">
      <c r="E52" s="280"/>
      <c r="M52" s="47"/>
    </row>
    <row r="53" spans="1:13">
      <c r="B53" s="2">
        <f>B48-F48</f>
        <v>0</v>
      </c>
      <c r="E53" s="280"/>
    </row>
    <row r="54" spans="1:13">
      <c r="E54" s="280"/>
      <c r="I54" s="1482"/>
    </row>
    <row r="55" spans="1:13">
      <c r="E55" s="280"/>
      <c r="F55" s="1486">
        <f>F36/B48</f>
        <v>0.540549183590958</v>
      </c>
      <c r="G55" s="1486">
        <f>(G36)/(C48)</f>
        <v>0.674053712937061</v>
      </c>
      <c r="K55" s="47"/>
    </row>
    <row r="56" spans="1:13">
      <c r="E56" s="280"/>
    </row>
    <row r="65" spans="11:12">
      <c r="K65" s="1487" t="s">
        <v>190</v>
      </c>
      <c r="L65" s="47">
        <f>'利润表-合并'!C5</f>
        <v>134024303.06</v>
      </c>
    </row>
    <row r="66" spans="11:12">
      <c r="K66" s="1487" t="s">
        <v>191</v>
      </c>
      <c r="L66" s="47">
        <f>'利润表-合并'!C28</f>
        <v>-17309511.78</v>
      </c>
    </row>
    <row r="67" spans="11:12">
      <c r="K67" s="1487" t="s">
        <v>192</v>
      </c>
      <c r="L67" s="1461">
        <f>M43</f>
        <v>0</v>
      </c>
    </row>
  </sheetData>
  <autoFilter xmlns:etc="http://www.wps.cn/officeDocument/2017/etCustomData" ref="A5:R49" etc:filterBottomFollowUsedRange="0">
    <extLst/>
  </autoFilter>
  <mergeCells count="2">
    <mergeCell ref="A1:G1"/>
    <mergeCell ref="A3:B3"/>
  </mergeCells>
  <pageMargins left="0.118110236220472" right="0.118110236220472" top="0.15748031496063" bottom="0.15748031496063" header="0.31496062992126" footer="0.31496062992126"/>
  <pageSetup paperSize="9" scale="92"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92D050"/>
  </sheetPr>
  <dimension ref="A1:J67"/>
  <sheetViews>
    <sheetView showGridLines="0" view="pageBreakPreview" zoomScaleNormal="100" workbookViewId="0">
      <selection activeCell="C10" sqref="C10"/>
    </sheetView>
  </sheetViews>
  <sheetFormatPr defaultColWidth="8.325" defaultRowHeight="14.25"/>
  <cols>
    <col min="1" max="1" width="19.975" style="383" customWidth="1"/>
    <col min="2" max="3" width="17.7583333333333" style="383" customWidth="1"/>
    <col min="4" max="4" width="31.075" style="383" customWidth="1"/>
    <col min="5" max="6" width="17.7583333333333" style="383" customWidth="1"/>
    <col min="7" max="7" width="16.25" style="122"/>
    <col min="8" max="8" width="15.1916666666667" style="122"/>
    <col min="9" max="9" width="13.8333333333333" style="122"/>
    <col min="10" max="10" width="11.3333333333333" style="122" customWidth="1"/>
    <col min="11" max="16384" width="8.325" style="122"/>
  </cols>
  <sheetData>
    <row r="1" ht="43.2" customHeight="1" spans="1:6">
      <c r="A1" s="1280" t="s">
        <v>193</v>
      </c>
      <c r="B1" s="1444"/>
      <c r="C1" s="1444"/>
      <c r="D1" s="1445"/>
      <c r="E1" s="1444"/>
      <c r="F1" s="1444"/>
    </row>
    <row r="2" ht="18" customHeight="1" spans="1:6">
      <c r="A2" s="386"/>
      <c r="B2" s="386"/>
      <c r="C2" s="386"/>
      <c r="D2" s="386"/>
      <c r="E2" s="386"/>
      <c r="F2" s="398" t="s">
        <v>97</v>
      </c>
    </row>
    <row r="3" ht="18" customHeight="1" spans="1:6">
      <c r="A3" s="387" t="s">
        <v>194</v>
      </c>
      <c r="B3" s="387"/>
      <c r="C3" s="386" t="s">
        <v>195</v>
      </c>
      <c r="D3" s="388">
        <f>基本信息!B14</f>
        <v>45991</v>
      </c>
      <c r="E3" s="386" t="s">
        <v>196</v>
      </c>
      <c r="F3" s="387" t="s">
        <v>197</v>
      </c>
    </row>
    <row r="4" ht="7.2" customHeight="1"/>
    <row r="5" ht="18" customHeight="1" spans="1:6">
      <c r="A5" s="387"/>
      <c r="B5" s="387"/>
    </row>
    <row r="6" ht="7.2" customHeight="1"/>
    <row r="7" ht="18" customHeight="1" spans="1:6">
      <c r="A7" s="390" t="s">
        <v>100</v>
      </c>
      <c r="B7" s="390" t="s">
        <v>101</v>
      </c>
      <c r="C7" s="390" t="s">
        <v>102</v>
      </c>
      <c r="D7" s="390" t="s">
        <v>198</v>
      </c>
      <c r="E7" s="390" t="s">
        <v>101</v>
      </c>
      <c r="F7" s="390" t="s">
        <v>102</v>
      </c>
    </row>
    <row r="8" ht="18" customHeight="1" spans="1:6">
      <c r="A8" s="391" t="s">
        <v>104</v>
      </c>
      <c r="B8" s="393"/>
      <c r="C8" s="393"/>
      <c r="D8" s="391" t="s">
        <v>105</v>
      </c>
      <c r="E8" s="393"/>
      <c r="F8" s="393"/>
    </row>
    <row r="9" ht="18" customHeight="1" spans="1:6">
      <c r="A9" s="391" t="s">
        <v>199</v>
      </c>
      <c r="B9" s="393">
        <v>49753271.87</v>
      </c>
      <c r="C9" s="393">
        <f>合并试算平衡表!K9</f>
        <v>56972677.29</v>
      </c>
      <c r="D9" s="391" t="s">
        <v>200</v>
      </c>
      <c r="E9" s="393">
        <v>102786687.09</v>
      </c>
      <c r="F9" s="393">
        <f>合并试算平衡表!K64</f>
        <v>116552069.19</v>
      </c>
    </row>
    <row r="10" ht="18" customHeight="1" spans="1:6">
      <c r="A10" s="391" t="s">
        <v>201</v>
      </c>
      <c r="B10" s="393">
        <v>49750882.16</v>
      </c>
      <c r="C10" s="393">
        <f>精铸BS新!C10+新材料BS新!C6+快速BS新!C10+热等静压BS新!C7</f>
        <v>56240462.1</v>
      </c>
      <c r="D10" s="391" t="s">
        <v>202</v>
      </c>
      <c r="E10" s="393">
        <v>0</v>
      </c>
      <c r="F10" s="393">
        <f>合并试算平衡表!K67</f>
        <v>0</v>
      </c>
    </row>
    <row r="11" ht="18" customHeight="1" spans="1:6">
      <c r="A11" s="391" t="s">
        <v>203</v>
      </c>
      <c r="B11" s="393">
        <v>2389.71</v>
      </c>
      <c r="C11" s="393">
        <f>精铸BS新!C11+新材料BS新!C7+快速BS新!C11+热等静压BS新!C8</f>
        <v>732215.19</v>
      </c>
      <c r="D11" s="391" t="s">
        <v>204</v>
      </c>
      <c r="E11" s="393">
        <v>0</v>
      </c>
      <c r="F11" s="393">
        <f>合并试算平衡表!K70</f>
        <v>1128557.48</v>
      </c>
    </row>
    <row r="12" ht="18" customHeight="1" spans="1:6">
      <c r="A12" s="391" t="s">
        <v>205</v>
      </c>
      <c r="B12" s="393">
        <v>0</v>
      </c>
      <c r="C12" s="393">
        <f>合并试算平衡表!K12</f>
        <v>0</v>
      </c>
      <c r="D12" s="391" t="s">
        <v>206</v>
      </c>
      <c r="E12" s="393">
        <v>118349426.54</v>
      </c>
      <c r="F12" s="393">
        <f>合并试算平衡表!K71</f>
        <v>149330873.6</v>
      </c>
    </row>
    <row r="13" ht="18" customHeight="1" spans="1:6">
      <c r="A13" s="391" t="s">
        <v>207</v>
      </c>
      <c r="B13" s="393">
        <v>29226385.67</v>
      </c>
      <c r="C13" s="393">
        <f>合并试算平衡表!K14</f>
        <v>6766158.54</v>
      </c>
      <c r="D13" s="391" t="s">
        <v>208</v>
      </c>
      <c r="E13" s="393">
        <v>0</v>
      </c>
      <c r="F13" s="393">
        <f>合并试算平衡表!K72</f>
        <v>3510493.86</v>
      </c>
    </row>
    <row r="14" ht="18" customHeight="1" spans="1:6">
      <c r="A14" s="391" t="s">
        <v>209</v>
      </c>
      <c r="B14" s="393">
        <v>86579419.31</v>
      </c>
      <c r="C14" s="393">
        <f>合并试算平衡表!K15</f>
        <v>115332025.16</v>
      </c>
      <c r="D14" s="391" t="s">
        <v>210</v>
      </c>
      <c r="E14" s="393">
        <v>9067703.59</v>
      </c>
      <c r="F14" s="393">
        <f>合并试算平衡表!K73</f>
        <v>5289417.98</v>
      </c>
    </row>
    <row r="15" ht="18" customHeight="1" spans="1:6">
      <c r="A15" s="391" t="s">
        <v>211</v>
      </c>
      <c r="B15" s="393">
        <v>1603892.33</v>
      </c>
      <c r="C15" s="393">
        <f>合并试算平衡表!K16</f>
        <v>0</v>
      </c>
      <c r="D15" s="391" t="s">
        <v>212</v>
      </c>
      <c r="E15" s="393">
        <v>7566027.49</v>
      </c>
      <c r="F15" s="393">
        <f>合并试算平衡表!K76</f>
        <v>3192067.91</v>
      </c>
    </row>
    <row r="16" ht="18" customHeight="1" spans="1:6">
      <c r="A16" s="391" t="s">
        <v>213</v>
      </c>
      <c r="B16" s="393">
        <v>4883049.75</v>
      </c>
      <c r="C16" s="393">
        <f>合并试算平衡表!K17</f>
        <v>7259283.37</v>
      </c>
      <c r="D16" s="391" t="s">
        <v>214</v>
      </c>
      <c r="E16" s="393">
        <v>3095811.72</v>
      </c>
      <c r="F16" s="393">
        <f>合并试算平衡表!K77</f>
        <v>738098.44</v>
      </c>
    </row>
    <row r="17" ht="18" customHeight="1" spans="1:9">
      <c r="A17" s="391" t="s">
        <v>215</v>
      </c>
      <c r="B17" s="393">
        <v>0</v>
      </c>
      <c r="C17" s="393">
        <f>合并试算平衡表!K21</f>
        <v>0</v>
      </c>
      <c r="D17" s="391" t="s">
        <v>216</v>
      </c>
      <c r="E17" s="393">
        <v>0</v>
      </c>
      <c r="F17" s="393">
        <f>合并试算平衡表!K78</f>
        <v>456186.27</v>
      </c>
    </row>
    <row r="18" ht="18" customHeight="1" spans="1:9">
      <c r="A18" s="391" t="s">
        <v>217</v>
      </c>
      <c r="B18" s="393">
        <v>0</v>
      </c>
      <c r="C18" s="393">
        <f>合并试算平衡表!K22</f>
        <v>0</v>
      </c>
      <c r="D18" s="391" t="s">
        <v>218</v>
      </c>
      <c r="E18" s="393">
        <v>0</v>
      </c>
      <c r="F18" s="393">
        <f>合并试算平衡表!K79</f>
        <v>0</v>
      </c>
    </row>
    <row r="19" ht="18" customHeight="1" spans="1:9">
      <c r="A19" s="391" t="s">
        <v>219</v>
      </c>
      <c r="B19" s="393">
        <v>938609.95</v>
      </c>
      <c r="C19" s="393">
        <f>合并试算平衡表!K23</f>
        <v>721163.11</v>
      </c>
      <c r="D19" s="391" t="s">
        <v>220</v>
      </c>
      <c r="E19" s="393">
        <v>1627343.65</v>
      </c>
      <c r="F19" s="393">
        <f>合并试算平衡表!K80</f>
        <v>3481519.83</v>
      </c>
    </row>
    <row r="20" ht="18" customHeight="1" spans="1:9">
      <c r="A20" s="391" t="s">
        <v>221</v>
      </c>
      <c r="B20" s="393">
        <v>89565843.33</v>
      </c>
      <c r="C20" s="393">
        <f>合并试算平衡表!K25</f>
        <v>113311288.21</v>
      </c>
      <c r="D20" s="391" t="s">
        <v>222</v>
      </c>
      <c r="E20" s="393">
        <v>35008703.7</v>
      </c>
      <c r="F20" s="393">
        <f>合并试算平衡表!K86</f>
        <v>8372322.74</v>
      </c>
    </row>
    <row r="21" ht="18" customHeight="1" spans="1:9">
      <c r="A21" s="391" t="s">
        <v>223</v>
      </c>
      <c r="B21" s="393">
        <v>34587133.06</v>
      </c>
      <c r="C21" s="393">
        <f>快速BS新!C21+新材料BS新!C17+热等静压BS新!C18+精铸BS新!C21-合并调整抵消分录!F196-合并调整抵消分录!F177</f>
        <v>34837506.51</v>
      </c>
      <c r="D21" s="391" t="s">
        <v>224</v>
      </c>
      <c r="E21" s="393">
        <v>22779924.08</v>
      </c>
      <c r="F21" s="393">
        <f>合并试算平衡表!K87</f>
        <v>4279795.62</v>
      </c>
    </row>
    <row r="22" ht="18" customHeight="1" spans="1:9">
      <c r="A22" s="391" t="s">
        <v>225</v>
      </c>
      <c r="B22" s="393">
        <v>20928300.11</v>
      </c>
      <c r="C22" s="393">
        <f>快速BS新!C22+新材料BS新!C18+热等静压BS新!C19+精铸BS新!C22</f>
        <v>31121987.62</v>
      </c>
      <c r="D22" s="391"/>
      <c r="E22" s="393"/>
      <c r="F22" s="393"/>
      <c r="H22" s="121">
        <f>(C22-B22)/0.75/10000</f>
        <v>1359.15833466667</v>
      </c>
      <c r="I22" s="122" t="s">
        <v>133</v>
      </c>
    </row>
    <row r="23" ht="18" customHeight="1" spans="1:9">
      <c r="A23" s="391" t="s">
        <v>226</v>
      </c>
      <c r="B23" s="393">
        <v>33022501.22</v>
      </c>
      <c r="C23" s="393">
        <f>快速BS新!C23+新材料BS新!C19+热等静压BS新!C20+精铸BS新!C23</f>
        <v>46329410.61</v>
      </c>
      <c r="D23" s="391"/>
      <c r="E23" s="393"/>
      <c r="F23" s="393"/>
      <c r="H23" s="121">
        <f>((C23-B23)/0.75+'PL-合并'!D9)/10000</f>
        <v>15176.6848913333</v>
      </c>
      <c r="I23" s="122" t="s">
        <v>135</v>
      </c>
    </row>
    <row r="24" ht="18" customHeight="1" spans="1:9">
      <c r="A24" s="391" t="s">
        <v>227</v>
      </c>
      <c r="B24" s="393">
        <v>1027908.94</v>
      </c>
      <c r="C24" s="393">
        <f>快速BS新!C24+新材料BS新!C20+热等静压BS新!C21+精铸BS新!C24</f>
        <v>1022383.47</v>
      </c>
      <c r="D24" s="391"/>
      <c r="E24" s="393"/>
      <c r="F24" s="393"/>
      <c r="H24" s="121">
        <f>H22+H23</f>
        <v>16535.843226</v>
      </c>
      <c r="I24" s="122" t="s">
        <v>137</v>
      </c>
    </row>
    <row r="25" ht="18" customHeight="1" spans="1:9">
      <c r="A25" s="391" t="s">
        <v>228</v>
      </c>
      <c r="B25" s="393">
        <v>0</v>
      </c>
      <c r="C25" s="393">
        <v>0</v>
      </c>
      <c r="D25" s="611" t="s">
        <v>229</v>
      </c>
      <c r="E25" s="1446">
        <f>SUM(E9:E24)</f>
        <v>300281627.86</v>
      </c>
      <c r="F25" s="1446">
        <f>SUM(F9:F24)</f>
        <v>296331402.92</v>
      </c>
      <c r="H25" s="121">
        <f>H22/1.13+H23</f>
        <v>16379.479877764</v>
      </c>
      <c r="I25" s="122" t="s">
        <v>145</v>
      </c>
    </row>
    <row r="26" ht="18" customHeight="1" spans="1:9">
      <c r="A26" s="391" t="s">
        <v>230</v>
      </c>
      <c r="B26" s="393">
        <v>5174733.34</v>
      </c>
      <c r="C26" s="393">
        <f>合并试算平衡表!K26</f>
        <v>1426653.04</v>
      </c>
      <c r="D26" s="391" t="s">
        <v>144</v>
      </c>
      <c r="E26" s="393" t="s">
        <v>231</v>
      </c>
      <c r="F26" s="393"/>
    </row>
    <row r="27" ht="18" customHeight="1" spans="1:9">
      <c r="A27" s="391" t="s">
        <v>232</v>
      </c>
      <c r="B27" s="393">
        <v>0</v>
      </c>
      <c r="C27" s="393">
        <f>合并试算平衡表!K28</f>
        <v>0</v>
      </c>
      <c r="D27" s="391" t="s">
        <v>233</v>
      </c>
      <c r="E27" s="393">
        <v>23800000</v>
      </c>
      <c r="F27" s="393">
        <f>合并试算平衡表!K90</f>
        <v>48710000</v>
      </c>
    </row>
    <row r="28" ht="18" customHeight="1" spans="1:9">
      <c r="A28" s="391" t="s">
        <v>234</v>
      </c>
      <c r="B28" s="406">
        <v>1383995.42</v>
      </c>
      <c r="C28" s="393">
        <f>合并试算平衡表!K29</f>
        <v>3625070.26</v>
      </c>
      <c r="D28" s="391" t="s">
        <v>235</v>
      </c>
      <c r="E28" s="393">
        <v>0</v>
      </c>
      <c r="F28" s="393">
        <f>合并试算平衡表!K91</f>
        <v>0</v>
      </c>
    </row>
    <row r="29" ht="18" customHeight="1" spans="1:9">
      <c r="A29" s="611" t="s">
        <v>236</v>
      </c>
      <c r="B29" s="1446">
        <f>SUM(B9:B28)-B10-B11-B21-B22-B23-B24</f>
        <v>269109200.97</v>
      </c>
      <c r="C29" s="1446">
        <f>SUM(C9:C28)-C10-C11-C21-C22-C23-C24</f>
        <v>305414318.98</v>
      </c>
      <c r="D29" s="391" t="s">
        <v>237</v>
      </c>
      <c r="E29" s="393">
        <v>0</v>
      </c>
      <c r="F29" s="393">
        <f>合并试算平衡表!K94</f>
        <v>0</v>
      </c>
    </row>
    <row r="30" ht="18" customHeight="1" spans="1:9">
      <c r="A30" s="391"/>
      <c r="B30" s="393"/>
      <c r="C30" s="393"/>
      <c r="D30" s="391" t="s">
        <v>238</v>
      </c>
      <c r="E30" s="393">
        <v>0</v>
      </c>
      <c r="F30" s="393">
        <f>合并试算平衡表!K96</f>
        <v>0</v>
      </c>
    </row>
    <row r="31" ht="18" customHeight="1" spans="1:9">
      <c r="A31" s="391"/>
      <c r="B31" s="393"/>
      <c r="C31" s="393"/>
      <c r="D31" s="391" t="s">
        <v>239</v>
      </c>
      <c r="E31" s="393">
        <v>0</v>
      </c>
      <c r="F31" s="393">
        <f>合并试算平衡表!K97</f>
        <v>0</v>
      </c>
    </row>
    <row r="32" ht="18" customHeight="1" spans="1:9">
      <c r="A32" s="391"/>
      <c r="B32" s="393"/>
      <c r="C32" s="393"/>
      <c r="D32" s="391" t="s">
        <v>240</v>
      </c>
      <c r="E32" s="393">
        <v>6958008.61</v>
      </c>
      <c r="F32" s="393">
        <f>合并试算平衡表!K98</f>
        <v>33930808.61</v>
      </c>
    </row>
    <row r="33" ht="18" customHeight="1" spans="1:10">
      <c r="A33" s="391" t="s">
        <v>146</v>
      </c>
      <c r="B33" s="393"/>
      <c r="C33" s="393"/>
      <c r="D33" s="391" t="s">
        <v>241</v>
      </c>
      <c r="E33" s="393">
        <v>0</v>
      </c>
      <c r="F33" s="393">
        <f>合并试算平衡表!K99</f>
        <v>0</v>
      </c>
    </row>
    <row r="34" ht="18" customHeight="1" spans="1:10">
      <c r="A34" s="391" t="s">
        <v>242</v>
      </c>
      <c r="B34" s="393">
        <v>0</v>
      </c>
      <c r="C34" s="393">
        <f>合并试算平衡表!K33</f>
        <v>0</v>
      </c>
      <c r="D34" s="391" t="s">
        <v>243</v>
      </c>
      <c r="E34" s="393">
        <v>0</v>
      </c>
      <c r="F34" s="393">
        <f>合并试算平衡表!K100</f>
        <v>0</v>
      </c>
    </row>
    <row r="35" ht="18" customHeight="1" spans="1:10">
      <c r="A35" s="391" t="s">
        <v>244</v>
      </c>
      <c r="B35" s="393">
        <v>0</v>
      </c>
      <c r="C35" s="393">
        <f>合并试算平衡表!K34</f>
        <v>0</v>
      </c>
      <c r="D35" s="611" t="s">
        <v>245</v>
      </c>
      <c r="E35" s="1446">
        <f>SUM(E27:E34)</f>
        <v>30758008.61</v>
      </c>
      <c r="F35" s="1446">
        <f>SUM(F27:F34)</f>
        <v>82640808.61</v>
      </c>
    </row>
    <row r="36" ht="18" customHeight="1" spans="1:10">
      <c r="A36" s="391" t="s">
        <v>246</v>
      </c>
      <c r="B36" s="393">
        <v>0</v>
      </c>
      <c r="C36" s="393">
        <f>合并试算平衡表!K35</f>
        <v>0</v>
      </c>
      <c r="D36" s="611" t="s">
        <v>247</v>
      </c>
      <c r="E36" s="1446">
        <f>E35+E25</f>
        <v>331039636.47</v>
      </c>
      <c r="F36" s="1446">
        <f>F35+F25</f>
        <v>378972211.53</v>
      </c>
    </row>
    <row r="37" ht="18" customHeight="1" spans="1:10">
      <c r="A37" s="391" t="s">
        <v>248</v>
      </c>
      <c r="B37" s="393">
        <v>0</v>
      </c>
      <c r="C37" s="393">
        <f>合并试算平衡表!K36</f>
        <v>0</v>
      </c>
      <c r="D37" s="391"/>
      <c r="E37" s="393"/>
      <c r="F37" s="393"/>
    </row>
    <row r="38" ht="18" customHeight="1" spans="1:10">
      <c r="A38" s="391" t="s">
        <v>249</v>
      </c>
      <c r="B38" s="393">
        <v>17507065.67</v>
      </c>
      <c r="C38" s="393">
        <f>合并试算平衡表!K38</f>
        <v>3000000</v>
      </c>
      <c r="D38" s="391"/>
      <c r="E38" s="393"/>
      <c r="F38" s="393"/>
    </row>
    <row r="39" ht="18" customHeight="1" spans="1:10">
      <c r="A39" s="391" t="s">
        <v>250</v>
      </c>
      <c r="B39" s="393">
        <v>0</v>
      </c>
      <c r="C39" s="393">
        <f>合并试算平衡表!K39</f>
        <v>0</v>
      </c>
      <c r="D39" s="391" t="s">
        <v>169</v>
      </c>
      <c r="E39" s="393" t="s">
        <v>231</v>
      </c>
      <c r="F39" s="393"/>
    </row>
    <row r="40" ht="18" customHeight="1" spans="1:10">
      <c r="A40" s="391" t="s">
        <v>251</v>
      </c>
      <c r="B40" s="393">
        <v>344087156.45</v>
      </c>
      <c r="C40" s="393">
        <f>合并试算平衡表!K40</f>
        <v>363761630.43</v>
      </c>
      <c r="D40" s="391" t="s">
        <v>252</v>
      </c>
      <c r="E40" s="393">
        <v>260216000</v>
      </c>
      <c r="F40" s="393">
        <f>合并试算平衡表!K104</f>
        <v>262811200</v>
      </c>
      <c r="G40" s="121"/>
      <c r="H40" s="121">
        <f>(C40-B40)/10000</f>
        <v>1967.447398</v>
      </c>
      <c r="I40" s="122" t="s">
        <v>160</v>
      </c>
    </row>
    <row r="41" ht="18" customHeight="1" spans="1:10">
      <c r="A41" s="391" t="s">
        <v>253</v>
      </c>
      <c r="B41" s="393">
        <v>143003184.68</v>
      </c>
      <c r="C41" s="393">
        <f>合并试算平衡表!K41</f>
        <v>168509461.95</v>
      </c>
      <c r="D41" s="391" t="s">
        <v>254</v>
      </c>
      <c r="E41" s="393">
        <v>105245344.33</v>
      </c>
      <c r="F41" s="393">
        <f>合并试算平衡表!K108</f>
        <v>117650144.33</v>
      </c>
      <c r="G41" s="121"/>
      <c r="H41" s="121">
        <f>(C41-B41)/10000</f>
        <v>2550.627727</v>
      </c>
      <c r="I41" s="122" t="s">
        <v>163</v>
      </c>
    </row>
    <row r="42" ht="18" customHeight="1" spans="1:10">
      <c r="A42" s="391" t="s">
        <v>255</v>
      </c>
      <c r="B42" s="393">
        <v>201083971.77</v>
      </c>
      <c r="C42" s="393">
        <f>C40-C41</f>
        <v>195252168.48</v>
      </c>
      <c r="D42" s="391" t="s">
        <v>256</v>
      </c>
      <c r="E42" s="393">
        <v>0</v>
      </c>
      <c r="F42" s="393">
        <f>合并试算平衡表!K109</f>
        <v>0</v>
      </c>
    </row>
    <row r="43" ht="18" customHeight="1" spans="1:10">
      <c r="A43" s="391" t="s">
        <v>257</v>
      </c>
      <c r="B43" s="393">
        <v>11313316.66</v>
      </c>
      <c r="C43" s="393">
        <f>合并试算平衡表!K45</f>
        <v>42663259.62</v>
      </c>
      <c r="D43" s="391" t="s">
        <v>258</v>
      </c>
      <c r="E43" s="393">
        <v>0</v>
      </c>
      <c r="F43" s="393">
        <f>合并试算平衡表!K112</f>
        <v>0</v>
      </c>
    </row>
    <row r="44" ht="18" customHeight="1" spans="1:10">
      <c r="A44" s="391" t="s">
        <v>259</v>
      </c>
      <c r="B44" s="393">
        <v>0</v>
      </c>
      <c r="C44" s="393">
        <f>合并试算平衡表!K47</f>
        <v>0</v>
      </c>
      <c r="D44" s="391" t="s">
        <v>260</v>
      </c>
      <c r="E44" s="393">
        <v>-177215222.36</v>
      </c>
      <c r="F44" s="393">
        <f>合并试算平衡表!K114</f>
        <v>-194567986.023268</v>
      </c>
      <c r="G44" s="121">
        <f>F44-E44-'PL-合并'!D38</f>
        <v>-5.96046447753906e-8</v>
      </c>
    </row>
    <row r="45" ht="18" customHeight="1" spans="1:10">
      <c r="A45" s="391" t="s">
        <v>261</v>
      </c>
      <c r="B45" s="393">
        <v>0</v>
      </c>
      <c r="C45" s="393">
        <f>合并试算平衡表!K48</f>
        <v>0</v>
      </c>
      <c r="D45" s="611" t="s">
        <v>262</v>
      </c>
      <c r="E45" s="1446">
        <f>E40+E41+E44+E43</f>
        <v>188246121.97</v>
      </c>
      <c r="F45" s="1446">
        <f>F40+F41+F44+F43</f>
        <v>185893358.306732</v>
      </c>
      <c r="G45" s="121"/>
      <c r="H45" s="121"/>
    </row>
    <row r="46" ht="18" customHeight="1" spans="1:10">
      <c r="A46" s="391" t="s">
        <v>263</v>
      </c>
      <c r="B46" s="393">
        <v>0</v>
      </c>
      <c r="C46" s="393">
        <f>合并试算平衡表!K49</f>
        <v>0</v>
      </c>
      <c r="D46" s="1447" t="s">
        <v>264</v>
      </c>
      <c r="E46" s="393">
        <v>1746336.64</v>
      </c>
      <c r="F46" s="393">
        <f>合并试算平衡表!K116</f>
        <v>1789588.52</v>
      </c>
      <c r="G46" s="121"/>
    </row>
    <row r="47" ht="18" customHeight="1" spans="1:10">
      <c r="A47" s="391" t="s">
        <v>265</v>
      </c>
      <c r="B47" s="393">
        <v>13123470.23</v>
      </c>
      <c r="C47" s="393">
        <f>合并试算平衡表!K50</f>
        <v>13011878.2</v>
      </c>
      <c r="D47" s="611" t="s">
        <v>266</v>
      </c>
      <c r="E47" s="1446">
        <f>E45+E46</f>
        <v>189992458.61</v>
      </c>
      <c r="F47" s="1446">
        <f>F45+F46</f>
        <v>187682946.826732</v>
      </c>
      <c r="G47" s="121"/>
    </row>
    <row r="48" ht="18" customHeight="1" spans="1:10">
      <c r="A48" s="391" t="s">
        <v>267</v>
      </c>
      <c r="B48" s="393">
        <v>0</v>
      </c>
      <c r="C48" s="393">
        <f>合并试算平衡表!K51</f>
        <v>0</v>
      </c>
      <c r="D48" s="391"/>
      <c r="E48" s="393"/>
      <c r="F48" s="393"/>
      <c r="J48" s="1448"/>
    </row>
    <row r="49" ht="18" customHeight="1" spans="1:10">
      <c r="A49" s="391" t="s">
        <v>268</v>
      </c>
      <c r="B49" s="393">
        <v>4043375.5</v>
      </c>
      <c r="C49" s="393">
        <f>合并试算平衡表!K52</f>
        <v>4043375.5</v>
      </c>
      <c r="D49" s="391"/>
      <c r="E49" s="393"/>
      <c r="F49" s="393"/>
      <c r="G49" s="121"/>
      <c r="I49" s="1449">
        <v>-112634.02</v>
      </c>
      <c r="J49" s="121"/>
    </row>
    <row r="50" ht="18" customHeight="1" spans="1:10">
      <c r="A50" s="391" t="s">
        <v>269</v>
      </c>
      <c r="B50" s="393">
        <v>4841651.65</v>
      </c>
      <c r="C50" s="393">
        <f>合并试算平衡表!K53</f>
        <v>3260114.95</v>
      </c>
      <c r="D50" s="391"/>
      <c r="E50" s="393"/>
      <c r="F50" s="393"/>
      <c r="G50" s="121"/>
      <c r="I50" s="121">
        <f>I49/0.2222</f>
        <v>-506903.780378038</v>
      </c>
    </row>
    <row r="51" ht="18" customHeight="1" spans="1:10">
      <c r="A51" s="391" t="s">
        <v>270</v>
      </c>
      <c r="B51" s="393">
        <v>10042.63</v>
      </c>
      <c r="C51" s="393">
        <f>合并试算平衡表!K54</f>
        <v>10042.63</v>
      </c>
      <c r="D51" s="391"/>
      <c r="E51" s="393"/>
      <c r="F51" s="393"/>
      <c r="G51" s="121"/>
      <c r="J51" s="1448"/>
    </row>
    <row r="52" ht="18" customHeight="1" spans="1:10">
      <c r="A52" s="391" t="s">
        <v>271</v>
      </c>
      <c r="B52" s="393">
        <v>0</v>
      </c>
      <c r="C52" s="393">
        <f>合并试算平衡表!K55</f>
        <v>0</v>
      </c>
      <c r="D52" s="391"/>
      <c r="E52" s="393"/>
      <c r="F52" s="393"/>
      <c r="I52" s="121">
        <v>506853.6</v>
      </c>
    </row>
    <row r="53" ht="18" customHeight="1" spans="1:10">
      <c r="A53" s="611" t="s">
        <v>272</v>
      </c>
      <c r="B53" s="1446">
        <f>SUM(B34:B52)-B40-B41</f>
        <v>251922894.11</v>
      </c>
      <c r="C53" s="1446">
        <f>SUM(C34:C52)-C40-C41</f>
        <v>261240839.38</v>
      </c>
      <c r="D53" s="391"/>
      <c r="E53" s="393"/>
      <c r="F53" s="393"/>
      <c r="I53" s="121">
        <f>I52*(400/1800)</f>
        <v>112634.133333333</v>
      </c>
    </row>
    <row r="54" ht="18" customHeight="1" spans="1:10">
      <c r="A54" s="611" t="s">
        <v>273</v>
      </c>
      <c r="B54" s="1446">
        <f>B53+B29</f>
        <v>521032095.08</v>
      </c>
      <c r="C54" s="1446">
        <f>C53+C29</f>
        <v>566655158.36</v>
      </c>
      <c r="D54" s="611" t="s">
        <v>274</v>
      </c>
      <c r="E54" s="1446">
        <f>E47+E36</f>
        <v>521032095.08</v>
      </c>
      <c r="F54" s="1446">
        <f>F47+F36</f>
        <v>566655158.356732</v>
      </c>
      <c r="I54" s="121">
        <f>I49+I53</f>
        <v>0.113333332992624</v>
      </c>
    </row>
    <row r="55" ht="20.15" customHeight="1" spans="1:10">
      <c r="E55" s="407">
        <f>B54-E54</f>
        <v>0</v>
      </c>
      <c r="F55" s="407">
        <f>C54-F54</f>
        <v>0.00326812267303467</v>
      </c>
    </row>
    <row r="56" ht="15.8" customHeight="1" spans="1:10">
      <c r="A56" s="386"/>
      <c r="B56" s="387"/>
      <c r="C56" s="386"/>
      <c r="D56" s="387"/>
      <c r="E56" s="386"/>
      <c r="F56" s="387"/>
    </row>
    <row r="57" ht="15.1" customHeight="1" spans="1:10">
      <c r="C57" s="407">
        <f>C49-B49</f>
        <v>0</v>
      </c>
      <c r="D57" s="383" t="s">
        <v>192</v>
      </c>
      <c r="E57" s="389">
        <f>E36/B54</f>
        <v>0.635353636745106</v>
      </c>
      <c r="F57" s="389">
        <f>F36/C54</f>
        <v>0.668788073202779</v>
      </c>
    </row>
    <row r="62" spans="1:10">
      <c r="E62" s="407"/>
      <c r="F62" s="407"/>
    </row>
    <row r="63" spans="1:10">
      <c r="E63" s="407"/>
      <c r="F63" s="407"/>
    </row>
    <row r="64" spans="1:10">
      <c r="E64" s="407"/>
      <c r="F64" s="407"/>
    </row>
    <row r="65" spans="5:6">
      <c r="E65" s="407"/>
      <c r="F65" s="407"/>
    </row>
    <row r="66" spans="5:6">
      <c r="E66" s="407"/>
      <c r="F66" s="407"/>
    </row>
    <row r="67" spans="5:6">
      <c r="E67" s="407"/>
      <c r="F67" s="407"/>
    </row>
  </sheetData>
  <autoFilter xmlns:etc="http://www.wps.cn/officeDocument/2017/etCustomData" ref="A7:J55" etc:filterBottomFollowUsedRange="0">
    <extLst/>
  </autoFilter>
  <mergeCells count="2">
    <mergeCell ref="A3:B3"/>
    <mergeCell ref="A5:B5"/>
  </mergeCells>
  <pageMargins left="0.299027777777778" right="0.299027777777778" top="0.299027777777778" bottom="0.299027777777778" header="0.3" footer="0.3"/>
  <pageSetup paperSize="9" scale="78" orientation="portrait" useFirstPageNumber="1" horizontalDpi="600" vertic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O40"/>
  <sheetViews>
    <sheetView view="pageBreakPreview" zoomScaleNormal="100" workbookViewId="0">
      <pane xSplit="3" ySplit="4" topLeftCell="E20" activePane="bottomRight" state="frozen"/>
      <selection/>
      <selection pane="topRight"/>
      <selection pane="bottomLeft"/>
      <selection pane="bottomRight" activeCell="F30" sqref="F29:F30"/>
    </sheetView>
  </sheetViews>
  <sheetFormatPr defaultColWidth="9" defaultRowHeight="15"/>
  <cols>
    <col min="1" max="1" width="49.625" style="1295" customWidth="1"/>
    <col min="2" max="3" width="23.625" style="1333" customWidth="1"/>
    <col min="4" max="4" width="14.4666666666667" style="1412" customWidth="1"/>
    <col min="5" max="6" width="15.0333333333333" style="1412" customWidth="1"/>
    <col min="7" max="8" width="16.125" style="1295" customWidth="1"/>
    <col min="9" max="9" width="13" style="1295" customWidth="1"/>
    <col min="10" max="10" width="10.9666666666667" style="1295" customWidth="1"/>
    <col min="11" max="11" width="10.375" style="1295" customWidth="1"/>
    <col min="12" max="12" width="12.625" style="1295" customWidth="1"/>
    <col min="13" max="14" width="11.75" style="1295"/>
    <col min="15" max="231" width="9" style="1295"/>
    <col min="232" max="232" width="49.625" style="1295" customWidth="1"/>
    <col min="233" max="234" width="23.625" style="1295" customWidth="1"/>
    <col min="235" max="487" width="9" style="1295"/>
    <col min="488" max="488" width="49.625" style="1295" customWidth="1"/>
    <col min="489" max="490" width="23.625" style="1295" customWidth="1"/>
    <col min="491" max="743" width="9" style="1295"/>
    <col min="744" max="744" width="49.625" style="1295" customWidth="1"/>
    <col min="745" max="746" width="23.625" style="1295" customWidth="1"/>
    <col min="747" max="999" width="9" style="1295"/>
    <col min="1000" max="1000" width="49.625" style="1295" customWidth="1"/>
    <col min="1001" max="1002" width="23.625" style="1295" customWidth="1"/>
    <col min="1003" max="1255" width="9" style="1295"/>
    <col min="1256" max="1256" width="49.625" style="1295" customWidth="1"/>
    <col min="1257" max="1258" width="23.625" style="1295" customWidth="1"/>
    <col min="1259" max="1511" width="9" style="1295"/>
    <col min="1512" max="1512" width="49.625" style="1295" customWidth="1"/>
    <col min="1513" max="1514" width="23.625" style="1295" customWidth="1"/>
    <col min="1515" max="1767" width="9" style="1295"/>
    <col min="1768" max="1768" width="49.625" style="1295" customWidth="1"/>
    <col min="1769" max="1770" width="23.625" style="1295" customWidth="1"/>
    <col min="1771" max="2023" width="9" style="1295"/>
    <col min="2024" max="2024" width="49.625" style="1295" customWidth="1"/>
    <col min="2025" max="2026" width="23.625" style="1295" customWidth="1"/>
    <col min="2027" max="2279" width="9" style="1295"/>
    <col min="2280" max="2280" width="49.625" style="1295" customWidth="1"/>
    <col min="2281" max="2282" width="23.625" style="1295" customWidth="1"/>
    <col min="2283" max="2535" width="9" style="1295"/>
    <col min="2536" max="2536" width="49.625" style="1295" customWidth="1"/>
    <col min="2537" max="2538" width="23.625" style="1295" customWidth="1"/>
    <col min="2539" max="2791" width="9" style="1295"/>
    <col min="2792" max="2792" width="49.625" style="1295" customWidth="1"/>
    <col min="2793" max="2794" width="23.625" style="1295" customWidth="1"/>
    <col min="2795" max="3047" width="9" style="1295"/>
    <col min="3048" max="3048" width="49.625" style="1295" customWidth="1"/>
    <col min="3049" max="3050" width="23.625" style="1295" customWidth="1"/>
    <col min="3051" max="3303" width="9" style="1295"/>
    <col min="3304" max="3304" width="49.625" style="1295" customWidth="1"/>
    <col min="3305" max="3306" width="23.625" style="1295" customWidth="1"/>
    <col min="3307" max="3559" width="9" style="1295"/>
    <col min="3560" max="3560" width="49.625" style="1295" customWidth="1"/>
    <col min="3561" max="3562" width="23.625" style="1295" customWidth="1"/>
    <col min="3563" max="3815" width="9" style="1295"/>
    <col min="3816" max="3816" width="49.625" style="1295" customWidth="1"/>
    <col min="3817" max="3818" width="23.625" style="1295" customWidth="1"/>
    <col min="3819" max="4071" width="9" style="1295"/>
    <col min="4072" max="4072" width="49.625" style="1295" customWidth="1"/>
    <col min="4073" max="4074" width="23.625" style="1295" customWidth="1"/>
    <col min="4075" max="4327" width="9" style="1295"/>
    <col min="4328" max="4328" width="49.625" style="1295" customWidth="1"/>
    <col min="4329" max="4330" width="23.625" style="1295" customWidth="1"/>
    <col min="4331" max="4583" width="9" style="1295"/>
    <col min="4584" max="4584" width="49.625" style="1295" customWidth="1"/>
    <col min="4585" max="4586" width="23.625" style="1295" customWidth="1"/>
    <col min="4587" max="4839" width="9" style="1295"/>
    <col min="4840" max="4840" width="49.625" style="1295" customWidth="1"/>
    <col min="4841" max="4842" width="23.625" style="1295" customWidth="1"/>
    <col min="4843" max="5095" width="9" style="1295"/>
    <col min="5096" max="5096" width="49.625" style="1295" customWidth="1"/>
    <col min="5097" max="5098" width="23.625" style="1295" customWidth="1"/>
    <col min="5099" max="5351" width="9" style="1295"/>
    <col min="5352" max="5352" width="49.625" style="1295" customWidth="1"/>
    <col min="5353" max="5354" width="23.625" style="1295" customWidth="1"/>
    <col min="5355" max="5607" width="9" style="1295"/>
    <col min="5608" max="5608" width="49.625" style="1295" customWidth="1"/>
    <col min="5609" max="5610" width="23.625" style="1295" customWidth="1"/>
    <col min="5611" max="5863" width="9" style="1295"/>
    <col min="5864" max="5864" width="49.625" style="1295" customWidth="1"/>
    <col min="5865" max="5866" width="23.625" style="1295" customWidth="1"/>
    <col min="5867" max="6119" width="9" style="1295"/>
    <col min="6120" max="6120" width="49.625" style="1295" customWidth="1"/>
    <col min="6121" max="6122" width="23.625" style="1295" customWidth="1"/>
    <col min="6123" max="6375" width="9" style="1295"/>
    <col min="6376" max="6376" width="49.625" style="1295" customWidth="1"/>
    <col min="6377" max="6378" width="23.625" style="1295" customWidth="1"/>
    <col min="6379" max="6631" width="9" style="1295"/>
    <col min="6632" max="6632" width="49.625" style="1295" customWidth="1"/>
    <col min="6633" max="6634" width="23.625" style="1295" customWidth="1"/>
    <col min="6635" max="6887" width="9" style="1295"/>
    <col min="6888" max="6888" width="49.625" style="1295" customWidth="1"/>
    <col min="6889" max="6890" width="23.625" style="1295" customWidth="1"/>
    <col min="6891" max="7143" width="9" style="1295"/>
    <col min="7144" max="7144" width="49.625" style="1295" customWidth="1"/>
    <col min="7145" max="7146" width="23.625" style="1295" customWidth="1"/>
    <col min="7147" max="7399" width="9" style="1295"/>
    <col min="7400" max="7400" width="49.625" style="1295" customWidth="1"/>
    <col min="7401" max="7402" width="23.625" style="1295" customWidth="1"/>
    <col min="7403" max="7655" width="9" style="1295"/>
    <col min="7656" max="7656" width="49.625" style="1295" customWidth="1"/>
    <col min="7657" max="7658" width="23.625" style="1295" customWidth="1"/>
    <col min="7659" max="7911" width="9" style="1295"/>
    <col min="7912" max="7912" width="49.625" style="1295" customWidth="1"/>
    <col min="7913" max="7914" width="23.625" style="1295" customWidth="1"/>
    <col min="7915" max="8167" width="9" style="1295"/>
    <col min="8168" max="8168" width="49.625" style="1295" customWidth="1"/>
    <col min="8169" max="8170" width="23.625" style="1295" customWidth="1"/>
    <col min="8171" max="8423" width="9" style="1295"/>
    <col min="8424" max="8424" width="49.625" style="1295" customWidth="1"/>
    <col min="8425" max="8426" width="23.625" style="1295" customWidth="1"/>
    <col min="8427" max="8679" width="9" style="1295"/>
    <col min="8680" max="8680" width="49.625" style="1295" customWidth="1"/>
    <col min="8681" max="8682" width="23.625" style="1295" customWidth="1"/>
    <col min="8683" max="8935" width="9" style="1295"/>
    <col min="8936" max="8936" width="49.625" style="1295" customWidth="1"/>
    <col min="8937" max="8938" width="23.625" style="1295" customWidth="1"/>
    <col min="8939" max="9191" width="9" style="1295"/>
    <col min="9192" max="9192" width="49.625" style="1295" customWidth="1"/>
    <col min="9193" max="9194" width="23.625" style="1295" customWidth="1"/>
    <col min="9195" max="9447" width="9" style="1295"/>
    <col min="9448" max="9448" width="49.625" style="1295" customWidth="1"/>
    <col min="9449" max="9450" width="23.625" style="1295" customWidth="1"/>
    <col min="9451" max="9703" width="9" style="1295"/>
    <col min="9704" max="9704" width="49.625" style="1295" customWidth="1"/>
    <col min="9705" max="9706" width="23.625" style="1295" customWidth="1"/>
    <col min="9707" max="9959" width="9" style="1295"/>
    <col min="9960" max="9960" width="49.625" style="1295" customWidth="1"/>
    <col min="9961" max="9962" width="23.625" style="1295" customWidth="1"/>
    <col min="9963" max="10215" width="9" style="1295"/>
    <col min="10216" max="10216" width="49.625" style="1295" customWidth="1"/>
    <col min="10217" max="10218" width="23.625" style="1295" customWidth="1"/>
    <col min="10219" max="10471" width="9" style="1295"/>
    <col min="10472" max="10472" width="49.625" style="1295" customWidth="1"/>
    <col min="10473" max="10474" width="23.625" style="1295" customWidth="1"/>
    <col min="10475" max="10727" width="9" style="1295"/>
    <col min="10728" max="10728" width="49.625" style="1295" customWidth="1"/>
    <col min="10729" max="10730" width="23.625" style="1295" customWidth="1"/>
    <col min="10731" max="10983" width="9" style="1295"/>
    <col min="10984" max="10984" width="49.625" style="1295" customWidth="1"/>
    <col min="10985" max="10986" width="23.625" style="1295" customWidth="1"/>
    <col min="10987" max="11239" width="9" style="1295"/>
    <col min="11240" max="11240" width="49.625" style="1295" customWidth="1"/>
    <col min="11241" max="11242" width="23.625" style="1295" customWidth="1"/>
    <col min="11243" max="11495" width="9" style="1295"/>
    <col min="11496" max="11496" width="49.625" style="1295" customWidth="1"/>
    <col min="11497" max="11498" width="23.625" style="1295" customWidth="1"/>
    <col min="11499" max="11751" width="9" style="1295"/>
    <col min="11752" max="11752" width="49.625" style="1295" customWidth="1"/>
    <col min="11753" max="11754" width="23.625" style="1295" customWidth="1"/>
    <col min="11755" max="12007" width="9" style="1295"/>
    <col min="12008" max="12008" width="49.625" style="1295" customWidth="1"/>
    <col min="12009" max="12010" width="23.625" style="1295" customWidth="1"/>
    <col min="12011" max="12263" width="9" style="1295"/>
    <col min="12264" max="12264" width="49.625" style="1295" customWidth="1"/>
    <col min="12265" max="12266" width="23.625" style="1295" customWidth="1"/>
    <col min="12267" max="12519" width="9" style="1295"/>
    <col min="12520" max="12520" width="49.625" style="1295" customWidth="1"/>
    <col min="12521" max="12522" width="23.625" style="1295" customWidth="1"/>
    <col min="12523" max="12775" width="9" style="1295"/>
    <col min="12776" max="12776" width="49.625" style="1295" customWidth="1"/>
    <col min="12777" max="12778" width="23.625" style="1295" customWidth="1"/>
    <col min="12779" max="13031" width="9" style="1295"/>
    <col min="13032" max="13032" width="49.625" style="1295" customWidth="1"/>
    <col min="13033" max="13034" width="23.625" style="1295" customWidth="1"/>
    <col min="13035" max="13287" width="9" style="1295"/>
    <col min="13288" max="13288" width="49.625" style="1295" customWidth="1"/>
    <col min="13289" max="13290" width="23.625" style="1295" customWidth="1"/>
    <col min="13291" max="13543" width="9" style="1295"/>
    <col min="13544" max="13544" width="49.625" style="1295" customWidth="1"/>
    <col min="13545" max="13546" width="23.625" style="1295" customWidth="1"/>
    <col min="13547" max="13799" width="9" style="1295"/>
    <col min="13800" max="13800" width="49.625" style="1295" customWidth="1"/>
    <col min="13801" max="13802" width="23.625" style="1295" customWidth="1"/>
    <col min="13803" max="14055" width="9" style="1295"/>
    <col min="14056" max="14056" width="49.625" style="1295" customWidth="1"/>
    <col min="14057" max="14058" width="23.625" style="1295" customWidth="1"/>
    <col min="14059" max="14311" width="9" style="1295"/>
    <col min="14312" max="14312" width="49.625" style="1295" customWidth="1"/>
    <col min="14313" max="14314" width="23.625" style="1295" customWidth="1"/>
    <col min="14315" max="14567" width="9" style="1295"/>
    <col min="14568" max="14568" width="49.625" style="1295" customWidth="1"/>
    <col min="14569" max="14570" width="23.625" style="1295" customWidth="1"/>
    <col min="14571" max="14823" width="9" style="1295"/>
    <col min="14824" max="14824" width="49.625" style="1295" customWidth="1"/>
    <col min="14825" max="14826" width="23.625" style="1295" customWidth="1"/>
    <col min="14827" max="15079" width="9" style="1295"/>
    <col min="15080" max="15080" width="49.625" style="1295" customWidth="1"/>
    <col min="15081" max="15082" width="23.625" style="1295" customWidth="1"/>
    <col min="15083" max="15335" width="9" style="1295"/>
    <col min="15336" max="15336" width="49.625" style="1295" customWidth="1"/>
    <col min="15337" max="15338" width="23.625" style="1295" customWidth="1"/>
    <col min="15339" max="15591" width="9" style="1295"/>
    <col min="15592" max="15592" width="49.625" style="1295" customWidth="1"/>
    <col min="15593" max="15594" width="23.625" style="1295" customWidth="1"/>
    <col min="15595" max="15847" width="9" style="1295"/>
    <col min="15848" max="15848" width="49.625" style="1295" customWidth="1"/>
    <col min="15849" max="15850" width="23.625" style="1295" customWidth="1"/>
    <col min="15851" max="16103" width="9" style="1295"/>
    <col min="16104" max="16104" width="49.625" style="1295" customWidth="1"/>
    <col min="16105" max="16106" width="23.625" style="1295" customWidth="1"/>
    <col min="16107" max="16384" width="9" style="1295"/>
  </cols>
  <sheetData>
    <row r="1" ht="27" spans="1:15">
      <c r="A1" s="1413" t="s">
        <v>29</v>
      </c>
      <c r="B1" s="1414"/>
      <c r="C1" s="1415"/>
      <c r="E1" s="1293"/>
      <c r="F1" s="1293"/>
    </row>
    <row r="2" spans="1:15">
      <c r="A2" s="1416"/>
      <c r="B2" s="1417"/>
      <c r="C2" s="1418" t="s">
        <v>30</v>
      </c>
      <c r="D2" s="1412">
        <f>(B5-B8)/B5</f>
        <v>0.684753409598871</v>
      </c>
      <c r="E2" s="1412">
        <f>(C5-C8)/C5</f>
        <v>0.178823760637432</v>
      </c>
      <c r="H2" s="1419"/>
      <c r="K2" s="1412">
        <f>(I5-I8)/I5</f>
        <v>0.136336614538952</v>
      </c>
      <c r="L2" s="1412">
        <f>(J5-J8)/J5</f>
        <v>0.099941107322914</v>
      </c>
    </row>
    <row r="3" ht="15.75" spans="1:15">
      <c r="A3" s="1420" t="s">
        <v>31</v>
      </c>
      <c r="B3" s="1421">
        <f>合并试算平衡表!B6</f>
        <v>45991</v>
      </c>
      <c r="C3" s="1357" t="s">
        <v>32</v>
      </c>
      <c r="F3" s="1422" t="s">
        <v>33</v>
      </c>
      <c r="G3" s="1422"/>
    </row>
    <row r="4" ht="15.75" spans="1:15">
      <c r="A4" s="1423" t="s">
        <v>35</v>
      </c>
      <c r="B4" s="1352" t="s">
        <v>275</v>
      </c>
      <c r="C4" s="1352" t="s">
        <v>276</v>
      </c>
      <c r="E4" s="1424" t="e">
        <f>(D5-E8)/D5</f>
        <v>#DIV/0!</v>
      </c>
      <c r="F4" s="1425" t="s">
        <v>38</v>
      </c>
      <c r="G4" s="1426" t="s">
        <v>39</v>
      </c>
      <c r="I4" s="1427" t="s">
        <v>40</v>
      </c>
      <c r="J4" s="1427" t="s">
        <v>41</v>
      </c>
      <c r="K4" s="1427" t="s">
        <v>42</v>
      </c>
      <c r="L4" s="1427" t="s">
        <v>43</v>
      </c>
      <c r="M4" s="1428"/>
      <c r="N4" s="1429"/>
    </row>
    <row r="5" spans="1:15">
      <c r="A5" s="1430" t="s">
        <v>52</v>
      </c>
      <c r="B5" s="1357">
        <f>C5-G5</f>
        <v>17635912.55</v>
      </c>
      <c r="C5" s="1357">
        <f>C6+C7</f>
        <v>134024303.06</v>
      </c>
      <c r="D5" s="1431"/>
      <c r="E5" s="1432"/>
      <c r="F5" s="1433">
        <v>17470608.37</v>
      </c>
      <c r="G5" s="1434">
        <v>116388390.51</v>
      </c>
      <c r="I5" s="1435">
        <v>14520602.75</v>
      </c>
      <c r="J5" s="1435">
        <v>46494371.38</v>
      </c>
      <c r="K5" s="1435">
        <f>B5-I5</f>
        <v>3115309.80000001</v>
      </c>
      <c r="L5" s="1435">
        <f t="shared" ref="L5:L16" si="0">C5-J5</f>
        <v>87529931.68</v>
      </c>
      <c r="M5" s="1428">
        <f>K5/I5</f>
        <v>0.214544110436463</v>
      </c>
      <c r="N5" s="1429">
        <f>L5/J5</f>
        <v>1.88259200161273</v>
      </c>
    </row>
    <row r="6" spans="1:15">
      <c r="A6" s="1430" t="s">
        <v>53</v>
      </c>
      <c r="B6" s="1357">
        <f t="shared" ref="B5:B10" si="1">C6-G6</f>
        <v>18206794.87</v>
      </c>
      <c r="C6" s="1357">
        <f>合并试算平衡表!K125</f>
        <v>133527261.61</v>
      </c>
      <c r="D6" s="1436"/>
      <c r="E6" s="1432"/>
      <c r="F6" s="1433">
        <v>17406946.01</v>
      </c>
      <c r="G6" s="1434">
        <v>115320466.74</v>
      </c>
      <c r="H6" s="1298"/>
      <c r="I6" s="1435">
        <v>14326059.22</v>
      </c>
      <c r="J6" s="1435">
        <v>45162003.66</v>
      </c>
      <c r="K6" s="1435">
        <f t="shared" ref="K5:K16" si="2">B6-I6</f>
        <v>3880735.65000002</v>
      </c>
      <c r="L6" s="1435">
        <f t="shared" si="0"/>
        <v>88365257.95</v>
      </c>
      <c r="M6" s="1428">
        <f t="shared" ref="M6:M15" si="3">K6/I6</f>
        <v>0.270886472714163</v>
      </c>
      <c r="N6" s="1429">
        <f t="shared" ref="N6:N15" si="4">L6/J6</f>
        <v>1.95662837759046</v>
      </c>
    </row>
    <row r="7" spans="1:15">
      <c r="A7" s="1430" t="s">
        <v>54</v>
      </c>
      <c r="B7" s="1357">
        <f t="shared" si="1"/>
        <v>-570882.320000001</v>
      </c>
      <c r="C7" s="1357">
        <f>合并试算平衡表!K126</f>
        <v>497041.449999999</v>
      </c>
      <c r="E7" s="1432"/>
      <c r="F7" s="1433">
        <v>63662.3599999995</v>
      </c>
      <c r="G7" s="1434">
        <v>1067923.77</v>
      </c>
      <c r="H7" s="1437"/>
      <c r="I7" s="1435">
        <v>194543.53</v>
      </c>
      <c r="J7" s="1435">
        <v>1332367.72</v>
      </c>
      <c r="K7" s="1435">
        <f t="shared" si="2"/>
        <v>-765425.850000001</v>
      </c>
      <c r="L7" s="1435">
        <f t="shared" si="0"/>
        <v>-835326.270000001</v>
      </c>
      <c r="M7" s="1428">
        <f t="shared" si="3"/>
        <v>-3.93447086109726</v>
      </c>
      <c r="N7" s="1429">
        <f t="shared" si="4"/>
        <v>-0.626948745050654</v>
      </c>
    </row>
    <row r="8" spans="1:15">
      <c r="A8" s="1430" t="s">
        <v>55</v>
      </c>
      <c r="B8" s="1357">
        <f t="shared" si="1"/>
        <v>5559661.29999998</v>
      </c>
      <c r="C8" s="1357">
        <f>C9+C10</f>
        <v>110057573.17</v>
      </c>
      <c r="E8" s="1432"/>
      <c r="F8" s="1433">
        <v>15004808.96</v>
      </c>
      <c r="G8" s="1434">
        <v>104497911.87</v>
      </c>
      <c r="H8" s="1364"/>
      <c r="I8" s="1435">
        <v>12540912.93</v>
      </c>
      <c r="J8" s="1435">
        <v>41847672.42</v>
      </c>
      <c r="K8" s="1435">
        <f t="shared" si="2"/>
        <v>-6981251.63000002</v>
      </c>
      <c r="L8" s="1435">
        <f t="shared" si="0"/>
        <v>68209900.75</v>
      </c>
      <c r="M8" s="1428">
        <f t="shared" si="3"/>
        <v>-0.556678103816483</v>
      </c>
      <c r="N8" s="1429">
        <f t="shared" si="4"/>
        <v>1.62995686033426</v>
      </c>
    </row>
    <row r="9" spans="1:15">
      <c r="A9" s="1430" t="s">
        <v>56</v>
      </c>
      <c r="B9" s="1357">
        <f t="shared" si="1"/>
        <v>6384482.12999998</v>
      </c>
      <c r="C9" s="1357">
        <f>合并试算平衡表!K128</f>
        <v>110057573.17</v>
      </c>
      <c r="E9" s="1432"/>
      <c r="F9" s="1433">
        <v>14981283.16</v>
      </c>
      <c r="G9" s="1434">
        <v>103673091.04</v>
      </c>
      <c r="I9" s="1435">
        <v>12420464.71</v>
      </c>
      <c r="J9" s="1435">
        <v>41161831.25</v>
      </c>
      <c r="K9" s="1435">
        <f t="shared" si="2"/>
        <v>-6035982.58000002</v>
      </c>
      <c r="L9" s="1435">
        <f t="shared" si="0"/>
        <v>68895741.92</v>
      </c>
      <c r="M9" s="1428">
        <f t="shared" si="3"/>
        <v>-0.485970752377752</v>
      </c>
      <c r="N9" s="1429">
        <f t="shared" si="4"/>
        <v>1.67377737646208</v>
      </c>
    </row>
    <row r="10" spans="1:15">
      <c r="A10" s="1430" t="s">
        <v>57</v>
      </c>
      <c r="B10" s="1357">
        <f t="shared" si="1"/>
        <v>-824820.830000002</v>
      </c>
      <c r="C10" s="1357">
        <f>合并试算平衡表!K129</f>
        <v>0</v>
      </c>
      <c r="E10" s="1432"/>
      <c r="F10" s="1433">
        <v>23525.800000001</v>
      </c>
      <c r="G10" s="1434">
        <v>824820.830000002</v>
      </c>
      <c r="I10" s="1435">
        <v>120448.22</v>
      </c>
      <c r="J10" s="1435">
        <v>685841.17</v>
      </c>
      <c r="K10" s="1435">
        <f t="shared" si="2"/>
        <v>-945269.050000002</v>
      </c>
      <c r="L10" s="1435">
        <f t="shared" si="0"/>
        <v>-685841.17</v>
      </c>
      <c r="M10" s="1428">
        <f t="shared" si="3"/>
        <v>-7.84792876142131</v>
      </c>
      <c r="N10" s="1429">
        <f t="shared" si="4"/>
        <v>-1</v>
      </c>
    </row>
    <row r="11" spans="1:15">
      <c r="A11" s="1430" t="s">
        <v>58</v>
      </c>
      <c r="B11" s="1357">
        <f t="shared" ref="B5:B17" si="5">C11-G11</f>
        <v>-997712.24</v>
      </c>
      <c r="C11" s="1357">
        <f>合并试算平衡表!K130</f>
        <v>829444.38</v>
      </c>
      <c r="D11" s="1412">
        <f>C11/$C$5</f>
        <v>0.00618876100126911</v>
      </c>
      <c r="E11" s="1298">
        <f>D5*0.007</f>
        <v>0</v>
      </c>
      <c r="F11" s="1298">
        <v>71444.4800000002</v>
      </c>
      <c r="G11" s="1434">
        <v>1827156.62</v>
      </c>
      <c r="I11" s="1435">
        <v>90103.84</v>
      </c>
      <c r="J11" s="1435">
        <v>475596.62</v>
      </c>
      <c r="K11" s="1435">
        <f t="shared" si="2"/>
        <v>-1087816.08</v>
      </c>
      <c r="L11" s="1435">
        <f t="shared" si="0"/>
        <v>353847.76</v>
      </c>
      <c r="M11" s="1428">
        <f t="shared" si="3"/>
        <v>-12.0729158712881</v>
      </c>
      <c r="N11" s="1429">
        <f t="shared" si="4"/>
        <v>0.744008147072197</v>
      </c>
      <c r="O11" s="1299" t="s">
        <v>59</v>
      </c>
    </row>
    <row r="12" spans="1:15">
      <c r="A12" s="1430" t="s">
        <v>60</v>
      </c>
      <c r="B12" s="1357">
        <f t="shared" si="5"/>
        <v>-521103.679999999</v>
      </c>
      <c r="C12" s="1357">
        <f>合并试算平衡表!K131</f>
        <v>8045697.97</v>
      </c>
      <c r="D12" s="1412">
        <f>C12/$C$5</f>
        <v>0.0600316344595958</v>
      </c>
      <c r="E12" s="1298">
        <f>D12*$D$5</f>
        <v>0</v>
      </c>
      <c r="F12" s="1298">
        <v>964070.03</v>
      </c>
      <c r="G12" s="1434">
        <v>8566801.65</v>
      </c>
      <c r="H12" s="1298"/>
      <c r="I12" s="1435">
        <v>938241.48</v>
      </c>
      <c r="J12" s="1435">
        <v>4692975.98</v>
      </c>
      <c r="K12" s="1435">
        <f t="shared" si="2"/>
        <v>-1459345.16</v>
      </c>
      <c r="L12" s="1435">
        <f t="shared" si="0"/>
        <v>3352721.99</v>
      </c>
      <c r="M12" s="1428">
        <f t="shared" si="3"/>
        <v>-1.55540464913148</v>
      </c>
      <c r="N12" s="1429">
        <f t="shared" si="4"/>
        <v>0.714412774386286</v>
      </c>
      <c r="O12" s="1299" t="s">
        <v>61</v>
      </c>
    </row>
    <row r="13" spans="1:15">
      <c r="A13" s="1430" t="s">
        <v>62</v>
      </c>
      <c r="B13" s="1357">
        <f t="shared" si="5"/>
        <v>-766556.379999999</v>
      </c>
      <c r="C13" s="1357">
        <f>合并试算平衡表!K132</f>
        <v>8350965.06</v>
      </c>
      <c r="D13" s="1412">
        <f>C13/$C$5</f>
        <v>0.0623093339740139</v>
      </c>
      <c r="E13" s="1298">
        <f>D13*$D$5</f>
        <v>0</v>
      </c>
      <c r="F13" s="1298">
        <v>891664.76</v>
      </c>
      <c r="G13" s="1434">
        <v>9117521.44</v>
      </c>
      <c r="H13" s="1298"/>
      <c r="I13" s="1435">
        <v>941704.85</v>
      </c>
      <c r="J13" s="1435">
        <v>4286617.3</v>
      </c>
      <c r="K13" s="1435">
        <f t="shared" si="2"/>
        <v>-1708261.23</v>
      </c>
      <c r="L13" s="1435">
        <f t="shared" si="0"/>
        <v>4064347.76</v>
      </c>
      <c r="M13" s="1428">
        <f t="shared" si="3"/>
        <v>-1.81400916646017</v>
      </c>
      <c r="N13" s="1429">
        <f t="shared" si="4"/>
        <v>0.94814803271568</v>
      </c>
      <c r="O13" s="1299" t="s">
        <v>63</v>
      </c>
    </row>
    <row r="14" spans="1:15">
      <c r="A14" s="1430" t="s">
        <v>64</v>
      </c>
      <c r="B14" s="1357">
        <f t="shared" si="5"/>
        <v>942695.370000001</v>
      </c>
      <c r="C14" s="1357">
        <f>合并试算平衡表!K133</f>
        <v>19920178.25</v>
      </c>
      <c r="D14" s="1412">
        <f>C14/$C$5</f>
        <v>0.148631089997775</v>
      </c>
      <c r="E14" s="1298">
        <f>D14*$D$5</f>
        <v>0</v>
      </c>
      <c r="F14" s="1298">
        <v>2625421.08</v>
      </c>
      <c r="G14" s="1434">
        <v>18977482.88</v>
      </c>
      <c r="H14" s="1298"/>
      <c r="I14" s="1435">
        <v>1386872.11</v>
      </c>
      <c r="J14" s="1435">
        <v>8292064.81</v>
      </c>
      <c r="K14" s="1435">
        <f t="shared" si="2"/>
        <v>-444176.739999999</v>
      </c>
      <c r="L14" s="1435">
        <f t="shared" si="0"/>
        <v>11628113.44</v>
      </c>
      <c r="M14" s="1428">
        <f t="shared" si="3"/>
        <v>-0.320272314078044</v>
      </c>
      <c r="N14" s="1429">
        <f t="shared" si="4"/>
        <v>1.40231820498759</v>
      </c>
      <c r="O14" s="1299" t="s">
        <v>65</v>
      </c>
    </row>
    <row r="15" spans="1:15">
      <c r="A15" s="1430" t="s">
        <v>66</v>
      </c>
      <c r="B15" s="1357">
        <f t="shared" si="5"/>
        <v>-224415.61</v>
      </c>
      <c r="C15" s="1357">
        <f>合并试算平衡表!K134</f>
        <v>4508765.31</v>
      </c>
      <c r="D15" s="1412">
        <f>C15/$C$5</f>
        <v>0.0336414009030998</v>
      </c>
      <c r="E15" s="1298">
        <f>D15*$D$5</f>
        <v>0</v>
      </c>
      <c r="F15" s="1298">
        <v>400727.74</v>
      </c>
      <c r="G15" s="1434">
        <v>4733180.92</v>
      </c>
      <c r="H15" s="1298"/>
      <c r="I15" s="1435">
        <v>523640.15</v>
      </c>
      <c r="J15" s="1435">
        <v>2939834.15</v>
      </c>
      <c r="K15" s="1435">
        <f t="shared" si="2"/>
        <v>-748055.76</v>
      </c>
      <c r="L15" s="1435">
        <f t="shared" si="0"/>
        <v>1568931.16</v>
      </c>
      <c r="M15" s="1428">
        <f t="shared" si="3"/>
        <v>-1.42856837849428</v>
      </c>
      <c r="N15" s="1429">
        <f t="shared" si="4"/>
        <v>0.533680160154613</v>
      </c>
      <c r="O15" s="1299" t="s">
        <v>67</v>
      </c>
    </row>
    <row r="16" spans="1:15">
      <c r="A16" s="1430" t="s">
        <v>68</v>
      </c>
      <c r="B16" s="1357">
        <f t="shared" si="5"/>
        <v>0</v>
      </c>
      <c r="C16" s="1357">
        <f>合并试算平衡表!K140</f>
        <v>0</v>
      </c>
      <c r="D16" s="1438" t="s">
        <v>277</v>
      </c>
      <c r="F16" s="1298">
        <v>0</v>
      </c>
      <c r="G16" s="1434">
        <v>0</v>
      </c>
      <c r="I16" s="1435">
        <v>0</v>
      </c>
      <c r="J16" s="1435">
        <v>-7500</v>
      </c>
      <c r="K16" s="1435">
        <f t="shared" si="2"/>
        <v>0</v>
      </c>
      <c r="L16" s="1435">
        <f t="shared" si="0"/>
        <v>7500</v>
      </c>
    </row>
    <row r="17" spans="1:12">
      <c r="A17" s="1430" t="s">
        <v>69</v>
      </c>
      <c r="B17" s="1357">
        <f t="shared" si="5"/>
        <v>-579092.11</v>
      </c>
      <c r="C17" s="1357">
        <f>合并试算平衡表!K139</f>
        <v>-1780058.26</v>
      </c>
      <c r="D17" s="1438" t="s">
        <v>277</v>
      </c>
      <c r="F17" s="1298">
        <v>0</v>
      </c>
      <c r="G17" s="1434">
        <v>-1200966.15</v>
      </c>
      <c r="I17" s="1435"/>
      <c r="J17" s="1435"/>
      <c r="K17" s="1435">
        <f t="shared" ref="K17:K30" si="6">B17-I17</f>
        <v>-579092.11</v>
      </c>
      <c r="L17" s="1435">
        <f t="shared" ref="L17:L30" si="7">C17-J17</f>
        <v>-1780058.26</v>
      </c>
    </row>
    <row r="18" spans="1:12">
      <c r="A18" s="1430" t="s">
        <v>70</v>
      </c>
      <c r="B18" s="1357">
        <f t="shared" ref="B18:B30" si="8">C18-G18</f>
        <v>0</v>
      </c>
      <c r="C18" s="1357">
        <v>0</v>
      </c>
      <c r="F18" s="1298">
        <v>0</v>
      </c>
      <c r="G18" s="1434">
        <v>0</v>
      </c>
      <c r="I18" s="1435"/>
      <c r="J18" s="1435"/>
      <c r="K18" s="1435">
        <f t="shared" si="6"/>
        <v>0</v>
      </c>
      <c r="L18" s="1435">
        <f t="shared" si="7"/>
        <v>0</v>
      </c>
    </row>
    <row r="19" spans="1:12">
      <c r="A19" s="1430" t="s">
        <v>71</v>
      </c>
      <c r="B19" s="1357">
        <f t="shared" si="8"/>
        <v>713796.94</v>
      </c>
      <c r="C19" s="1357">
        <f>合并试算平衡表!K136</f>
        <v>853056.55</v>
      </c>
      <c r="F19" s="1298">
        <v>3.49245965480804e-10</v>
      </c>
      <c r="G19" s="1434">
        <v>139259.61</v>
      </c>
      <c r="I19" s="1435">
        <v>12833.33</v>
      </c>
      <c r="J19" s="1435">
        <v>94275.86</v>
      </c>
      <c r="K19" s="1435">
        <f t="shared" si="6"/>
        <v>700963.61</v>
      </c>
      <c r="L19" s="1435">
        <f t="shared" si="7"/>
        <v>758780.69</v>
      </c>
    </row>
    <row r="20" spans="1:12">
      <c r="A20" s="1430" t="s">
        <v>72</v>
      </c>
      <c r="B20" s="1357">
        <f t="shared" si="8"/>
        <v>0</v>
      </c>
      <c r="C20" s="1357">
        <v>0</v>
      </c>
      <c r="F20" s="1298">
        <v>0</v>
      </c>
      <c r="G20" s="1434">
        <v>0</v>
      </c>
      <c r="I20" s="1435"/>
      <c r="J20" s="1435"/>
      <c r="K20" s="1435">
        <f t="shared" si="6"/>
        <v>0</v>
      </c>
      <c r="L20" s="1435">
        <f t="shared" si="7"/>
        <v>0</v>
      </c>
    </row>
    <row r="21" spans="1:12">
      <c r="A21" s="1439" t="s">
        <v>74</v>
      </c>
      <c r="B21" s="1357">
        <f t="shared" si="8"/>
        <v>622840.85</v>
      </c>
      <c r="C21" s="1357">
        <f>合并试算平衡表!K135</f>
        <v>1305528.31</v>
      </c>
      <c r="F21" s="1298">
        <v>165040</v>
      </c>
      <c r="G21" s="1434">
        <v>682687.46</v>
      </c>
      <c r="I21" s="1435">
        <v>0</v>
      </c>
      <c r="J21" s="1435">
        <v>153443.41</v>
      </c>
      <c r="K21" s="1435">
        <f t="shared" si="6"/>
        <v>622840.85</v>
      </c>
      <c r="L21" s="1435">
        <f t="shared" si="7"/>
        <v>1152084.9</v>
      </c>
    </row>
    <row r="22" spans="1:12">
      <c r="A22" s="1440" t="s">
        <v>76</v>
      </c>
      <c r="B22" s="1385">
        <f t="shared" si="8"/>
        <v>14400889.47</v>
      </c>
      <c r="C22" s="1385">
        <f>C5-C8-C11-C12-C13-C14-C15+C16+C18+C19+C21+C17</f>
        <v>-17309794.48</v>
      </c>
      <c r="D22" s="1438" t="s">
        <v>278</v>
      </c>
      <c r="E22" s="1298"/>
      <c r="F22" s="1298">
        <v>-2322488.68000001</v>
      </c>
      <c r="G22" s="1434">
        <v>-31710683.95</v>
      </c>
      <c r="H22" s="1298"/>
      <c r="I22" s="1435">
        <v>-1888039.28000002</v>
      </c>
      <c r="J22" s="1435">
        <v>-15785170.63</v>
      </c>
      <c r="K22" s="1435">
        <f t="shared" si="6"/>
        <v>16288928.75</v>
      </c>
      <c r="L22" s="1435">
        <f t="shared" si="7"/>
        <v>-1524623.84999997</v>
      </c>
    </row>
    <row r="23" spans="1:12">
      <c r="A23" s="1430" t="s">
        <v>78</v>
      </c>
      <c r="B23" s="1357">
        <f t="shared" si="8"/>
        <v>-119902.09</v>
      </c>
      <c r="C23" s="1357">
        <f>合并试算平衡表!K143</f>
        <v>70120.03</v>
      </c>
      <c r="F23" s="1298">
        <v>0</v>
      </c>
      <c r="G23" s="1434">
        <v>190022.12</v>
      </c>
      <c r="I23" s="1435">
        <v>250001.17</v>
      </c>
      <c r="J23" s="1435">
        <v>2016411.03</v>
      </c>
      <c r="K23" s="1435">
        <f t="shared" si="6"/>
        <v>-369903.26</v>
      </c>
      <c r="L23" s="1435">
        <f t="shared" si="7"/>
        <v>-1946291</v>
      </c>
    </row>
    <row r="24" spans="1:12">
      <c r="A24" s="1430" t="s">
        <v>80</v>
      </c>
      <c r="B24" s="1357">
        <f t="shared" si="8"/>
        <v>15755.35</v>
      </c>
      <c r="C24" s="1391">
        <f>合并试算平衡表!K145</f>
        <v>24203.21</v>
      </c>
      <c r="E24" s="1431"/>
      <c r="F24" s="1441">
        <v>0</v>
      </c>
      <c r="G24" s="1434">
        <v>8447.86</v>
      </c>
      <c r="I24" s="1435">
        <v>15.66</v>
      </c>
      <c r="J24" s="1435">
        <v>341.48</v>
      </c>
      <c r="K24" s="1435">
        <f t="shared" si="6"/>
        <v>15739.69</v>
      </c>
      <c r="L24" s="1435">
        <f t="shared" si="7"/>
        <v>23861.73</v>
      </c>
    </row>
    <row r="25" spans="1:12">
      <c r="A25" s="1430" t="s">
        <v>81</v>
      </c>
      <c r="B25" s="1357">
        <f t="shared" si="8"/>
        <v>0</v>
      </c>
      <c r="C25" s="1357">
        <v>0</v>
      </c>
      <c r="D25" s="1298"/>
      <c r="E25" s="1431"/>
      <c r="F25" s="1441">
        <v>0</v>
      </c>
      <c r="G25" s="1434">
        <v>0</v>
      </c>
      <c r="I25" s="1435"/>
      <c r="J25" s="1435"/>
      <c r="K25" s="1435">
        <f t="shared" si="6"/>
        <v>0</v>
      </c>
      <c r="L25" s="1435">
        <f t="shared" si="7"/>
        <v>0</v>
      </c>
    </row>
    <row r="26" spans="1:12">
      <c r="A26" s="1440" t="s">
        <v>82</v>
      </c>
      <c r="B26" s="1385">
        <f t="shared" si="8"/>
        <v>14265232.03</v>
      </c>
      <c r="C26" s="1385">
        <f>C22+C23-C24</f>
        <v>-17263877.66</v>
      </c>
      <c r="E26" s="1298"/>
      <c r="F26" s="1298">
        <v>-2322488.68000001</v>
      </c>
      <c r="G26" s="1434">
        <v>-31529109.69</v>
      </c>
      <c r="I26" s="1435">
        <v>-1638053.77000002</v>
      </c>
      <c r="J26" s="1435">
        <v>-13769101.08</v>
      </c>
      <c r="K26" s="1435">
        <f t="shared" si="6"/>
        <v>15903285.8000001</v>
      </c>
      <c r="L26" s="1435">
        <f t="shared" si="7"/>
        <v>-3494776.57999997</v>
      </c>
    </row>
    <row r="27" spans="1:12">
      <c r="A27" s="1430" t="s">
        <v>83</v>
      </c>
      <c r="B27" s="1357">
        <f t="shared" si="8"/>
        <v>6470.17000000001</v>
      </c>
      <c r="C27" s="1357">
        <f>合并试算平衡表!K148</f>
        <v>45634.12</v>
      </c>
      <c r="F27" s="1298">
        <v>0</v>
      </c>
      <c r="G27" s="1434">
        <v>39163.95</v>
      </c>
      <c r="I27" s="1435">
        <v>0</v>
      </c>
      <c r="J27" s="1435">
        <v>11520.73</v>
      </c>
      <c r="K27" s="1435">
        <f t="shared" si="6"/>
        <v>6470.17000000001</v>
      </c>
      <c r="L27" s="1435">
        <f t="shared" si="7"/>
        <v>34113.39</v>
      </c>
    </row>
    <row r="28" spans="1:12">
      <c r="A28" s="1440" t="s">
        <v>85</v>
      </c>
      <c r="B28" s="1385">
        <f t="shared" si="8"/>
        <v>14258761.86</v>
      </c>
      <c r="C28" s="1385">
        <f>C26-C27</f>
        <v>-17309511.78</v>
      </c>
      <c r="F28" s="1298">
        <v>-2322488.68000001</v>
      </c>
      <c r="G28" s="1434">
        <v>-31568273.64</v>
      </c>
      <c r="I28" s="1435">
        <v>-1638053.77000002</v>
      </c>
      <c r="J28" s="1435">
        <v>-13780621.81</v>
      </c>
      <c r="K28" s="1435">
        <f t="shared" si="6"/>
        <v>15896815.63</v>
      </c>
      <c r="L28" s="1435">
        <f t="shared" si="7"/>
        <v>-3528889.96999997</v>
      </c>
    </row>
    <row r="29" spans="1:12">
      <c r="A29" s="1430" t="s">
        <v>87</v>
      </c>
      <c r="B29" s="1357">
        <f t="shared" si="8"/>
        <v>42034.2394879997</v>
      </c>
      <c r="C29" s="1357">
        <f>合并试算平衡表!K151</f>
        <v>43251.8832679999</v>
      </c>
      <c r="F29" s="1298">
        <v>15808.2501280001</v>
      </c>
      <c r="G29" s="1434">
        <v>1217.64378000018</v>
      </c>
      <c r="I29" s="1435">
        <v>123837.00395</v>
      </c>
      <c r="J29" s="1435">
        <v>-122541.815704</v>
      </c>
      <c r="K29" s="1435">
        <f t="shared" si="6"/>
        <v>-81802.7644620003</v>
      </c>
      <c r="L29" s="1435">
        <f t="shared" si="7"/>
        <v>165793.698972</v>
      </c>
    </row>
    <row r="30" spans="1:12">
      <c r="A30" s="1430" t="s">
        <v>89</v>
      </c>
      <c r="B30" s="1357">
        <f t="shared" si="8"/>
        <v>14216727.620512</v>
      </c>
      <c r="C30" s="1357">
        <f>合并试算平衡表!K150</f>
        <v>-17352763.663268</v>
      </c>
      <c r="D30" s="1298"/>
      <c r="F30" s="1298">
        <v>-2338296.930128</v>
      </c>
      <c r="G30" s="1434">
        <v>-31569491.28378</v>
      </c>
      <c r="I30" s="1435">
        <v>-1761890.77395001</v>
      </c>
      <c r="J30" s="1435">
        <v>-13658079.994296</v>
      </c>
      <c r="K30" s="1435">
        <f t="shared" si="6"/>
        <v>15978618.394462</v>
      </c>
      <c r="L30" s="1435">
        <f t="shared" si="7"/>
        <v>-3694683.66897197</v>
      </c>
    </row>
    <row r="31" spans="1:12">
      <c r="A31" s="1430" t="s">
        <v>91</v>
      </c>
      <c r="B31" s="1357">
        <v>0</v>
      </c>
      <c r="C31" s="1357">
        <v>0</v>
      </c>
      <c r="D31" s="1298"/>
      <c r="F31" s="1298">
        <v>0</v>
      </c>
      <c r="G31" s="1431">
        <v>0</v>
      </c>
    </row>
    <row r="32" spans="1:12">
      <c r="A32" s="1430" t="s">
        <v>93</v>
      </c>
      <c r="B32" s="1357"/>
      <c r="C32" s="1357"/>
    </row>
    <row r="33" spans="1:6">
      <c r="A33" s="1430" t="s">
        <v>95</v>
      </c>
      <c r="B33" s="1357"/>
      <c r="C33" s="1357"/>
    </row>
    <row r="34" ht="15.75" spans="1:6">
      <c r="A34" s="1442"/>
      <c r="B34" s="1399"/>
      <c r="C34" s="1379"/>
    </row>
    <row r="35" spans="1:6">
      <c r="D35" s="1419"/>
    </row>
    <row r="37" spans="1:6">
      <c r="B37" s="1443"/>
      <c r="E37" s="1431"/>
      <c r="F37" s="1431"/>
    </row>
    <row r="38" spans="1:6">
      <c r="E38" s="1431"/>
      <c r="F38" s="1431"/>
    </row>
    <row r="40" spans="1:6">
      <c r="D40" s="1412">
        <f>B14/B5</f>
        <v>0.053453166504843</v>
      </c>
      <c r="E40" s="1412">
        <f>C14/C5</f>
        <v>0.148631089997775</v>
      </c>
    </row>
  </sheetData>
  <mergeCells count="2">
    <mergeCell ref="A1:C1"/>
    <mergeCell ref="F3:G3"/>
  </mergeCells>
  <pageMargins left="0.7" right="0.7" top="0.75" bottom="0.75" header="0.3" footer="0.3"/>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92D050"/>
  </sheetPr>
  <dimension ref="A1:O66"/>
  <sheetViews>
    <sheetView showGridLines="0" zoomScale="85" zoomScaleNormal="85" topLeftCell="A20" workbookViewId="0">
      <selection activeCell="F46" sqref="F46"/>
    </sheetView>
  </sheetViews>
  <sheetFormatPr defaultColWidth="8.25" defaultRowHeight="14.25"/>
  <cols>
    <col min="1" max="1" width="33" style="383" customWidth="1"/>
    <col min="2" max="2" width="8.91666666666667" style="383" customWidth="1"/>
    <col min="3" max="3" width="12.6166666666667" style="383" customWidth="1"/>
    <col min="4" max="4" width="13.5" style="383" customWidth="1"/>
    <col min="5" max="5" width="7.38333333333333" style="122" customWidth="1"/>
    <col min="6" max="6" width="7.73333333333333" style="122" customWidth="1"/>
    <col min="7" max="7" width="13.0583333333333" style="122"/>
    <col min="8" max="8" width="14.2" style="122" customWidth="1"/>
    <col min="9" max="11" width="6.84166666666667" style="122" customWidth="1"/>
    <col min="12" max="12" width="15.1916666666667" style="121" customWidth="1"/>
    <col min="13" max="13" width="13.0583333333333" style="122"/>
    <col min="14" max="14" width="13.85" style="122"/>
    <col min="15" max="15" width="12.7083333333333" style="122"/>
    <col min="16" max="16384" width="8.25" style="122"/>
  </cols>
  <sheetData>
    <row r="1" ht="33.75" spans="1:15">
      <c r="A1" s="1280" t="s">
        <v>279</v>
      </c>
      <c r="B1" s="1280"/>
      <c r="C1" s="1280"/>
      <c r="D1" s="1280"/>
    </row>
    <row r="2" ht="18" customHeight="1" spans="1:15">
      <c r="A2" s="386"/>
      <c r="B2" s="386"/>
      <c r="C2" s="386"/>
      <c r="D2" s="386" t="s">
        <v>280</v>
      </c>
    </row>
    <row r="3" ht="15.8" customHeight="1" spans="1:15">
      <c r="A3" s="387" t="s">
        <v>194</v>
      </c>
      <c r="B3" s="386" t="s">
        <v>281</v>
      </c>
      <c r="C3" s="388">
        <f>基本信息!B14</f>
        <v>45991</v>
      </c>
      <c r="D3" s="387" t="s">
        <v>282</v>
      </c>
      <c r="G3" s="121">
        <f>C9-C12</f>
        <v>676410.620000035</v>
      </c>
      <c r="H3" s="121">
        <f>D9-D12</f>
        <v>23966729.89</v>
      </c>
    </row>
    <row r="4" ht="2.15" customHeight="1" spans="1:15">
      <c r="A4" s="387"/>
      <c r="B4" s="386"/>
      <c r="C4" s="388"/>
    </row>
    <row r="5" ht="7.2" customHeight="1"/>
    <row r="6" ht="18" customHeight="1" spans="1:15">
      <c r="A6" s="387" t="s">
        <v>283</v>
      </c>
      <c r="C6" s="389">
        <f>(C9-C12)/C9</f>
        <v>0.0409775528338499</v>
      </c>
      <c r="D6" s="389">
        <f>(D9-D12)/D9</f>
        <v>0.178823760637432</v>
      </c>
      <c r="E6" s="389"/>
      <c r="F6" s="389"/>
      <c r="G6" s="389">
        <f>(G9-G12)/G9</f>
        <v>0.0284829094704107</v>
      </c>
      <c r="H6" s="389">
        <f>(H9-H12)/H9</f>
        <v>0.198186057680642</v>
      </c>
      <c r="I6" s="394">
        <f>(C10-C13)/C10</f>
        <v>0.0384592163259482</v>
      </c>
      <c r="J6" s="394">
        <f>(D10-D13)/D10</f>
        <v>0.17576701683997</v>
      </c>
    </row>
    <row r="7" ht="10.05" customHeight="1" spans="1:15">
      <c r="G7" s="1283" t="s">
        <v>33</v>
      </c>
      <c r="H7" s="1283"/>
    </row>
    <row r="8" ht="18" customHeight="1" spans="1:15">
      <c r="A8" s="390" t="s">
        <v>284</v>
      </c>
      <c r="B8" s="390" t="s">
        <v>285</v>
      </c>
      <c r="C8" s="1408" t="s">
        <v>286</v>
      </c>
      <c r="D8" s="1408" t="s">
        <v>287</v>
      </c>
      <c r="G8" s="1409" t="s">
        <v>288</v>
      </c>
      <c r="H8" s="1409" t="s">
        <v>289</v>
      </c>
      <c r="M8" s="1410" t="s">
        <v>290</v>
      </c>
      <c r="N8" s="1410" t="s">
        <v>75</v>
      </c>
    </row>
    <row r="9" ht="18" customHeight="1" spans="1:15">
      <c r="A9" s="391" t="s">
        <v>291</v>
      </c>
      <c r="B9" s="392" t="s">
        <v>292</v>
      </c>
      <c r="C9" s="393">
        <f>D9-H9</f>
        <v>16506857.37</v>
      </c>
      <c r="D9" s="393">
        <f>D10+D11</f>
        <v>134024303.06</v>
      </c>
      <c r="G9" s="1290">
        <v>11456713.73</v>
      </c>
      <c r="H9" s="1290">
        <v>117517445.69</v>
      </c>
      <c r="I9" s="121"/>
      <c r="L9" s="121" t="s">
        <v>293</v>
      </c>
      <c r="M9" s="1411">
        <f>D9/10000</f>
        <v>13402.430306</v>
      </c>
      <c r="N9" s="121">
        <f>'PL-3D板块'!R9/10000</f>
        <v>9547.714572</v>
      </c>
      <c r="O9" s="394"/>
    </row>
    <row r="10" ht="18" customHeight="1" spans="1:15">
      <c r="A10" s="391" t="s">
        <v>294</v>
      </c>
      <c r="B10" s="392" t="s">
        <v>295</v>
      </c>
      <c r="C10" s="393">
        <f t="shared" ref="C10:C38" si="0">D10-H10</f>
        <v>16463624.86</v>
      </c>
      <c r="D10" s="393">
        <f>合并试算平衡表!K125</f>
        <v>133527261.61</v>
      </c>
      <c r="G10" s="1290">
        <v>11391609.44</v>
      </c>
      <c r="H10" s="1290">
        <v>117063636.75</v>
      </c>
      <c r="I10" s="121"/>
      <c r="L10" s="121" t="s">
        <v>191</v>
      </c>
      <c r="M10" s="121">
        <f>D36/10000</f>
        <v>-1730.951178</v>
      </c>
      <c r="N10" s="121">
        <f>'PL-3D板块'!R36/10000</f>
        <v>-3260.471459</v>
      </c>
    </row>
    <row r="11" ht="18" customHeight="1" spans="1:15">
      <c r="A11" s="391" t="s">
        <v>296</v>
      </c>
      <c r="B11" s="392" t="s">
        <v>297</v>
      </c>
      <c r="C11" s="393">
        <f t="shared" si="0"/>
        <v>43232.5099999983</v>
      </c>
      <c r="D11" s="393">
        <f>合并试算平衡表!K126</f>
        <v>497041.449999999</v>
      </c>
      <c r="G11" s="1290">
        <v>65104.2899999993</v>
      </c>
      <c r="H11" s="1290">
        <v>453808.940000001</v>
      </c>
      <c r="I11" s="121"/>
    </row>
    <row r="12" ht="18" customHeight="1" spans="1:15">
      <c r="A12" s="391" t="s">
        <v>298</v>
      </c>
      <c r="B12" s="392" t="s">
        <v>299</v>
      </c>
      <c r="C12" s="393">
        <f t="shared" si="0"/>
        <v>15830446.75</v>
      </c>
      <c r="D12" s="393">
        <f>D13+D14</f>
        <v>110057573.17</v>
      </c>
      <c r="G12" s="1290">
        <v>11130393.19</v>
      </c>
      <c r="H12" s="1290">
        <v>94227126.42</v>
      </c>
      <c r="I12" s="121"/>
      <c r="J12" s="394">
        <f>C18/C9</f>
        <v>0.26141188920929</v>
      </c>
      <c r="K12" s="394">
        <f>D18/D9</f>
        <v>0.148631089997775</v>
      </c>
    </row>
    <row r="13" ht="18" customHeight="1" spans="1:15">
      <c r="A13" s="391" t="s">
        <v>300</v>
      </c>
      <c r="B13" s="392" t="s">
        <v>301</v>
      </c>
      <c r="C13" s="393">
        <f t="shared" si="0"/>
        <v>15830446.75</v>
      </c>
      <c r="D13" s="393">
        <f>合并试算平衡表!K128</f>
        <v>110057573.17</v>
      </c>
      <c r="G13" s="1290">
        <v>11130393.19</v>
      </c>
      <c r="H13" s="1290">
        <v>94227126.42</v>
      </c>
      <c r="I13" s="121"/>
    </row>
    <row r="14" ht="18" customHeight="1" spans="1:15">
      <c r="A14" s="391" t="s">
        <v>302</v>
      </c>
      <c r="B14" s="392" t="s">
        <v>303</v>
      </c>
      <c r="C14" s="393">
        <f t="shared" si="0"/>
        <v>0</v>
      </c>
      <c r="D14" s="393">
        <f>合并试算平衡表!K129</f>
        <v>0</v>
      </c>
      <c r="G14" s="1290">
        <v>0</v>
      </c>
      <c r="H14" s="1290">
        <v>0</v>
      </c>
      <c r="I14" s="121"/>
    </row>
    <row r="15" ht="18" customHeight="1" spans="1:15">
      <c r="A15" s="391" t="s">
        <v>304</v>
      </c>
      <c r="B15" s="392" t="s">
        <v>305</v>
      </c>
      <c r="C15" s="393">
        <f t="shared" si="0"/>
        <v>82112.72</v>
      </c>
      <c r="D15" s="393">
        <f>合并试算平衡表!K130</f>
        <v>829444.38</v>
      </c>
      <c r="G15" s="1290">
        <v>69676.53</v>
      </c>
      <c r="H15" s="1290">
        <v>747331.66</v>
      </c>
      <c r="I15" s="121"/>
    </row>
    <row r="16" ht="18" customHeight="1" spans="1:15">
      <c r="A16" s="391" t="s">
        <v>306</v>
      </c>
      <c r="B16" s="392" t="s">
        <v>307</v>
      </c>
      <c r="C16" s="393">
        <f t="shared" si="0"/>
        <v>822770.640000002</v>
      </c>
      <c r="D16" s="393">
        <f>合并试算平衡表!K131</f>
        <v>8045697.97</v>
      </c>
      <c r="G16" s="1290">
        <v>649038.840000001</v>
      </c>
      <c r="H16" s="1290">
        <v>7222927.33</v>
      </c>
      <c r="I16" s="121"/>
    </row>
    <row r="17" ht="18" customHeight="1" spans="1:9">
      <c r="A17" s="391" t="s">
        <v>308</v>
      </c>
      <c r="B17" s="392" t="s">
        <v>309</v>
      </c>
      <c r="C17" s="393">
        <f t="shared" si="0"/>
        <v>1193327.44</v>
      </c>
      <c r="D17" s="393">
        <f>合并试算平衡表!K132</f>
        <v>8350965.06</v>
      </c>
      <c r="G17" s="1290">
        <v>828962.78</v>
      </c>
      <c r="H17" s="1290">
        <v>7157637.62</v>
      </c>
      <c r="I17" s="121"/>
    </row>
    <row r="18" ht="18" customHeight="1" spans="1:9">
      <c r="A18" s="391" t="s">
        <v>310</v>
      </c>
      <c r="B18" s="392" t="s">
        <v>311</v>
      </c>
      <c r="C18" s="393">
        <f t="shared" si="0"/>
        <v>4315088.77</v>
      </c>
      <c r="D18" s="393">
        <f>合并试算平衡表!K133</f>
        <v>19920178.25</v>
      </c>
      <c r="F18" s="121"/>
      <c r="G18" s="1290">
        <v>1995820.96</v>
      </c>
      <c r="H18" s="1290">
        <v>15605089.48</v>
      </c>
      <c r="I18" s="121"/>
    </row>
    <row r="19" ht="18" customHeight="1" spans="1:9">
      <c r="A19" s="391" t="s">
        <v>312</v>
      </c>
      <c r="B19" s="392" t="s">
        <v>313</v>
      </c>
      <c r="C19" s="393">
        <f t="shared" si="0"/>
        <v>468077.899999999</v>
      </c>
      <c r="D19" s="393">
        <f>合并试算平衡表!K134</f>
        <v>4508765.31</v>
      </c>
      <c r="G19" s="1290">
        <v>414734.8</v>
      </c>
      <c r="H19" s="1290">
        <v>4040687.41</v>
      </c>
      <c r="I19" s="121"/>
    </row>
    <row r="20" ht="18" customHeight="1" spans="1:9">
      <c r="A20" s="391" t="s">
        <v>314</v>
      </c>
      <c r="B20" s="392" t="s">
        <v>315</v>
      </c>
      <c r="C20" s="393">
        <f t="shared" si="0"/>
        <v>458409.52</v>
      </c>
      <c r="D20" s="393">
        <f>精铸PL新!D20+新材料PL新!D16+快速PL新!D20+热等静压PL新!D16</f>
        <v>4534024.15</v>
      </c>
      <c r="G20" s="1290">
        <v>409021.01</v>
      </c>
      <c r="H20" s="1290">
        <v>4075614.63</v>
      </c>
      <c r="I20" s="121"/>
    </row>
    <row r="21" ht="18" customHeight="1" spans="1:9">
      <c r="A21" s="391" t="s">
        <v>316</v>
      </c>
      <c r="B21" s="392" t="s">
        <v>317</v>
      </c>
      <c r="C21" s="393">
        <f t="shared" si="0"/>
        <v>-232.589999999997</v>
      </c>
      <c r="D21" s="393">
        <f>精铸PL新!D21+新材料PL新!D17+快速PL新!D21+热等静压PL新!D17</f>
        <v>-85075.68</v>
      </c>
      <c r="G21" s="1290">
        <v>0</v>
      </c>
      <c r="H21" s="1290">
        <v>-84843.09</v>
      </c>
      <c r="I21" s="121"/>
    </row>
    <row r="22" ht="18" customHeight="1" spans="1:9">
      <c r="A22" s="391" t="s">
        <v>318</v>
      </c>
      <c r="B22" s="392" t="s">
        <v>319</v>
      </c>
      <c r="C22" s="393">
        <f t="shared" si="0"/>
        <v>250000</v>
      </c>
      <c r="D22" s="393">
        <f>合并试算平衡表!K135</f>
        <v>1305528.31</v>
      </c>
      <c r="G22" s="1290">
        <v>0</v>
      </c>
      <c r="H22" s="1290">
        <v>1055528.31</v>
      </c>
      <c r="I22" s="121"/>
    </row>
    <row r="23" ht="18" customHeight="1" spans="1:9">
      <c r="A23" s="391" t="s">
        <v>320</v>
      </c>
      <c r="B23" s="392" t="s">
        <v>321</v>
      </c>
      <c r="C23" s="393">
        <f t="shared" si="0"/>
        <v>0</v>
      </c>
      <c r="D23" s="393">
        <f>合并试算平衡表!K136</f>
        <v>853056.55</v>
      </c>
      <c r="G23" s="1290">
        <v>0</v>
      </c>
      <c r="H23" s="1290">
        <v>853056.55</v>
      </c>
      <c r="I23" s="121"/>
    </row>
    <row r="24" ht="18" customHeight="1" spans="1:9">
      <c r="A24" s="391" t="s">
        <v>322</v>
      </c>
      <c r="B24" s="392" t="s">
        <v>323</v>
      </c>
      <c r="C24" s="393">
        <f t="shared" si="0"/>
        <v>0</v>
      </c>
      <c r="D24" s="393"/>
      <c r="G24" s="1290">
        <v>0</v>
      </c>
      <c r="H24" s="1290"/>
      <c r="I24" s="121"/>
    </row>
    <row r="25" ht="18" customHeight="1" spans="1:9">
      <c r="A25" s="391" t="s">
        <v>324</v>
      </c>
      <c r="B25" s="392" t="s">
        <v>325</v>
      </c>
      <c r="C25" s="393">
        <f t="shared" si="0"/>
        <v>0</v>
      </c>
      <c r="D25" s="393"/>
      <c r="G25" s="1290">
        <v>0</v>
      </c>
      <c r="H25" s="1290"/>
      <c r="I25" s="121"/>
    </row>
    <row r="26" ht="18" customHeight="1" spans="1:9">
      <c r="A26" s="391" t="s">
        <v>326</v>
      </c>
      <c r="B26" s="392" t="s">
        <v>327</v>
      </c>
      <c r="C26" s="393">
        <f t="shared" si="0"/>
        <v>0</v>
      </c>
      <c r="D26" s="393"/>
      <c r="G26" s="1290">
        <v>0</v>
      </c>
      <c r="H26" s="1290"/>
      <c r="I26" s="121"/>
    </row>
    <row r="27" ht="18" customHeight="1" spans="1:9">
      <c r="A27" s="391" t="s">
        <v>328</v>
      </c>
      <c r="B27" s="392" t="s">
        <v>329</v>
      </c>
      <c r="C27" s="393">
        <f t="shared" si="0"/>
        <v>0</v>
      </c>
      <c r="D27" s="393">
        <f>合并试算平衡表!K138</f>
        <v>0</v>
      </c>
      <c r="G27" s="1290">
        <v>0</v>
      </c>
      <c r="H27" s="1290">
        <v>0</v>
      </c>
      <c r="I27" s="121"/>
    </row>
    <row r="28" ht="18" customHeight="1" spans="1:9">
      <c r="A28" s="391" t="s">
        <v>330</v>
      </c>
      <c r="B28" s="392" t="s">
        <v>331</v>
      </c>
      <c r="C28" s="393">
        <f t="shared" si="0"/>
        <v>0</v>
      </c>
      <c r="D28" s="393">
        <f>合并试算平衡表!K139</f>
        <v>-1780058.26</v>
      </c>
      <c r="G28" s="1290">
        <v>0</v>
      </c>
      <c r="H28" s="1290">
        <v>-1780058.26</v>
      </c>
      <c r="I28" s="121">
        <f>C28/10000</f>
        <v>0</v>
      </c>
    </row>
    <row r="29" ht="18" customHeight="1" spans="1:9">
      <c r="A29" s="391" t="s">
        <v>332</v>
      </c>
      <c r="B29" s="392" t="s">
        <v>333</v>
      </c>
      <c r="C29" s="393">
        <f t="shared" si="0"/>
        <v>0</v>
      </c>
      <c r="D29" s="393">
        <f>合并试算平衡表!K140</f>
        <v>0</v>
      </c>
      <c r="G29" s="1290">
        <v>0</v>
      </c>
      <c r="H29" s="1290">
        <v>0</v>
      </c>
      <c r="I29" s="121"/>
    </row>
    <row r="30" ht="18" customHeight="1" spans="1:9">
      <c r="A30" s="391" t="s">
        <v>334</v>
      </c>
      <c r="B30" s="392" t="s">
        <v>335</v>
      </c>
      <c r="C30" s="393">
        <f t="shared" si="0"/>
        <v>0</v>
      </c>
      <c r="D30" s="393">
        <f>合并试算平衡表!K141</f>
        <v>0</v>
      </c>
      <c r="G30" s="1290">
        <v>0</v>
      </c>
      <c r="H30" s="1290">
        <v>0</v>
      </c>
      <c r="I30" s="121"/>
    </row>
    <row r="31" ht="18" customHeight="1" spans="1:9">
      <c r="A31" s="391" t="s">
        <v>336</v>
      </c>
      <c r="B31" s="392" t="s">
        <v>337</v>
      </c>
      <c r="C31" s="393">
        <f>C9-C12-C15-C16-C17-C18-C19+C22+C23+C27+C28+C29+C30</f>
        <v>-5954966.84999997</v>
      </c>
      <c r="D31" s="393">
        <f>D9-D12-D15-D16-D17-D18-D19+D22+D23+D27+D28+D29+D30</f>
        <v>-17309794.48</v>
      </c>
      <c r="E31" s="1291"/>
      <c r="G31" s="1290">
        <v>-3631913.36999997</v>
      </c>
      <c r="H31" s="1290">
        <v>-11354827.63</v>
      </c>
      <c r="I31" s="121"/>
    </row>
    <row r="32" ht="18" customHeight="1" spans="1:9">
      <c r="A32" s="391" t="s">
        <v>338</v>
      </c>
      <c r="B32" s="392" t="s">
        <v>339</v>
      </c>
      <c r="C32" s="393">
        <f t="shared" si="0"/>
        <v>0</v>
      </c>
      <c r="D32" s="393">
        <f>合并试算平衡表!K143</f>
        <v>70120.03</v>
      </c>
      <c r="G32" s="1290">
        <v>70000</v>
      </c>
      <c r="H32" s="1290">
        <v>70120.03</v>
      </c>
      <c r="I32" s="121"/>
    </row>
    <row r="33" ht="18" customHeight="1" spans="1:15">
      <c r="A33" s="391" t="s">
        <v>340</v>
      </c>
      <c r="B33" s="392" t="s">
        <v>341</v>
      </c>
      <c r="C33" s="393">
        <f t="shared" si="0"/>
        <v>0</v>
      </c>
      <c r="D33" s="393">
        <f>合并试算平衡表!K145</f>
        <v>24203.21</v>
      </c>
      <c r="G33" s="1290">
        <v>0.00999999999839929</v>
      </c>
      <c r="H33" s="1290">
        <v>24203.21</v>
      </c>
      <c r="I33" s="121"/>
    </row>
    <row r="34" ht="18" customHeight="1" spans="1:15">
      <c r="A34" s="391" t="s">
        <v>342</v>
      </c>
      <c r="B34" s="392" t="s">
        <v>343</v>
      </c>
      <c r="C34" s="393">
        <f>C31+C32-C33</f>
        <v>-5954966.84999997</v>
      </c>
      <c r="D34" s="393">
        <f>D31+D32-D33</f>
        <v>-17263877.66</v>
      </c>
      <c r="G34" s="1290">
        <v>-3561913.37999997</v>
      </c>
      <c r="H34" s="1290">
        <v>-11308910.81</v>
      </c>
      <c r="I34" s="121"/>
      <c r="J34" s="1290"/>
      <c r="M34" s="394"/>
      <c r="N34" s="121"/>
      <c r="O34" s="394"/>
    </row>
    <row r="35" ht="18" customHeight="1" spans="1:15">
      <c r="A35" s="391" t="s">
        <v>344</v>
      </c>
      <c r="B35" s="392" t="s">
        <v>345</v>
      </c>
      <c r="C35" s="393">
        <f t="shared" si="0"/>
        <v>20876.67</v>
      </c>
      <c r="D35" s="393">
        <f>合并试算平衡表!K148</f>
        <v>45634.12</v>
      </c>
      <c r="G35" s="1290">
        <v>0</v>
      </c>
      <c r="H35" s="1290">
        <v>24757.45</v>
      </c>
      <c r="I35" s="121"/>
    </row>
    <row r="36" ht="18" customHeight="1" spans="1:15">
      <c r="A36" s="391" t="s">
        <v>346</v>
      </c>
      <c r="B36" s="392" t="s">
        <v>347</v>
      </c>
      <c r="C36" s="393">
        <f>C34-C35</f>
        <v>-5975843.51999997</v>
      </c>
      <c r="D36" s="393">
        <f>D34-D35</f>
        <v>-17309511.78</v>
      </c>
      <c r="G36" s="1290">
        <v>-3561913.37999997</v>
      </c>
      <c r="H36" s="1290">
        <v>-11333668.26</v>
      </c>
      <c r="I36" s="121"/>
    </row>
    <row r="37" ht="18" customHeight="1" spans="1:15">
      <c r="A37" s="1305" t="s">
        <v>348</v>
      </c>
      <c r="B37" s="392" t="s">
        <v>349</v>
      </c>
      <c r="C37" s="393">
        <f t="shared" si="0"/>
        <v>72653.3828239998</v>
      </c>
      <c r="D37" s="393">
        <f>合并试算平衡表!K151</f>
        <v>43251.8832679999</v>
      </c>
      <c r="G37" s="1290">
        <v>35159.5159180003</v>
      </c>
      <c r="H37" s="1290">
        <v>-29401.4995559999</v>
      </c>
      <c r="I37" s="121"/>
    </row>
    <row r="38" ht="18" customHeight="1" spans="1:15">
      <c r="A38" s="1305" t="s">
        <v>350</v>
      </c>
      <c r="B38" s="392" t="s">
        <v>351</v>
      </c>
      <c r="C38" s="393">
        <f t="shared" si="0"/>
        <v>-6048496.90282397</v>
      </c>
      <c r="D38" s="393">
        <f>合并试算平衡表!K150</f>
        <v>-17352763.663268</v>
      </c>
      <c r="G38" s="1290">
        <v>-3597072.89591799</v>
      </c>
      <c r="H38" s="1290">
        <v>-11304266.760444</v>
      </c>
      <c r="I38" s="121"/>
    </row>
    <row r="39" ht="18" customHeight="1" spans="1:15">
      <c r="A39" s="391" t="s">
        <v>352</v>
      </c>
      <c r="B39" s="392" t="s">
        <v>353</v>
      </c>
      <c r="C39" s="393"/>
      <c r="D39" s="393"/>
      <c r="H39" s="1290"/>
    </row>
    <row r="40" ht="18" customHeight="1" spans="1:15">
      <c r="A40" s="391" t="s">
        <v>354</v>
      </c>
      <c r="B40" s="392" t="s">
        <v>355</v>
      </c>
      <c r="C40" s="393"/>
      <c r="D40" s="393"/>
      <c r="H40" s="1290"/>
    </row>
    <row r="41" ht="18" customHeight="1" spans="1:15">
      <c r="A41" s="391" t="s">
        <v>356</v>
      </c>
      <c r="B41" s="392" t="s">
        <v>357</v>
      </c>
      <c r="C41" s="393"/>
      <c r="D41" s="393"/>
      <c r="H41" s="1290"/>
    </row>
    <row r="42" ht="18" customHeight="1" spans="1:15">
      <c r="A42" s="391" t="s">
        <v>358</v>
      </c>
      <c r="B42" s="392" t="s">
        <v>359</v>
      </c>
      <c r="C42" s="393"/>
      <c r="D42" s="393"/>
      <c r="H42" s="1290"/>
    </row>
    <row r="43" ht="18" customHeight="1" spans="1:15">
      <c r="A43" s="391" t="s">
        <v>360</v>
      </c>
      <c r="B43" s="392" t="s">
        <v>361</v>
      </c>
      <c r="C43" s="393"/>
      <c r="D43" s="393"/>
      <c r="H43" s="1290"/>
    </row>
    <row r="44" ht="18" customHeight="1" spans="1:15">
      <c r="A44" s="391" t="s">
        <v>362</v>
      </c>
      <c r="B44" s="392" t="s">
        <v>363</v>
      </c>
      <c r="C44" s="393"/>
      <c r="D44" s="393"/>
      <c r="H44" s="1290"/>
    </row>
    <row r="45" ht="18" customHeight="1" spans="1:15">
      <c r="A45" s="391" t="s">
        <v>364</v>
      </c>
      <c r="B45" s="392" t="s">
        <v>365</v>
      </c>
      <c r="C45" s="393"/>
      <c r="D45" s="393"/>
      <c r="H45" s="1290"/>
    </row>
    <row r="46" ht="18" customHeight="1" spans="1:15">
      <c r="A46" s="391" t="s">
        <v>366</v>
      </c>
      <c r="B46" s="392" t="s">
        <v>367</v>
      </c>
      <c r="C46" s="393"/>
      <c r="D46" s="393"/>
      <c r="H46" s="1290"/>
    </row>
    <row r="47" ht="18" customHeight="1" spans="1:15">
      <c r="A47" s="391" t="s">
        <v>368</v>
      </c>
      <c r="B47" s="392" t="s">
        <v>369</v>
      </c>
      <c r="C47" s="393"/>
      <c r="D47" s="393"/>
      <c r="H47" s="1290"/>
    </row>
    <row r="48" ht="18" customHeight="1" spans="1:15">
      <c r="A48" s="391" t="s">
        <v>370</v>
      </c>
      <c r="B48" s="392" t="s">
        <v>371</v>
      </c>
      <c r="C48" s="393"/>
      <c r="D48" s="393"/>
      <c r="H48" s="1290"/>
    </row>
    <row r="49" ht="18" customHeight="1" spans="1:8">
      <c r="A49" s="391" t="s">
        <v>372</v>
      </c>
      <c r="B49" s="392" t="s">
        <v>373</v>
      </c>
      <c r="C49" s="393"/>
      <c r="D49" s="393"/>
      <c r="H49" s="1290"/>
    </row>
    <row r="50" ht="18" customHeight="1" spans="1:8">
      <c r="A50" s="391" t="s">
        <v>374</v>
      </c>
      <c r="B50" s="392" t="s">
        <v>375</v>
      </c>
      <c r="C50" s="393"/>
      <c r="D50" s="393"/>
      <c r="H50" s="1290"/>
    </row>
    <row r="51" ht="18" customHeight="1" spans="1:8">
      <c r="A51" s="391" t="s">
        <v>376</v>
      </c>
      <c r="B51" s="392" t="s">
        <v>377</v>
      </c>
      <c r="C51" s="393"/>
      <c r="D51" s="393"/>
      <c r="H51" s="1290"/>
    </row>
    <row r="52" ht="18" customHeight="1" spans="1:8">
      <c r="A52" s="391" t="s">
        <v>378</v>
      </c>
      <c r="B52" s="392" t="s">
        <v>379</v>
      </c>
      <c r="C52" s="393"/>
      <c r="D52" s="393"/>
      <c r="H52" s="1290"/>
    </row>
    <row r="53" ht="18" customHeight="1" spans="1:8">
      <c r="A53" s="391" t="s">
        <v>380</v>
      </c>
      <c r="B53" s="392" t="s">
        <v>381</v>
      </c>
      <c r="C53" s="393"/>
      <c r="D53" s="393"/>
      <c r="H53" s="1290"/>
    </row>
    <row r="54" ht="18" customHeight="1" spans="1:8">
      <c r="A54" s="391" t="s">
        <v>382</v>
      </c>
      <c r="B54" s="392" t="s">
        <v>383</v>
      </c>
      <c r="C54" s="393"/>
      <c r="D54" s="393"/>
      <c r="H54" s="1290"/>
    </row>
    <row r="55" ht="18" customHeight="1" spans="1:8">
      <c r="A55" s="391" t="s">
        <v>384</v>
      </c>
      <c r="B55" s="392" t="s">
        <v>385</v>
      </c>
      <c r="C55" s="393"/>
      <c r="D55" s="393"/>
      <c r="H55" s="1290"/>
    </row>
    <row r="56" ht="18" customHeight="1" spans="1:8">
      <c r="A56" s="391"/>
      <c r="B56" s="392"/>
      <c r="C56" s="395"/>
      <c r="D56" s="395"/>
      <c r="H56" s="1290"/>
    </row>
    <row r="57" ht="18" customHeight="1" spans="1:8">
      <c r="A57" s="391" t="s">
        <v>386</v>
      </c>
      <c r="B57" s="392"/>
      <c r="C57" s="395"/>
      <c r="D57" s="395"/>
      <c r="H57" s="1290"/>
    </row>
    <row r="58" ht="18" customHeight="1" spans="1:8">
      <c r="A58" s="391" t="s">
        <v>387</v>
      </c>
      <c r="B58" s="392" t="s">
        <v>292</v>
      </c>
      <c r="C58" s="393"/>
      <c r="D58" s="393"/>
      <c r="H58" s="1290"/>
    </row>
    <row r="59" ht="18" customHeight="1" spans="1:8">
      <c r="A59" s="391" t="s">
        <v>388</v>
      </c>
      <c r="B59" s="392" t="s">
        <v>295</v>
      </c>
      <c r="C59" s="393"/>
      <c r="D59" s="393"/>
      <c r="H59" s="1290"/>
    </row>
    <row r="60" ht="18" customHeight="1" spans="1:8">
      <c r="A60" s="391" t="s">
        <v>389</v>
      </c>
      <c r="B60" s="392" t="s">
        <v>297</v>
      </c>
      <c r="C60" s="393"/>
      <c r="D60" s="393"/>
      <c r="H60" s="1290"/>
    </row>
    <row r="61" ht="18" customHeight="1" spans="1:8">
      <c r="A61" s="391" t="s">
        <v>390</v>
      </c>
      <c r="B61" s="392" t="s">
        <v>299</v>
      </c>
      <c r="C61" s="393"/>
      <c r="D61" s="393"/>
      <c r="H61" s="1290"/>
    </row>
    <row r="62" ht="18" customHeight="1" spans="1:8">
      <c r="A62" s="391" t="s">
        <v>391</v>
      </c>
      <c r="B62" s="392" t="s">
        <v>301</v>
      </c>
      <c r="C62" s="393"/>
      <c r="D62" s="393"/>
      <c r="H62" s="1290"/>
    </row>
    <row r="63" ht="18" customHeight="1" spans="1:8">
      <c r="A63" s="391" t="s">
        <v>392</v>
      </c>
      <c r="B63" s="392" t="s">
        <v>303</v>
      </c>
      <c r="C63" s="393"/>
      <c r="D63" s="393"/>
      <c r="H63" s="1290"/>
    </row>
    <row r="64" ht="10.8" customHeight="1" spans="1:8">
      <c r="H64" s="1290"/>
    </row>
    <row r="65" ht="15.8" customHeight="1" spans="1:5">
      <c r="A65" s="387"/>
      <c r="B65" s="386"/>
      <c r="C65" s="387"/>
      <c r="D65" s="387"/>
      <c r="E65" s="121"/>
    </row>
    <row r="66" ht="21.6" customHeight="1"/>
  </sheetData>
  <mergeCells count="4">
    <mergeCell ref="G7:H7"/>
    <mergeCell ref="A3:A4"/>
    <mergeCell ref="B3:B4"/>
    <mergeCell ref="C3:C4"/>
  </mergeCells>
  <pageMargins left="0.299027777777778" right="0.299027777777778" top="0.299027777777778" bottom="0.299027777777778" header="0.3" footer="0.3"/>
  <pageSetup paperSize="9" orientation="portrait" useFirstPageNumber="1" horizontalDpi="600" vertic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U67"/>
  <sheetViews>
    <sheetView view="pageBreakPreview" zoomScale="55" zoomScaleNormal="100" workbookViewId="0">
      <pane xSplit="1" ySplit="5" topLeftCell="B35" activePane="bottomRight" state="frozen"/>
      <selection/>
      <selection pane="topRight"/>
      <selection pane="bottomLeft"/>
      <selection pane="bottomRight" activeCell="K35" sqref="K35"/>
    </sheetView>
  </sheetViews>
  <sheetFormatPr defaultColWidth="9" defaultRowHeight="15"/>
  <cols>
    <col min="1" max="1" width="25.75" style="1332" customWidth="1"/>
    <col min="2" max="2" width="18.625" style="1333" customWidth="1"/>
    <col min="3" max="3" width="20.625" style="1333" customWidth="1"/>
    <col min="4" max="4" width="18.375" style="1333" hidden="1" customWidth="1"/>
    <col min="5" max="5" width="32.625" style="1332" customWidth="1"/>
    <col min="6" max="7" width="18.375" style="1333" customWidth="1"/>
    <col min="8" max="8" width="18.375" style="1334" hidden="1" customWidth="1"/>
    <col min="9" max="10" width="18.375" style="1334" customWidth="1"/>
    <col min="11" max="11" width="17.625" style="1332" customWidth="1"/>
    <col min="12" max="13" width="16.625" style="1332" customWidth="1"/>
    <col min="14" max="14" width="17.625" style="1332" customWidth="1"/>
    <col min="15" max="16" width="11.375" style="1332" customWidth="1"/>
    <col min="17" max="18" width="10.875" style="1332" customWidth="1"/>
    <col min="19" max="19" width="9" style="1332"/>
    <col min="20" max="20" width="15.175" style="1332"/>
    <col min="21" max="21" width="14.1833333333333" style="1332"/>
    <col min="22" max="239" width="9" style="1332"/>
    <col min="240" max="240" width="21.625" style="1332" customWidth="1"/>
    <col min="241" max="241" width="18.625" style="1332" customWidth="1"/>
    <col min="242" max="242" width="15.625" style="1332" customWidth="1"/>
    <col min="243" max="243" width="21.625" style="1332" customWidth="1"/>
    <col min="244" max="244" width="14.625" style="1332" customWidth="1"/>
    <col min="245" max="245" width="15.625" style="1332" customWidth="1"/>
    <col min="246" max="495" width="9" style="1332"/>
    <col min="496" max="496" width="21.625" style="1332" customWidth="1"/>
    <col min="497" max="497" width="18.625" style="1332" customWidth="1"/>
    <col min="498" max="498" width="15.625" style="1332" customWidth="1"/>
    <col min="499" max="499" width="21.625" style="1332" customWidth="1"/>
    <col min="500" max="500" width="14.625" style="1332" customWidth="1"/>
    <col min="501" max="501" width="15.625" style="1332" customWidth="1"/>
    <col min="502" max="751" width="9" style="1332"/>
    <col min="752" max="752" width="21.625" style="1332" customWidth="1"/>
    <col min="753" max="753" width="18.625" style="1332" customWidth="1"/>
    <col min="754" max="754" width="15.625" style="1332" customWidth="1"/>
    <col min="755" max="755" width="21.625" style="1332" customWidth="1"/>
    <col min="756" max="756" width="14.625" style="1332" customWidth="1"/>
    <col min="757" max="757" width="15.625" style="1332" customWidth="1"/>
    <col min="758" max="1007" width="9" style="1332"/>
    <col min="1008" max="1008" width="21.625" style="1332" customWidth="1"/>
    <col min="1009" max="1009" width="18.625" style="1332" customWidth="1"/>
    <col min="1010" max="1010" width="15.625" style="1332" customWidth="1"/>
    <col min="1011" max="1011" width="21.625" style="1332" customWidth="1"/>
    <col min="1012" max="1012" width="14.625" style="1332" customWidth="1"/>
    <col min="1013" max="1013" width="15.625" style="1332" customWidth="1"/>
    <col min="1014" max="1263" width="9" style="1332"/>
    <col min="1264" max="1264" width="21.625" style="1332" customWidth="1"/>
    <col min="1265" max="1265" width="18.625" style="1332" customWidth="1"/>
    <col min="1266" max="1266" width="15.625" style="1332" customWidth="1"/>
    <col min="1267" max="1267" width="21.625" style="1332" customWidth="1"/>
    <col min="1268" max="1268" width="14.625" style="1332" customWidth="1"/>
    <col min="1269" max="1269" width="15.625" style="1332" customWidth="1"/>
    <col min="1270" max="1519" width="9" style="1332"/>
    <col min="1520" max="1520" width="21.625" style="1332" customWidth="1"/>
    <col min="1521" max="1521" width="18.625" style="1332" customWidth="1"/>
    <col min="1522" max="1522" width="15.625" style="1332" customWidth="1"/>
    <col min="1523" max="1523" width="21.625" style="1332" customWidth="1"/>
    <col min="1524" max="1524" width="14.625" style="1332" customWidth="1"/>
    <col min="1525" max="1525" width="15.625" style="1332" customWidth="1"/>
    <col min="1526" max="1775" width="9" style="1332"/>
    <col min="1776" max="1776" width="21.625" style="1332" customWidth="1"/>
    <col min="1777" max="1777" width="18.625" style="1332" customWidth="1"/>
    <col min="1778" max="1778" width="15.625" style="1332" customWidth="1"/>
    <col min="1779" max="1779" width="21.625" style="1332" customWidth="1"/>
    <col min="1780" max="1780" width="14.625" style="1332" customWidth="1"/>
    <col min="1781" max="1781" width="15.625" style="1332" customWidth="1"/>
    <col min="1782" max="2031" width="9" style="1332"/>
    <col min="2032" max="2032" width="21.625" style="1332" customWidth="1"/>
    <col min="2033" max="2033" width="18.625" style="1332" customWidth="1"/>
    <col min="2034" max="2034" width="15.625" style="1332" customWidth="1"/>
    <col min="2035" max="2035" width="21.625" style="1332" customWidth="1"/>
    <col min="2036" max="2036" width="14.625" style="1332" customWidth="1"/>
    <col min="2037" max="2037" width="15.625" style="1332" customWidth="1"/>
    <col min="2038" max="2287" width="9" style="1332"/>
    <col min="2288" max="2288" width="21.625" style="1332" customWidth="1"/>
    <col min="2289" max="2289" width="18.625" style="1332" customWidth="1"/>
    <col min="2290" max="2290" width="15.625" style="1332" customWidth="1"/>
    <col min="2291" max="2291" width="21.625" style="1332" customWidth="1"/>
    <col min="2292" max="2292" width="14.625" style="1332" customWidth="1"/>
    <col min="2293" max="2293" width="15.625" style="1332" customWidth="1"/>
    <col min="2294" max="2543" width="9" style="1332"/>
    <col min="2544" max="2544" width="21.625" style="1332" customWidth="1"/>
    <col min="2545" max="2545" width="18.625" style="1332" customWidth="1"/>
    <col min="2546" max="2546" width="15.625" style="1332" customWidth="1"/>
    <col min="2547" max="2547" width="21.625" style="1332" customWidth="1"/>
    <col min="2548" max="2548" width="14.625" style="1332" customWidth="1"/>
    <col min="2549" max="2549" width="15.625" style="1332" customWidth="1"/>
    <col min="2550" max="2799" width="9" style="1332"/>
    <col min="2800" max="2800" width="21.625" style="1332" customWidth="1"/>
    <col min="2801" max="2801" width="18.625" style="1332" customWidth="1"/>
    <col min="2802" max="2802" width="15.625" style="1332" customWidth="1"/>
    <col min="2803" max="2803" width="21.625" style="1332" customWidth="1"/>
    <col min="2804" max="2804" width="14.625" style="1332" customWidth="1"/>
    <col min="2805" max="2805" width="15.625" style="1332" customWidth="1"/>
    <col min="2806" max="3055" width="9" style="1332"/>
    <col min="3056" max="3056" width="21.625" style="1332" customWidth="1"/>
    <col min="3057" max="3057" width="18.625" style="1332" customWidth="1"/>
    <col min="3058" max="3058" width="15.625" style="1332" customWidth="1"/>
    <col min="3059" max="3059" width="21.625" style="1332" customWidth="1"/>
    <col min="3060" max="3060" width="14.625" style="1332" customWidth="1"/>
    <col min="3061" max="3061" width="15.625" style="1332" customWidth="1"/>
    <col min="3062" max="3311" width="9" style="1332"/>
    <col min="3312" max="3312" width="21.625" style="1332" customWidth="1"/>
    <col min="3313" max="3313" width="18.625" style="1332" customWidth="1"/>
    <col min="3314" max="3314" width="15.625" style="1332" customWidth="1"/>
    <col min="3315" max="3315" width="21.625" style="1332" customWidth="1"/>
    <col min="3316" max="3316" width="14.625" style="1332" customWidth="1"/>
    <col min="3317" max="3317" width="15.625" style="1332" customWidth="1"/>
    <col min="3318" max="3567" width="9" style="1332"/>
    <col min="3568" max="3568" width="21.625" style="1332" customWidth="1"/>
    <col min="3569" max="3569" width="18.625" style="1332" customWidth="1"/>
    <col min="3570" max="3570" width="15.625" style="1332" customWidth="1"/>
    <col min="3571" max="3571" width="21.625" style="1332" customWidth="1"/>
    <col min="3572" max="3572" width="14.625" style="1332" customWidth="1"/>
    <col min="3573" max="3573" width="15.625" style="1332" customWidth="1"/>
    <col min="3574" max="3823" width="9" style="1332"/>
    <col min="3824" max="3824" width="21.625" style="1332" customWidth="1"/>
    <col min="3825" max="3825" width="18.625" style="1332" customWidth="1"/>
    <col min="3826" max="3826" width="15.625" style="1332" customWidth="1"/>
    <col min="3827" max="3827" width="21.625" style="1332" customWidth="1"/>
    <col min="3828" max="3828" width="14.625" style="1332" customWidth="1"/>
    <col min="3829" max="3829" width="15.625" style="1332" customWidth="1"/>
    <col min="3830" max="4079" width="9" style="1332"/>
    <col min="4080" max="4080" width="21.625" style="1332" customWidth="1"/>
    <col min="4081" max="4081" width="18.625" style="1332" customWidth="1"/>
    <col min="4082" max="4082" width="15.625" style="1332" customWidth="1"/>
    <col min="4083" max="4083" width="21.625" style="1332" customWidth="1"/>
    <col min="4084" max="4084" width="14.625" style="1332" customWidth="1"/>
    <col min="4085" max="4085" width="15.625" style="1332" customWidth="1"/>
    <col min="4086" max="4335" width="9" style="1332"/>
    <col min="4336" max="4336" width="21.625" style="1332" customWidth="1"/>
    <col min="4337" max="4337" width="18.625" style="1332" customWidth="1"/>
    <col min="4338" max="4338" width="15.625" style="1332" customWidth="1"/>
    <col min="4339" max="4339" width="21.625" style="1332" customWidth="1"/>
    <col min="4340" max="4340" width="14.625" style="1332" customWidth="1"/>
    <col min="4341" max="4341" width="15.625" style="1332" customWidth="1"/>
    <col min="4342" max="4591" width="9" style="1332"/>
    <col min="4592" max="4592" width="21.625" style="1332" customWidth="1"/>
    <col min="4593" max="4593" width="18.625" style="1332" customWidth="1"/>
    <col min="4594" max="4594" width="15.625" style="1332" customWidth="1"/>
    <col min="4595" max="4595" width="21.625" style="1332" customWidth="1"/>
    <col min="4596" max="4596" width="14.625" style="1332" customWidth="1"/>
    <col min="4597" max="4597" width="15.625" style="1332" customWidth="1"/>
    <col min="4598" max="4847" width="9" style="1332"/>
    <col min="4848" max="4848" width="21.625" style="1332" customWidth="1"/>
    <col min="4849" max="4849" width="18.625" style="1332" customWidth="1"/>
    <col min="4850" max="4850" width="15.625" style="1332" customWidth="1"/>
    <col min="4851" max="4851" width="21.625" style="1332" customWidth="1"/>
    <col min="4852" max="4852" width="14.625" style="1332" customWidth="1"/>
    <col min="4853" max="4853" width="15.625" style="1332" customWidth="1"/>
    <col min="4854" max="5103" width="9" style="1332"/>
    <col min="5104" max="5104" width="21.625" style="1332" customWidth="1"/>
    <col min="5105" max="5105" width="18.625" style="1332" customWidth="1"/>
    <col min="5106" max="5106" width="15.625" style="1332" customWidth="1"/>
    <col min="5107" max="5107" width="21.625" style="1332" customWidth="1"/>
    <col min="5108" max="5108" width="14.625" style="1332" customWidth="1"/>
    <col min="5109" max="5109" width="15.625" style="1332" customWidth="1"/>
    <col min="5110" max="5359" width="9" style="1332"/>
    <col min="5360" max="5360" width="21.625" style="1332" customWidth="1"/>
    <col min="5361" max="5361" width="18.625" style="1332" customWidth="1"/>
    <col min="5362" max="5362" width="15.625" style="1332" customWidth="1"/>
    <col min="5363" max="5363" width="21.625" style="1332" customWidth="1"/>
    <col min="5364" max="5364" width="14.625" style="1332" customWidth="1"/>
    <col min="5365" max="5365" width="15.625" style="1332" customWidth="1"/>
    <col min="5366" max="5615" width="9" style="1332"/>
    <col min="5616" max="5616" width="21.625" style="1332" customWidth="1"/>
    <col min="5617" max="5617" width="18.625" style="1332" customWidth="1"/>
    <col min="5618" max="5618" width="15.625" style="1332" customWidth="1"/>
    <col min="5619" max="5619" width="21.625" style="1332" customWidth="1"/>
    <col min="5620" max="5620" width="14.625" style="1332" customWidth="1"/>
    <col min="5621" max="5621" width="15.625" style="1332" customWidth="1"/>
    <col min="5622" max="5871" width="9" style="1332"/>
    <col min="5872" max="5872" width="21.625" style="1332" customWidth="1"/>
    <col min="5873" max="5873" width="18.625" style="1332" customWidth="1"/>
    <col min="5874" max="5874" width="15.625" style="1332" customWidth="1"/>
    <col min="5875" max="5875" width="21.625" style="1332" customWidth="1"/>
    <col min="5876" max="5876" width="14.625" style="1332" customWidth="1"/>
    <col min="5877" max="5877" width="15.625" style="1332" customWidth="1"/>
    <col min="5878" max="6127" width="9" style="1332"/>
    <col min="6128" max="6128" width="21.625" style="1332" customWidth="1"/>
    <col min="6129" max="6129" width="18.625" style="1332" customWidth="1"/>
    <col min="6130" max="6130" width="15.625" style="1332" customWidth="1"/>
    <col min="6131" max="6131" width="21.625" style="1332" customWidth="1"/>
    <col min="6132" max="6132" width="14.625" style="1332" customWidth="1"/>
    <col min="6133" max="6133" width="15.625" style="1332" customWidth="1"/>
    <col min="6134" max="6383" width="9" style="1332"/>
    <col min="6384" max="6384" width="21.625" style="1332" customWidth="1"/>
    <col min="6385" max="6385" width="18.625" style="1332" customWidth="1"/>
    <col min="6386" max="6386" width="15.625" style="1332" customWidth="1"/>
    <col min="6387" max="6387" width="21.625" style="1332" customWidth="1"/>
    <col min="6388" max="6388" width="14.625" style="1332" customWidth="1"/>
    <col min="6389" max="6389" width="15.625" style="1332" customWidth="1"/>
    <col min="6390" max="6639" width="9" style="1332"/>
    <col min="6640" max="6640" width="21.625" style="1332" customWidth="1"/>
    <col min="6641" max="6641" width="18.625" style="1332" customWidth="1"/>
    <col min="6642" max="6642" width="15.625" style="1332" customWidth="1"/>
    <col min="6643" max="6643" width="21.625" style="1332" customWidth="1"/>
    <col min="6644" max="6644" width="14.625" style="1332" customWidth="1"/>
    <col min="6645" max="6645" width="15.625" style="1332" customWidth="1"/>
    <col min="6646" max="6895" width="9" style="1332"/>
    <col min="6896" max="6896" width="21.625" style="1332" customWidth="1"/>
    <col min="6897" max="6897" width="18.625" style="1332" customWidth="1"/>
    <col min="6898" max="6898" width="15.625" style="1332" customWidth="1"/>
    <col min="6899" max="6899" width="21.625" style="1332" customWidth="1"/>
    <col min="6900" max="6900" width="14.625" style="1332" customWidth="1"/>
    <col min="6901" max="6901" width="15.625" style="1332" customWidth="1"/>
    <col min="6902" max="7151" width="9" style="1332"/>
    <col min="7152" max="7152" width="21.625" style="1332" customWidth="1"/>
    <col min="7153" max="7153" width="18.625" style="1332" customWidth="1"/>
    <col min="7154" max="7154" width="15.625" style="1332" customWidth="1"/>
    <col min="7155" max="7155" width="21.625" style="1332" customWidth="1"/>
    <col min="7156" max="7156" width="14.625" style="1332" customWidth="1"/>
    <col min="7157" max="7157" width="15.625" style="1332" customWidth="1"/>
    <col min="7158" max="7407" width="9" style="1332"/>
    <col min="7408" max="7408" width="21.625" style="1332" customWidth="1"/>
    <col min="7409" max="7409" width="18.625" style="1332" customWidth="1"/>
    <col min="7410" max="7410" width="15.625" style="1332" customWidth="1"/>
    <col min="7411" max="7411" width="21.625" style="1332" customWidth="1"/>
    <col min="7412" max="7412" width="14.625" style="1332" customWidth="1"/>
    <col min="7413" max="7413" width="15.625" style="1332" customWidth="1"/>
    <col min="7414" max="7663" width="9" style="1332"/>
    <col min="7664" max="7664" width="21.625" style="1332" customWidth="1"/>
    <col min="7665" max="7665" width="18.625" style="1332" customWidth="1"/>
    <col min="7666" max="7666" width="15.625" style="1332" customWidth="1"/>
    <col min="7667" max="7667" width="21.625" style="1332" customWidth="1"/>
    <col min="7668" max="7668" width="14.625" style="1332" customWidth="1"/>
    <col min="7669" max="7669" width="15.625" style="1332" customWidth="1"/>
    <col min="7670" max="7919" width="9" style="1332"/>
    <col min="7920" max="7920" width="21.625" style="1332" customWidth="1"/>
    <col min="7921" max="7921" width="18.625" style="1332" customWidth="1"/>
    <col min="7922" max="7922" width="15.625" style="1332" customWidth="1"/>
    <col min="7923" max="7923" width="21.625" style="1332" customWidth="1"/>
    <col min="7924" max="7924" width="14.625" style="1332" customWidth="1"/>
    <col min="7925" max="7925" width="15.625" style="1332" customWidth="1"/>
    <col min="7926" max="8175" width="9" style="1332"/>
    <col min="8176" max="8176" width="21.625" style="1332" customWidth="1"/>
    <col min="8177" max="8177" width="18.625" style="1332" customWidth="1"/>
    <col min="8178" max="8178" width="15.625" style="1332" customWidth="1"/>
    <col min="8179" max="8179" width="21.625" style="1332" customWidth="1"/>
    <col min="8180" max="8180" width="14.625" style="1332" customWidth="1"/>
    <col min="8181" max="8181" width="15.625" style="1332" customWidth="1"/>
    <col min="8182" max="8431" width="9" style="1332"/>
    <col min="8432" max="8432" width="21.625" style="1332" customWidth="1"/>
    <col min="8433" max="8433" width="18.625" style="1332" customWidth="1"/>
    <col min="8434" max="8434" width="15.625" style="1332" customWidth="1"/>
    <col min="8435" max="8435" width="21.625" style="1332" customWidth="1"/>
    <col min="8436" max="8436" width="14.625" style="1332" customWidth="1"/>
    <col min="8437" max="8437" width="15.625" style="1332" customWidth="1"/>
    <col min="8438" max="8687" width="9" style="1332"/>
    <col min="8688" max="8688" width="21.625" style="1332" customWidth="1"/>
    <col min="8689" max="8689" width="18.625" style="1332" customWidth="1"/>
    <col min="8690" max="8690" width="15.625" style="1332" customWidth="1"/>
    <col min="8691" max="8691" width="21.625" style="1332" customWidth="1"/>
    <col min="8692" max="8692" width="14.625" style="1332" customWidth="1"/>
    <col min="8693" max="8693" width="15.625" style="1332" customWidth="1"/>
    <col min="8694" max="8943" width="9" style="1332"/>
    <col min="8944" max="8944" width="21.625" style="1332" customWidth="1"/>
    <col min="8945" max="8945" width="18.625" style="1332" customWidth="1"/>
    <col min="8946" max="8946" width="15.625" style="1332" customWidth="1"/>
    <col min="8947" max="8947" width="21.625" style="1332" customWidth="1"/>
    <col min="8948" max="8948" width="14.625" style="1332" customWidth="1"/>
    <col min="8949" max="8949" width="15.625" style="1332" customWidth="1"/>
    <col min="8950" max="9199" width="9" style="1332"/>
    <col min="9200" max="9200" width="21.625" style="1332" customWidth="1"/>
    <col min="9201" max="9201" width="18.625" style="1332" customWidth="1"/>
    <col min="9202" max="9202" width="15.625" style="1332" customWidth="1"/>
    <col min="9203" max="9203" width="21.625" style="1332" customWidth="1"/>
    <col min="9204" max="9204" width="14.625" style="1332" customWidth="1"/>
    <col min="9205" max="9205" width="15.625" style="1332" customWidth="1"/>
    <col min="9206" max="9455" width="9" style="1332"/>
    <col min="9456" max="9456" width="21.625" style="1332" customWidth="1"/>
    <col min="9457" max="9457" width="18.625" style="1332" customWidth="1"/>
    <col min="9458" max="9458" width="15.625" style="1332" customWidth="1"/>
    <col min="9459" max="9459" width="21.625" style="1332" customWidth="1"/>
    <col min="9460" max="9460" width="14.625" style="1332" customWidth="1"/>
    <col min="9461" max="9461" width="15.625" style="1332" customWidth="1"/>
    <col min="9462" max="9711" width="9" style="1332"/>
    <col min="9712" max="9712" width="21.625" style="1332" customWidth="1"/>
    <col min="9713" max="9713" width="18.625" style="1332" customWidth="1"/>
    <col min="9714" max="9714" width="15.625" style="1332" customWidth="1"/>
    <col min="9715" max="9715" width="21.625" style="1332" customWidth="1"/>
    <col min="9716" max="9716" width="14.625" style="1332" customWidth="1"/>
    <col min="9717" max="9717" width="15.625" style="1332" customWidth="1"/>
    <col min="9718" max="9967" width="9" style="1332"/>
    <col min="9968" max="9968" width="21.625" style="1332" customWidth="1"/>
    <col min="9969" max="9969" width="18.625" style="1332" customWidth="1"/>
    <col min="9970" max="9970" width="15.625" style="1332" customWidth="1"/>
    <col min="9971" max="9971" width="21.625" style="1332" customWidth="1"/>
    <col min="9972" max="9972" width="14.625" style="1332" customWidth="1"/>
    <col min="9973" max="9973" width="15.625" style="1332" customWidth="1"/>
    <col min="9974" max="10223" width="9" style="1332"/>
    <col min="10224" max="10224" width="21.625" style="1332" customWidth="1"/>
    <col min="10225" max="10225" width="18.625" style="1332" customWidth="1"/>
    <col min="10226" max="10226" width="15.625" style="1332" customWidth="1"/>
    <col min="10227" max="10227" width="21.625" style="1332" customWidth="1"/>
    <col min="10228" max="10228" width="14.625" style="1332" customWidth="1"/>
    <col min="10229" max="10229" width="15.625" style="1332" customWidth="1"/>
    <col min="10230" max="10479" width="9" style="1332"/>
    <col min="10480" max="10480" width="21.625" style="1332" customWidth="1"/>
    <col min="10481" max="10481" width="18.625" style="1332" customWidth="1"/>
    <col min="10482" max="10482" width="15.625" style="1332" customWidth="1"/>
    <col min="10483" max="10483" width="21.625" style="1332" customWidth="1"/>
    <col min="10484" max="10484" width="14.625" style="1332" customWidth="1"/>
    <col min="10485" max="10485" width="15.625" style="1332" customWidth="1"/>
    <col min="10486" max="10735" width="9" style="1332"/>
    <col min="10736" max="10736" width="21.625" style="1332" customWidth="1"/>
    <col min="10737" max="10737" width="18.625" style="1332" customWidth="1"/>
    <col min="10738" max="10738" width="15.625" style="1332" customWidth="1"/>
    <col min="10739" max="10739" width="21.625" style="1332" customWidth="1"/>
    <col min="10740" max="10740" width="14.625" style="1332" customWidth="1"/>
    <col min="10741" max="10741" width="15.625" style="1332" customWidth="1"/>
    <col min="10742" max="10991" width="9" style="1332"/>
    <col min="10992" max="10992" width="21.625" style="1332" customWidth="1"/>
    <col min="10993" max="10993" width="18.625" style="1332" customWidth="1"/>
    <col min="10994" max="10994" width="15.625" style="1332" customWidth="1"/>
    <col min="10995" max="10995" width="21.625" style="1332" customWidth="1"/>
    <col min="10996" max="10996" width="14.625" style="1332" customWidth="1"/>
    <col min="10997" max="10997" width="15.625" style="1332" customWidth="1"/>
    <col min="10998" max="11247" width="9" style="1332"/>
    <col min="11248" max="11248" width="21.625" style="1332" customWidth="1"/>
    <col min="11249" max="11249" width="18.625" style="1332" customWidth="1"/>
    <col min="11250" max="11250" width="15.625" style="1332" customWidth="1"/>
    <col min="11251" max="11251" width="21.625" style="1332" customWidth="1"/>
    <col min="11252" max="11252" width="14.625" style="1332" customWidth="1"/>
    <col min="11253" max="11253" width="15.625" style="1332" customWidth="1"/>
    <col min="11254" max="11503" width="9" style="1332"/>
    <col min="11504" max="11504" width="21.625" style="1332" customWidth="1"/>
    <col min="11505" max="11505" width="18.625" style="1332" customWidth="1"/>
    <col min="11506" max="11506" width="15.625" style="1332" customWidth="1"/>
    <col min="11507" max="11507" width="21.625" style="1332" customWidth="1"/>
    <col min="11508" max="11508" width="14.625" style="1332" customWidth="1"/>
    <col min="11509" max="11509" width="15.625" style="1332" customWidth="1"/>
    <col min="11510" max="11759" width="9" style="1332"/>
    <col min="11760" max="11760" width="21.625" style="1332" customWidth="1"/>
    <col min="11761" max="11761" width="18.625" style="1332" customWidth="1"/>
    <col min="11762" max="11762" width="15.625" style="1332" customWidth="1"/>
    <col min="11763" max="11763" width="21.625" style="1332" customWidth="1"/>
    <col min="11764" max="11764" width="14.625" style="1332" customWidth="1"/>
    <col min="11765" max="11765" width="15.625" style="1332" customWidth="1"/>
    <col min="11766" max="12015" width="9" style="1332"/>
    <col min="12016" max="12016" width="21.625" style="1332" customWidth="1"/>
    <col min="12017" max="12017" width="18.625" style="1332" customWidth="1"/>
    <col min="12018" max="12018" width="15.625" style="1332" customWidth="1"/>
    <col min="12019" max="12019" width="21.625" style="1332" customWidth="1"/>
    <col min="12020" max="12020" width="14.625" style="1332" customWidth="1"/>
    <col min="12021" max="12021" width="15.625" style="1332" customWidth="1"/>
    <col min="12022" max="12271" width="9" style="1332"/>
    <col min="12272" max="12272" width="21.625" style="1332" customWidth="1"/>
    <col min="12273" max="12273" width="18.625" style="1332" customWidth="1"/>
    <col min="12274" max="12274" width="15.625" style="1332" customWidth="1"/>
    <col min="12275" max="12275" width="21.625" style="1332" customWidth="1"/>
    <col min="12276" max="12276" width="14.625" style="1332" customWidth="1"/>
    <col min="12277" max="12277" width="15.625" style="1332" customWidth="1"/>
    <col min="12278" max="12527" width="9" style="1332"/>
    <col min="12528" max="12528" width="21.625" style="1332" customWidth="1"/>
    <col min="12529" max="12529" width="18.625" style="1332" customWidth="1"/>
    <col min="12530" max="12530" width="15.625" style="1332" customWidth="1"/>
    <col min="12531" max="12531" width="21.625" style="1332" customWidth="1"/>
    <col min="12532" max="12532" width="14.625" style="1332" customWidth="1"/>
    <col min="12533" max="12533" width="15.625" style="1332" customWidth="1"/>
    <col min="12534" max="12783" width="9" style="1332"/>
    <col min="12784" max="12784" width="21.625" style="1332" customWidth="1"/>
    <col min="12785" max="12785" width="18.625" style="1332" customWidth="1"/>
    <col min="12786" max="12786" width="15.625" style="1332" customWidth="1"/>
    <col min="12787" max="12787" width="21.625" style="1332" customWidth="1"/>
    <col min="12788" max="12788" width="14.625" style="1332" customWidth="1"/>
    <col min="12789" max="12789" width="15.625" style="1332" customWidth="1"/>
    <col min="12790" max="13039" width="9" style="1332"/>
    <col min="13040" max="13040" width="21.625" style="1332" customWidth="1"/>
    <col min="13041" max="13041" width="18.625" style="1332" customWidth="1"/>
    <col min="13042" max="13042" width="15.625" style="1332" customWidth="1"/>
    <col min="13043" max="13043" width="21.625" style="1332" customWidth="1"/>
    <col min="13044" max="13044" width="14.625" style="1332" customWidth="1"/>
    <col min="13045" max="13045" width="15.625" style="1332" customWidth="1"/>
    <col min="13046" max="13295" width="9" style="1332"/>
    <col min="13296" max="13296" width="21.625" style="1332" customWidth="1"/>
    <col min="13297" max="13297" width="18.625" style="1332" customWidth="1"/>
    <col min="13298" max="13298" width="15.625" style="1332" customWidth="1"/>
    <col min="13299" max="13299" width="21.625" style="1332" customWidth="1"/>
    <col min="13300" max="13300" width="14.625" style="1332" customWidth="1"/>
    <col min="13301" max="13301" width="15.625" style="1332" customWidth="1"/>
    <col min="13302" max="13551" width="9" style="1332"/>
    <col min="13552" max="13552" width="21.625" style="1332" customWidth="1"/>
    <col min="13553" max="13553" width="18.625" style="1332" customWidth="1"/>
    <col min="13554" max="13554" width="15.625" style="1332" customWidth="1"/>
    <col min="13555" max="13555" width="21.625" style="1332" customWidth="1"/>
    <col min="13556" max="13556" width="14.625" style="1332" customWidth="1"/>
    <col min="13557" max="13557" width="15.625" style="1332" customWidth="1"/>
    <col min="13558" max="13807" width="9" style="1332"/>
    <col min="13808" max="13808" width="21.625" style="1332" customWidth="1"/>
    <col min="13809" max="13809" width="18.625" style="1332" customWidth="1"/>
    <col min="13810" max="13810" width="15.625" style="1332" customWidth="1"/>
    <col min="13811" max="13811" width="21.625" style="1332" customWidth="1"/>
    <col min="13812" max="13812" width="14.625" style="1332" customWidth="1"/>
    <col min="13813" max="13813" width="15.625" style="1332" customWidth="1"/>
    <col min="13814" max="14063" width="9" style="1332"/>
    <col min="14064" max="14064" width="21.625" style="1332" customWidth="1"/>
    <col min="14065" max="14065" width="18.625" style="1332" customWidth="1"/>
    <col min="14066" max="14066" width="15.625" style="1332" customWidth="1"/>
    <col min="14067" max="14067" width="21.625" style="1332" customWidth="1"/>
    <col min="14068" max="14068" width="14.625" style="1332" customWidth="1"/>
    <col min="14069" max="14069" width="15.625" style="1332" customWidth="1"/>
    <col min="14070" max="14319" width="9" style="1332"/>
    <col min="14320" max="14320" width="21.625" style="1332" customWidth="1"/>
    <col min="14321" max="14321" width="18.625" style="1332" customWidth="1"/>
    <col min="14322" max="14322" width="15.625" style="1332" customWidth="1"/>
    <col min="14323" max="14323" width="21.625" style="1332" customWidth="1"/>
    <col min="14324" max="14324" width="14.625" style="1332" customWidth="1"/>
    <col min="14325" max="14325" width="15.625" style="1332" customWidth="1"/>
    <col min="14326" max="14575" width="9" style="1332"/>
    <col min="14576" max="14576" width="21.625" style="1332" customWidth="1"/>
    <col min="14577" max="14577" width="18.625" style="1332" customWidth="1"/>
    <col min="14578" max="14578" width="15.625" style="1332" customWidth="1"/>
    <col min="14579" max="14579" width="21.625" style="1332" customWidth="1"/>
    <col min="14580" max="14580" width="14.625" style="1332" customWidth="1"/>
    <col min="14581" max="14581" width="15.625" style="1332" customWidth="1"/>
    <col min="14582" max="14831" width="9" style="1332"/>
    <col min="14832" max="14832" width="21.625" style="1332" customWidth="1"/>
    <col min="14833" max="14833" width="18.625" style="1332" customWidth="1"/>
    <col min="14834" max="14834" width="15.625" style="1332" customWidth="1"/>
    <col min="14835" max="14835" width="21.625" style="1332" customWidth="1"/>
    <col min="14836" max="14836" width="14.625" style="1332" customWidth="1"/>
    <col min="14837" max="14837" width="15.625" style="1332" customWidth="1"/>
    <col min="14838" max="15087" width="9" style="1332"/>
    <col min="15088" max="15088" width="21.625" style="1332" customWidth="1"/>
    <col min="15089" max="15089" width="18.625" style="1332" customWidth="1"/>
    <col min="15090" max="15090" width="15.625" style="1332" customWidth="1"/>
    <col min="15091" max="15091" width="21.625" style="1332" customWidth="1"/>
    <col min="15092" max="15092" width="14.625" style="1332" customWidth="1"/>
    <col min="15093" max="15093" width="15.625" style="1332" customWidth="1"/>
    <col min="15094" max="15343" width="9" style="1332"/>
    <col min="15344" max="15344" width="21.625" style="1332" customWidth="1"/>
    <col min="15345" max="15345" width="18.625" style="1332" customWidth="1"/>
    <col min="15346" max="15346" width="15.625" style="1332" customWidth="1"/>
    <col min="15347" max="15347" width="21.625" style="1332" customWidth="1"/>
    <col min="15348" max="15348" width="14.625" style="1332" customWidth="1"/>
    <col min="15349" max="15349" width="15.625" style="1332" customWidth="1"/>
    <col min="15350" max="15599" width="9" style="1332"/>
    <col min="15600" max="15600" width="21.625" style="1332" customWidth="1"/>
    <col min="15601" max="15601" width="18.625" style="1332" customWidth="1"/>
    <col min="15602" max="15602" width="15.625" style="1332" customWidth="1"/>
    <col min="15603" max="15603" width="21.625" style="1332" customWidth="1"/>
    <col min="15604" max="15604" width="14.625" style="1332" customWidth="1"/>
    <col min="15605" max="15605" width="15.625" style="1332" customWidth="1"/>
    <col min="15606" max="15855" width="9" style="1332"/>
    <col min="15856" max="15856" width="21.625" style="1332" customWidth="1"/>
    <col min="15857" max="15857" width="18.625" style="1332" customWidth="1"/>
    <col min="15858" max="15858" width="15.625" style="1332" customWidth="1"/>
    <col min="15859" max="15859" width="21.625" style="1332" customWidth="1"/>
    <col min="15860" max="15860" width="14.625" style="1332" customWidth="1"/>
    <col min="15861" max="15861" width="15.625" style="1332" customWidth="1"/>
    <col min="15862" max="16111" width="9" style="1332"/>
    <col min="16112" max="16112" width="21.625" style="1332" customWidth="1"/>
    <col min="16113" max="16113" width="18.625" style="1332" customWidth="1"/>
    <col min="16114" max="16114" width="15.625" style="1332" customWidth="1"/>
    <col min="16115" max="16115" width="21.625" style="1332" customWidth="1"/>
    <col min="16116" max="16116" width="14.625" style="1332" customWidth="1"/>
    <col min="16117" max="16117" width="15.625" style="1332" customWidth="1"/>
    <col min="16118" max="16384" width="9" style="1332"/>
  </cols>
  <sheetData>
    <row r="1" ht="25.5" spans="1:21">
      <c r="A1" s="1335" t="s">
        <v>393</v>
      </c>
      <c r="B1" s="1336"/>
      <c r="C1" s="1336"/>
      <c r="D1" s="1336"/>
      <c r="E1" s="1336"/>
      <c r="F1" s="1336"/>
      <c r="G1" s="1337"/>
      <c r="H1" s="1338"/>
      <c r="I1" s="1338"/>
      <c r="J1" s="1338"/>
    </row>
    <row r="2" spans="1:21">
      <c r="A2" s="1339"/>
      <c r="E2" s="1340"/>
      <c r="G2" s="1341" t="s">
        <v>394</v>
      </c>
      <c r="H2" s="1342"/>
      <c r="I2" s="1342"/>
      <c r="J2" s="1342"/>
    </row>
    <row r="3" spans="1:21">
      <c r="A3" s="1343" t="s">
        <v>98</v>
      </c>
      <c r="B3" s="1344"/>
      <c r="C3" s="1345"/>
      <c r="D3" s="1345"/>
      <c r="E3" s="1346">
        <f>'利润表-合并'!B3</f>
        <v>45991</v>
      </c>
      <c r="F3" s="1347"/>
      <c r="G3" s="1348" t="s">
        <v>395</v>
      </c>
      <c r="H3" s="1342"/>
      <c r="I3" s="1349"/>
      <c r="J3" s="1342"/>
    </row>
    <row r="4" spans="1:21">
      <c r="A4" s="1350"/>
      <c r="B4" s="1344"/>
      <c r="C4" s="1345"/>
      <c r="D4" s="1345"/>
      <c r="E4" s="1346"/>
      <c r="F4" s="1347"/>
      <c r="G4" s="1348"/>
      <c r="H4" s="1342"/>
      <c r="I4" s="1349"/>
      <c r="J4" s="1342"/>
    </row>
    <row r="5" ht="15.75" spans="1:21">
      <c r="A5" s="1351" t="s">
        <v>396</v>
      </c>
      <c r="B5" s="1352" t="s">
        <v>397</v>
      </c>
      <c r="C5" s="1352" t="s">
        <v>398</v>
      </c>
      <c r="D5" s="1352"/>
      <c r="E5" s="1353" t="s">
        <v>399</v>
      </c>
      <c r="F5" s="1352" t="s">
        <v>397</v>
      </c>
      <c r="G5" s="1352" t="s">
        <v>398</v>
      </c>
      <c r="H5" s="1354"/>
      <c r="I5" s="1354"/>
      <c r="J5" s="1354"/>
    </row>
    <row r="6" spans="1:21">
      <c r="A6" s="1355" t="s">
        <v>400</v>
      </c>
      <c r="B6" s="1356"/>
      <c r="C6" s="1356"/>
      <c r="D6" s="1357"/>
      <c r="E6" s="1358" t="s">
        <v>401</v>
      </c>
      <c r="F6" s="1348"/>
      <c r="G6" s="1348"/>
      <c r="H6" s="1342"/>
      <c r="I6" s="1342"/>
      <c r="J6" s="1342"/>
    </row>
    <row r="7" spans="1:21">
      <c r="A7" s="1355" t="s">
        <v>402</v>
      </c>
      <c r="B7" s="1359">
        <v>53038384.64</v>
      </c>
      <c r="C7" s="1359">
        <f>合并试算平衡表!K9</f>
        <v>56972677.29</v>
      </c>
      <c r="D7" s="1360">
        <f t="shared" ref="D7:D22" si="0">(C7-B7)/B7</f>
        <v>0.0741782140746585</v>
      </c>
      <c r="E7" s="1358" t="s">
        <v>403</v>
      </c>
      <c r="F7" s="1357">
        <v>62878115.28</v>
      </c>
      <c r="G7" s="1357">
        <f>合并试算平衡表!K64</f>
        <v>116552069.19</v>
      </c>
      <c r="H7" s="1361">
        <f t="shared" ref="H7:H11" si="1">(F7-G7)/F7</f>
        <v>-0.853619000362633</v>
      </c>
      <c r="I7" s="1362"/>
      <c r="J7" s="1362"/>
      <c r="K7" s="1363"/>
      <c r="L7" s="1363"/>
      <c r="T7" s="1363"/>
      <c r="U7" s="1363"/>
    </row>
    <row r="8" spans="1:21">
      <c r="A8" s="1355" t="s">
        <v>404</v>
      </c>
      <c r="B8" s="1359">
        <v>40494240.83</v>
      </c>
      <c r="C8" s="1359">
        <f>精铸BS!C7+新材料BS!D7+快速BS!D7+热等静压BS!C7</f>
        <v>21767935.48</v>
      </c>
      <c r="D8" s="1360">
        <f t="shared" si="0"/>
        <v>-0.462443670165726</v>
      </c>
      <c r="E8" s="1358" t="s">
        <v>405</v>
      </c>
      <c r="F8" s="1357"/>
      <c r="G8" s="1357"/>
      <c r="H8" s="1361" t="e">
        <f t="shared" si="1"/>
        <v>#DIV/0!</v>
      </c>
      <c r="I8" s="1362"/>
      <c r="J8" s="1362"/>
      <c r="T8" s="1363"/>
      <c r="U8" s="1363"/>
    </row>
    <row r="9" spans="1:21">
      <c r="A9" s="1355" t="s">
        <v>406</v>
      </c>
      <c r="B9" s="1359">
        <v>12544099.04</v>
      </c>
      <c r="C9" s="1359">
        <f>精铸BS!C8+新材料BS!D8+快速BS!D8+热等静压BS!C8</f>
        <v>504397.14</v>
      </c>
      <c r="D9" s="1360">
        <f t="shared" si="0"/>
        <v>-0.959790086287456</v>
      </c>
      <c r="E9" s="1358" t="s">
        <v>407</v>
      </c>
      <c r="F9" s="1357">
        <v>13567983.47</v>
      </c>
      <c r="G9" s="1357">
        <f>合并试算平衡表!K70</f>
        <v>1128557.48</v>
      </c>
      <c r="H9" s="1361">
        <f t="shared" si="1"/>
        <v>0.916822018357014</v>
      </c>
      <c r="I9" s="1362"/>
      <c r="J9" s="1362"/>
      <c r="T9" s="1363"/>
      <c r="U9" s="1363"/>
    </row>
    <row r="10" spans="1:21">
      <c r="A10" s="1355" t="s">
        <v>408</v>
      </c>
      <c r="B10" s="1359">
        <v>1000000</v>
      </c>
      <c r="C10" s="1359">
        <f>合并试算平衡表!K12</f>
        <v>0</v>
      </c>
      <c r="D10" s="1360">
        <f t="shared" si="0"/>
        <v>-1</v>
      </c>
      <c r="E10" s="1358" t="s">
        <v>409</v>
      </c>
      <c r="F10" s="1357">
        <v>96923783.05</v>
      </c>
      <c r="G10" s="1357">
        <f>合并试算平衡表!K71</f>
        <v>149330873.6</v>
      </c>
      <c r="H10" s="1361">
        <f t="shared" si="1"/>
        <v>-0.540704137837509</v>
      </c>
      <c r="I10" s="1362"/>
      <c r="J10" s="1362"/>
      <c r="T10" s="1363"/>
      <c r="U10" s="1363"/>
    </row>
    <row r="11" spans="1:21">
      <c r="A11" s="1355" t="s">
        <v>410</v>
      </c>
      <c r="B11" s="1359">
        <f>19238095.92+5358921.48</f>
        <v>24597017.4</v>
      </c>
      <c r="C11" s="1359">
        <f>合并试算平衡表!K14</f>
        <v>6766158.54</v>
      </c>
      <c r="D11" s="1360">
        <f t="shared" si="0"/>
        <v>-0.724919553051176</v>
      </c>
      <c r="E11" s="1358" t="s">
        <v>411</v>
      </c>
      <c r="F11" s="1357"/>
      <c r="G11" s="1357">
        <f>合并试算平衡表!K72</f>
        <v>3510493.86</v>
      </c>
      <c r="H11" s="1361" t="e">
        <f t="shared" si="1"/>
        <v>#DIV/0!</v>
      </c>
      <c r="I11" s="1362"/>
      <c r="J11" s="1362"/>
      <c r="T11" s="1363"/>
      <c r="U11" s="1363"/>
    </row>
    <row r="12" spans="1:21">
      <c r="A12" s="1355" t="s">
        <v>412</v>
      </c>
      <c r="B12" s="1359">
        <v>73111333.16</v>
      </c>
      <c r="C12" s="1359">
        <f>合并试算平衡表!K15</f>
        <v>115332025.16</v>
      </c>
      <c r="D12" s="1360">
        <f t="shared" si="0"/>
        <v>0.577484914788825</v>
      </c>
      <c r="E12" s="1358" t="s">
        <v>413</v>
      </c>
      <c r="F12" s="1357">
        <v>1253516.66</v>
      </c>
      <c r="G12" s="1357">
        <f>合并试算平衡表!K73</f>
        <v>5289417.98</v>
      </c>
      <c r="H12" s="1361">
        <f t="shared" ref="H12:H17" si="2">(F13-G13)/F13</f>
        <v>0.259777061003267</v>
      </c>
      <c r="I12" s="1362"/>
      <c r="J12" s="1362"/>
      <c r="T12" s="1363"/>
      <c r="U12" s="1363"/>
    </row>
    <row r="13" spans="1:21">
      <c r="A13" s="1355" t="s">
        <v>414</v>
      </c>
      <c r="B13" s="1359">
        <v>2052438.59</v>
      </c>
      <c r="C13" s="1359">
        <f>合并试算平衡表!K17</f>
        <v>7259283.37</v>
      </c>
      <c r="D13" s="1360">
        <f t="shared" si="0"/>
        <v>2.5369064903423</v>
      </c>
      <c r="E13" s="1358" t="s">
        <v>415</v>
      </c>
      <c r="F13" s="1357">
        <v>4312306.12</v>
      </c>
      <c r="G13" s="1357">
        <f>合并试算平衡表!K76</f>
        <v>3192067.91</v>
      </c>
      <c r="H13" s="1361">
        <f t="shared" si="2"/>
        <v>-0.498417603920637</v>
      </c>
      <c r="I13" s="1362"/>
      <c r="J13" s="1362"/>
      <c r="L13" s="1363"/>
      <c r="M13" s="1363"/>
      <c r="T13" s="1363"/>
      <c r="U13" s="1363"/>
    </row>
    <row r="14" spans="1:21">
      <c r="A14" s="1355" t="s">
        <v>416</v>
      </c>
      <c r="B14" s="1359"/>
      <c r="C14" s="1359">
        <f>合并试算平衡表!K21</f>
        <v>0</v>
      </c>
      <c r="D14" s="1360" t="e">
        <f t="shared" si="0"/>
        <v>#DIV/0!</v>
      </c>
      <c r="E14" s="1358" t="s">
        <v>417</v>
      </c>
      <c r="F14" s="1357">
        <v>492585.27</v>
      </c>
      <c r="G14" s="1357">
        <f>合并试算平衡表!K77</f>
        <v>738098.44</v>
      </c>
      <c r="H14" s="1361" t="e">
        <f t="shared" si="2"/>
        <v>#DIV/0!</v>
      </c>
      <c r="I14" s="1362"/>
      <c r="J14" s="1362"/>
      <c r="T14" s="1363"/>
      <c r="U14" s="1363"/>
    </row>
    <row r="15" spans="1:21">
      <c r="A15" s="1355" t="s">
        <v>418</v>
      </c>
      <c r="B15" s="1359"/>
      <c r="C15" s="1359">
        <f>合并试算平衡表!K22</f>
        <v>0</v>
      </c>
      <c r="D15" s="1360" t="e">
        <f t="shared" si="0"/>
        <v>#DIV/0!</v>
      </c>
      <c r="E15" s="1358" t="s">
        <v>419</v>
      </c>
      <c r="F15" s="1357"/>
      <c r="G15" s="1357">
        <f>合并试算平衡表!K78</f>
        <v>456186.27</v>
      </c>
      <c r="H15" s="1361" t="e">
        <f t="shared" si="2"/>
        <v>#DIV/0!</v>
      </c>
      <c r="I15" s="1362"/>
      <c r="J15" s="1362">
        <f>C17-C18-C19-C20-C21</f>
        <v>12320014</v>
      </c>
      <c r="K15" s="1364"/>
      <c r="T15" s="1363"/>
      <c r="U15" s="1363"/>
    </row>
    <row r="16" spans="1:21">
      <c r="A16" s="1355" t="s">
        <v>420</v>
      </c>
      <c r="B16" s="1359">
        <v>2579303.71</v>
      </c>
      <c r="C16" s="1359">
        <f>合并试算平衡表!K23</f>
        <v>721163.11</v>
      </c>
      <c r="D16" s="1360">
        <f t="shared" si="0"/>
        <v>-0.720403957392051</v>
      </c>
      <c r="E16" s="1358" t="s">
        <v>421</v>
      </c>
      <c r="F16" s="1357">
        <v>0</v>
      </c>
      <c r="G16" s="1357">
        <f>合并试算平衡表!K79</f>
        <v>0</v>
      </c>
      <c r="H16" s="1361">
        <f t="shared" si="2"/>
        <v>-1.87242360993186</v>
      </c>
      <c r="I16" s="1362"/>
      <c r="J16" s="1362"/>
      <c r="T16" s="1363"/>
      <c r="U16" s="1363"/>
    </row>
    <row r="17" ht="15.75" spans="1:21">
      <c r="A17" s="1355" t="s">
        <v>422</v>
      </c>
      <c r="B17" s="1359">
        <v>95998496.52</v>
      </c>
      <c r="C17" s="1359">
        <f>合并试算平衡表!K25</f>
        <v>113311288.21</v>
      </c>
      <c r="D17" s="1360">
        <f t="shared" si="0"/>
        <v>0.180344404522972</v>
      </c>
      <c r="E17" s="1358" t="s">
        <v>423</v>
      </c>
      <c r="F17" s="1357">
        <v>1212049.58</v>
      </c>
      <c r="G17" s="1357">
        <f>合并试算平衡表!K80</f>
        <v>3481519.83</v>
      </c>
      <c r="H17" s="1361">
        <f t="shared" si="2"/>
        <v>0.771170303879157</v>
      </c>
      <c r="I17" s="1362"/>
      <c r="J17" s="1362"/>
      <c r="T17" s="1363"/>
      <c r="U17" s="1363"/>
    </row>
    <row r="18" spans="1:21">
      <c r="A18" s="1355" t="s">
        <v>424</v>
      </c>
      <c r="B18" s="1359">
        <f>41437340.57-3089719.68</f>
        <v>38347620.89</v>
      </c>
      <c r="C18" s="1359">
        <f>精铸BS!C17+新材料BS!D17+快速BS!D17+热等静压BS!C17-合并调整抵消分录!F196-合并调整抵消分录!F177</f>
        <v>34554960.48</v>
      </c>
      <c r="D18" s="1360">
        <f t="shared" si="0"/>
        <v>-0.0989021045367908</v>
      </c>
      <c r="E18" s="1358" t="s">
        <v>425</v>
      </c>
      <c r="F18" s="1365">
        <v>36587570.94</v>
      </c>
      <c r="G18" s="1357">
        <f>合并试算平衡表!K86</f>
        <v>8372322.74</v>
      </c>
      <c r="H18" s="1361">
        <f>(F32-G32)/F32</f>
        <v>-5.2281142292776</v>
      </c>
      <c r="I18" s="1362">
        <v>17500000</v>
      </c>
      <c r="J18" s="1362" t="s">
        <v>426</v>
      </c>
      <c r="L18" s="1366" t="s">
        <v>427</v>
      </c>
      <c r="N18" s="1367" t="s">
        <v>428</v>
      </c>
      <c r="O18" s="1368" t="s">
        <v>429</v>
      </c>
      <c r="P18" s="1368" t="s">
        <v>430</v>
      </c>
      <c r="Q18" s="1369" t="s">
        <v>431</v>
      </c>
      <c r="R18" s="1370"/>
      <c r="T18" s="1363"/>
      <c r="U18" s="1363"/>
    </row>
    <row r="19" spans="1:21">
      <c r="A19" s="1355" t="s">
        <v>432</v>
      </c>
      <c r="B19" s="1359">
        <v>16077129.66</v>
      </c>
      <c r="C19" s="1359">
        <f>精铸BS!C18+新材料BS!D18+快速BS!D18+热等静压BS!C18</f>
        <v>21228692.36</v>
      </c>
      <c r="D19" s="1360">
        <f t="shared" si="0"/>
        <v>0.320428012272434</v>
      </c>
      <c r="E19" s="1371" t="s">
        <v>433</v>
      </c>
      <c r="F19" s="1372">
        <v>17887902.28</v>
      </c>
      <c r="G19" s="1357">
        <f>合并试算平衡表!K87</f>
        <v>4279795.62</v>
      </c>
      <c r="H19" s="1361" t="e">
        <f t="shared" ref="H19:H22" si="3">(F20-G20)/F20</f>
        <v>#DIV/0!</v>
      </c>
      <c r="I19" s="1362">
        <v>32500000</v>
      </c>
      <c r="J19" s="1362" t="s">
        <v>434</v>
      </c>
      <c r="K19" s="1373">
        <f>(C19-B19)/0.75</f>
        <v>6868750.26666667</v>
      </c>
      <c r="L19" s="1363">
        <f>K19/10000</f>
        <v>686.875026666667</v>
      </c>
      <c r="M19" s="1332" t="s">
        <v>435</v>
      </c>
      <c r="N19" s="1374">
        <f>(精铸BS!C18-精铸BS!B18)/0.75/10000</f>
        <v>549.151234666667</v>
      </c>
      <c r="O19" s="1363">
        <f>(新材料BS!D18-新材料BS!C18)/0.75/10000</f>
        <v>348.423945333333</v>
      </c>
      <c r="P19" s="1363">
        <f t="shared" ref="P19:P21" si="4">Q19+R19</f>
        <v>-210.700153333333</v>
      </c>
      <c r="Q19" s="1363">
        <f>(快速BS!D18-快速BS!C18)/0.75/10000</f>
        <v>-1045.651284</v>
      </c>
      <c r="R19" s="1375">
        <f t="shared" ref="R19:R21" si="5">L19-N19-O19-Q19</f>
        <v>834.951130666667</v>
      </c>
      <c r="T19" s="1363"/>
      <c r="U19" s="1363"/>
    </row>
    <row r="20" ht="15.75" spans="1:21">
      <c r="A20" s="1355" t="s">
        <v>436</v>
      </c>
      <c r="B20" s="1359">
        <f>12629783.6+32755178.75-3811216.38</f>
        <v>41573745.97</v>
      </c>
      <c r="C20" s="1359">
        <f>精铸BS!C19+新材料BS!D19+快速BS!D19+热等静压BS!C19</f>
        <v>44092936.58</v>
      </c>
      <c r="D20" s="1360">
        <f t="shared" si="0"/>
        <v>0.0605957089317347</v>
      </c>
      <c r="E20" s="1376"/>
      <c r="F20" s="1356"/>
      <c r="G20" s="1377">
        <v>0</v>
      </c>
      <c r="H20" s="1361" t="e">
        <f t="shared" si="3"/>
        <v>#DIV/0!</v>
      </c>
      <c r="I20" s="1362">
        <f>G18-I19</f>
        <v>-24127677.26</v>
      </c>
      <c r="J20" s="1362" t="s">
        <v>437</v>
      </c>
      <c r="K20" s="1373">
        <f>(C20-B20)/0.75+'利润表-合并'!C5</f>
        <v>137383223.873333</v>
      </c>
      <c r="L20" s="1363">
        <f>K20/10000</f>
        <v>13738.3223873333</v>
      </c>
      <c r="M20" s="1332" t="s">
        <v>438</v>
      </c>
      <c r="N20" s="1374">
        <f>((精铸BS!C19-精铸BS!B19)/0.75+精铸PL!C5)/10000</f>
        <v>192.748591666667</v>
      </c>
      <c r="O20" s="1363">
        <f>((新材料BS!D19-新材料BS!C19)/0.75+新材料PL!E6)/10000</f>
        <v>16099.639639</v>
      </c>
      <c r="P20" s="1363">
        <f t="shared" si="4"/>
        <v>-2554.06584333333</v>
      </c>
      <c r="Q20" s="1363">
        <f>((快速BS!D19-快速BS!C19)/0.75+快速PL!D6)/10000</f>
        <v>9242.90930333333</v>
      </c>
      <c r="R20" s="1375">
        <f t="shared" si="5"/>
        <v>-11796.9751466667</v>
      </c>
      <c r="T20" s="1363"/>
      <c r="U20" s="1363"/>
    </row>
    <row r="21" ht="16.5" spans="1:21">
      <c r="A21" s="1355" t="s">
        <v>439</v>
      </c>
      <c r="B21" s="1359">
        <v>0</v>
      </c>
      <c r="C21" s="1359">
        <f>精铸BS!C20+新材料BS!D20+快速BS!D20+热等静压BS!C20</f>
        <v>1114684.79</v>
      </c>
      <c r="D21" s="1360" t="e">
        <f t="shared" si="0"/>
        <v>#DIV/0!</v>
      </c>
      <c r="E21" s="1378"/>
      <c r="F21" s="1357"/>
      <c r="G21" s="1379">
        <v>0</v>
      </c>
      <c r="H21" s="1361" t="e">
        <f t="shared" si="3"/>
        <v>#DIV/0!</v>
      </c>
      <c r="I21" s="1362"/>
      <c r="J21" s="1362"/>
      <c r="K21" s="1373">
        <f t="shared" ref="K21:O21" si="6">K19+K20</f>
        <v>144251974.14</v>
      </c>
      <c r="L21" s="1363">
        <f t="shared" si="6"/>
        <v>14425.197414</v>
      </c>
      <c r="M21" s="1332" t="s">
        <v>440</v>
      </c>
      <c r="N21" s="1380">
        <f t="shared" si="6"/>
        <v>741.899826333333</v>
      </c>
      <c r="O21" s="1381">
        <f t="shared" si="6"/>
        <v>16448.0635843333</v>
      </c>
      <c r="P21" s="1381">
        <f t="shared" si="4"/>
        <v>-2764.76599666663</v>
      </c>
      <c r="Q21" s="1381">
        <f>Q19+Q20</f>
        <v>8197.25801933333</v>
      </c>
      <c r="R21" s="1382">
        <f t="shared" si="5"/>
        <v>-10962.024016</v>
      </c>
      <c r="T21" s="1363"/>
      <c r="U21" s="1363"/>
    </row>
    <row r="22" ht="15.75" spans="1:21">
      <c r="A22" s="1383" t="s">
        <v>441</v>
      </c>
      <c r="B22" s="1359"/>
      <c r="C22" s="1359"/>
      <c r="D22" s="1360" t="e">
        <f t="shared" si="0"/>
        <v>#DIV/0!</v>
      </c>
      <c r="E22" s="1378"/>
      <c r="F22" s="1357">
        <v>0</v>
      </c>
      <c r="G22" s="1379">
        <v>0</v>
      </c>
      <c r="H22" s="1361" t="e">
        <f t="shared" si="3"/>
        <v>#DIV/0!</v>
      </c>
      <c r="I22" s="1362"/>
      <c r="J22" s="1362"/>
      <c r="K22" s="1363"/>
      <c r="L22" s="1363"/>
      <c r="T22" s="1363"/>
      <c r="U22" s="1363"/>
    </row>
    <row r="23" spans="1:21">
      <c r="A23" s="1383" t="s">
        <v>442</v>
      </c>
      <c r="B23" s="1359">
        <v>2362971.95</v>
      </c>
      <c r="C23" s="1359">
        <f>合并试算平衡表!K26</f>
        <v>1426653.04</v>
      </c>
      <c r="D23" s="1360"/>
      <c r="E23" s="1358"/>
      <c r="F23" s="1357">
        <v>0</v>
      </c>
      <c r="G23" s="1357">
        <v>0</v>
      </c>
      <c r="H23" s="1361"/>
      <c r="I23" s="1362"/>
      <c r="J23" s="1362"/>
      <c r="K23" s="1363"/>
      <c r="L23" s="1363"/>
      <c r="M23" s="1373"/>
      <c r="T23" s="1363"/>
      <c r="U23" s="1363"/>
    </row>
    <row r="24" spans="1:21">
      <c r="A24" s="1355" t="s">
        <v>443</v>
      </c>
      <c r="B24" s="1359"/>
      <c r="C24" s="1359">
        <f>合并试算平衡表!K28</f>
        <v>0</v>
      </c>
      <c r="D24" s="1360" t="e">
        <f t="shared" ref="D24:D48" si="7">(C24-B24)/B24</f>
        <v>#DIV/0!</v>
      </c>
      <c r="E24" s="1358"/>
      <c r="F24" s="1357"/>
      <c r="G24" s="1357"/>
      <c r="H24" s="1361">
        <f t="shared" ref="H24:H30" si="8">(F25-G25)/F25</f>
        <v>-0.26036356117454</v>
      </c>
      <c r="I24" s="1362"/>
      <c r="J24" s="1362"/>
      <c r="K24" s="1363"/>
      <c r="L24" s="1363"/>
      <c r="T24" s="1363"/>
      <c r="U24" s="1363"/>
    </row>
    <row r="25" spans="1:21">
      <c r="A25" s="1355" t="s">
        <v>444</v>
      </c>
      <c r="B25" s="1359">
        <v>27074.08</v>
      </c>
      <c r="C25" s="1359">
        <f>合并试算平衡表!K29</f>
        <v>3625070.26</v>
      </c>
      <c r="D25" s="1360">
        <f t="shared" si="7"/>
        <v>132.894494660576</v>
      </c>
      <c r="E25" s="1384" t="s">
        <v>142</v>
      </c>
      <c r="F25" s="1385">
        <f>SUM(F7:F23)</f>
        <v>235115812.65</v>
      </c>
      <c r="G25" s="1385">
        <f>SUM(G7:G23)</f>
        <v>296331402.92</v>
      </c>
      <c r="H25" s="1361" t="e">
        <f t="shared" si="8"/>
        <v>#DIV/0!</v>
      </c>
      <c r="I25" s="1362">
        <f>G25/10000</f>
        <v>29633.140292</v>
      </c>
      <c r="J25" s="1362"/>
      <c r="K25" s="1363"/>
      <c r="L25" s="1363"/>
      <c r="T25" s="1363"/>
      <c r="U25" s="1363"/>
    </row>
    <row r="26" spans="1:21">
      <c r="A26" s="1386" t="s">
        <v>143</v>
      </c>
      <c r="B26" s="1387">
        <f>B7+B10+B11+B12+B13+B16+B17+B22+B25+B23</f>
        <v>254767020.05</v>
      </c>
      <c r="C26" s="1387">
        <f>C7+C10+C11+C12+C13+C16+C17+C22+C25+C23</f>
        <v>305414318.98</v>
      </c>
      <c r="D26" s="1360">
        <f t="shared" si="7"/>
        <v>0.198798490165878</v>
      </c>
      <c r="E26" s="1358" t="s">
        <v>445</v>
      </c>
      <c r="F26" s="1357">
        <v>0</v>
      </c>
      <c r="G26" s="1357">
        <v>0</v>
      </c>
      <c r="H26" s="1361">
        <f t="shared" si="8"/>
        <v>0.0258</v>
      </c>
      <c r="I26" s="1362"/>
      <c r="J26" s="1362"/>
      <c r="K26" s="1363">
        <f>K19/1.13+K20</f>
        <v>143461763.93233</v>
      </c>
      <c r="L26" s="1363">
        <f>K26/10000</f>
        <v>14346.176393233</v>
      </c>
      <c r="M26" s="1332" t="s">
        <v>446</v>
      </c>
      <c r="N26" s="1363">
        <f>((精铸BS!C18-精铸BS!B18+精铸BS!C19-精铸BS!B19)+精铸PL!C5)/10000</f>
        <v>728.794364</v>
      </c>
      <c r="O26" s="1363">
        <f>((新材料BS!C18-新材料BS!B18+新材料BS!C19-新材料BS!B19)+新材料PL!C6)/10000</f>
        <v>730.523324</v>
      </c>
      <c r="P26" s="1363" t="e">
        <f>Q26+R26</f>
        <v>#VALUE!</v>
      </c>
      <c r="Q26" s="1363" t="e">
        <f>((快速BS!C18-快速BS!B18+快速BS!C19-快速BS!B19)+快速PL!C5)/10000</f>
        <v>#VALUE!</v>
      </c>
      <c r="R26" s="1363" t="e">
        <f>L26-N26-O26-Q26</f>
        <v>#VALUE!</v>
      </c>
      <c r="T26" s="1363"/>
      <c r="U26" s="1363"/>
    </row>
    <row r="27" spans="1:21">
      <c r="A27" s="1388" t="s">
        <v>447</v>
      </c>
      <c r="B27" s="1356">
        <v>0</v>
      </c>
      <c r="C27" s="1356">
        <v>0</v>
      </c>
      <c r="D27" s="1360" t="e">
        <f t="shared" si="7"/>
        <v>#DIV/0!</v>
      </c>
      <c r="E27" s="1358" t="s">
        <v>448</v>
      </c>
      <c r="F27" s="1357">
        <v>50000000</v>
      </c>
      <c r="G27" s="1357">
        <f>合并试算平衡表!K90</f>
        <v>48710000</v>
      </c>
      <c r="H27" s="1361" t="e">
        <f t="shared" si="8"/>
        <v>#DIV/0!</v>
      </c>
      <c r="I27" s="1362"/>
      <c r="J27" s="1362"/>
      <c r="T27" s="1363"/>
      <c r="U27" s="1363"/>
    </row>
    <row r="28" spans="1:21">
      <c r="A28" s="1355" t="s">
        <v>449</v>
      </c>
      <c r="B28" s="1356"/>
      <c r="C28" s="1356">
        <f>合并试算平衡表!K33</f>
        <v>0</v>
      </c>
      <c r="D28" s="1360" t="e">
        <f t="shared" si="7"/>
        <v>#DIV/0!</v>
      </c>
      <c r="E28" s="1358" t="s">
        <v>450</v>
      </c>
      <c r="F28" s="1357"/>
      <c r="G28" s="1357">
        <f>合并试算平衡表!K91</f>
        <v>0</v>
      </c>
      <c r="H28" s="1361">
        <f t="shared" si="8"/>
        <v>1</v>
      </c>
      <c r="I28" s="1362"/>
      <c r="J28" s="1362"/>
      <c r="K28" s="1363"/>
      <c r="L28" s="1363"/>
      <c r="T28" s="1363"/>
      <c r="U28" s="1363"/>
    </row>
    <row r="29" spans="1:21">
      <c r="A29" s="1355" t="s">
        <v>451</v>
      </c>
      <c r="B29" s="1356"/>
      <c r="C29" s="1356">
        <f>合并试算平衡表!K34</f>
        <v>0</v>
      </c>
      <c r="D29" s="1360" t="e">
        <f t="shared" si="7"/>
        <v>#DIV/0!</v>
      </c>
      <c r="E29" s="1358" t="s">
        <v>452</v>
      </c>
      <c r="F29" s="1357">
        <v>2447726.48</v>
      </c>
      <c r="G29" s="1357">
        <f>合并试算平衡表!K94</f>
        <v>0</v>
      </c>
      <c r="H29" s="1361" t="e">
        <f t="shared" si="8"/>
        <v>#DIV/0!</v>
      </c>
      <c r="I29" s="1362"/>
      <c r="J29" s="1362"/>
      <c r="L29" s="1363"/>
      <c r="T29" s="1363"/>
      <c r="U29" s="1363"/>
    </row>
    <row r="30" spans="1:21">
      <c r="A30" s="1355" t="s">
        <v>453</v>
      </c>
      <c r="B30" s="1359">
        <v>22650</v>
      </c>
      <c r="C30" s="1356">
        <f>合并试算平衡表!K35</f>
        <v>0</v>
      </c>
      <c r="D30" s="1360">
        <f t="shared" si="7"/>
        <v>-1</v>
      </c>
      <c r="E30" s="1358" t="s">
        <v>454</v>
      </c>
      <c r="F30" s="1357"/>
      <c r="G30" s="1357">
        <v>0</v>
      </c>
      <c r="H30" s="1361" t="e">
        <f t="shared" si="8"/>
        <v>#DIV/0!</v>
      </c>
      <c r="I30" s="1362"/>
      <c r="J30" s="1362"/>
      <c r="T30" s="1363"/>
      <c r="U30" s="1363"/>
    </row>
    <row r="31" spans="1:21">
      <c r="A31" s="1355" t="s">
        <v>455</v>
      </c>
      <c r="B31" s="1359"/>
      <c r="C31" s="1356">
        <f>合并试算平衡表!K36</f>
        <v>0</v>
      </c>
      <c r="D31" s="1360" t="e">
        <f t="shared" si="7"/>
        <v>#DIV/0!</v>
      </c>
      <c r="E31" s="1358" t="s">
        <v>456</v>
      </c>
      <c r="F31" s="1357"/>
      <c r="G31" s="1357"/>
      <c r="H31" s="1361" t="e">
        <f t="shared" ref="H31:H43" si="9">(F33-G33)/F33</f>
        <v>#DIV/0!</v>
      </c>
      <c r="I31" s="1362"/>
      <c r="J31" s="1362"/>
      <c r="L31" s="1363"/>
      <c r="T31" s="1363"/>
      <c r="U31" s="1363"/>
    </row>
    <row r="32" spans="1:21">
      <c r="A32" s="1355" t="s">
        <v>457</v>
      </c>
      <c r="B32" s="1359"/>
      <c r="C32" s="1356">
        <f>合并试算平衡表!K39</f>
        <v>0</v>
      </c>
      <c r="D32" s="1360" t="e">
        <f t="shared" si="7"/>
        <v>#DIV/0!</v>
      </c>
      <c r="E32" s="1358" t="s">
        <v>458</v>
      </c>
      <c r="F32" s="1357">
        <v>5448006.79</v>
      </c>
      <c r="G32" s="1357">
        <f>合并试算平衡表!K98</f>
        <v>33930808.61</v>
      </c>
      <c r="H32" s="1361" t="e">
        <f t="shared" si="9"/>
        <v>#DIV/0!</v>
      </c>
      <c r="I32" s="1362"/>
      <c r="J32" s="1362"/>
      <c r="T32" s="1363"/>
      <c r="U32" s="1363"/>
    </row>
    <row r="33" spans="1:21">
      <c r="A33" s="1355" t="s">
        <v>459</v>
      </c>
      <c r="B33" s="1359">
        <v>327289588.35</v>
      </c>
      <c r="C33" s="1356">
        <f>合并试算平衡表!K40</f>
        <v>363761630.43</v>
      </c>
      <c r="D33" s="1360">
        <f t="shared" si="7"/>
        <v>0.111436609590517</v>
      </c>
      <c r="E33" s="1389" t="s">
        <v>460</v>
      </c>
      <c r="F33" s="1357">
        <v>0</v>
      </c>
      <c r="G33" s="1357">
        <f>合并试算平衡表!K99</f>
        <v>0</v>
      </c>
      <c r="H33" s="1361">
        <f t="shared" si="9"/>
        <v>-0.427407581567366</v>
      </c>
      <c r="I33" s="1362"/>
      <c r="J33" s="1362"/>
      <c r="K33" s="1363">
        <f>C33-B33</f>
        <v>36472042.0799999</v>
      </c>
      <c r="L33" s="1363">
        <f>ROUND(K33/10000,2)</f>
        <v>3647.2</v>
      </c>
      <c r="M33" s="1332" t="s">
        <v>461</v>
      </c>
      <c r="T33" s="1363"/>
      <c r="U33" s="1363"/>
    </row>
    <row r="34" spans="1:21">
      <c r="A34" s="1355" t="s">
        <v>462</v>
      </c>
      <c r="B34" s="1359">
        <v>115189259.78</v>
      </c>
      <c r="C34" s="1356">
        <f>合并试算平衡表!K41</f>
        <v>168509461.95</v>
      </c>
      <c r="D34" s="1360">
        <f t="shared" si="7"/>
        <v>0.46289213310196</v>
      </c>
      <c r="E34" s="1358" t="s">
        <v>463</v>
      </c>
      <c r="F34" s="1357">
        <v>0</v>
      </c>
      <c r="G34" s="1357">
        <f>合并试算平衡表!K100</f>
        <v>0</v>
      </c>
      <c r="H34" s="1361">
        <f t="shared" si="9"/>
        <v>-0.293369550814457</v>
      </c>
      <c r="I34" s="1362"/>
      <c r="J34" s="1362"/>
      <c r="K34" s="1363">
        <f>C34-B34</f>
        <v>53320202.17</v>
      </c>
      <c r="L34" s="1363">
        <f>ROUND(K34/10000,2)</f>
        <v>5332.02</v>
      </c>
      <c r="M34" s="1332" t="s">
        <v>464</v>
      </c>
      <c r="T34" s="1363"/>
      <c r="U34" s="1363"/>
    </row>
    <row r="35" spans="1:21">
      <c r="A35" s="1355" t="s">
        <v>465</v>
      </c>
      <c r="B35" s="1359">
        <v>212100328.57</v>
      </c>
      <c r="C35" s="1356">
        <f>C33-C34</f>
        <v>195252168.48</v>
      </c>
      <c r="D35" s="1360">
        <f t="shared" si="7"/>
        <v>-0.0794348608679293</v>
      </c>
      <c r="E35" s="1384" t="s">
        <v>165</v>
      </c>
      <c r="F35" s="1385">
        <f>SUM(F27:F34)</f>
        <v>57895733.27</v>
      </c>
      <c r="G35" s="1385">
        <f>SUM(G27:G34)</f>
        <v>82640808.61</v>
      </c>
      <c r="H35" s="1361" t="e">
        <f t="shared" si="9"/>
        <v>#DIV/0!</v>
      </c>
      <c r="I35" s="1362"/>
      <c r="J35" s="1390" t="s">
        <v>466</v>
      </c>
      <c r="T35" s="1363"/>
      <c r="U35" s="1363"/>
    </row>
    <row r="36" spans="1:21">
      <c r="A36" s="1355" t="s">
        <v>467</v>
      </c>
      <c r="B36" s="1359">
        <v>16311724.78</v>
      </c>
      <c r="C36" s="1356">
        <f>合并试算平衡表!K45</f>
        <v>42663259.62</v>
      </c>
      <c r="D36" s="1360">
        <f t="shared" si="7"/>
        <v>1.61549653365351</v>
      </c>
      <c r="E36" s="1384" t="s">
        <v>167</v>
      </c>
      <c r="F36" s="1385">
        <f>F25+F35</f>
        <v>293011545.92</v>
      </c>
      <c r="G36" s="1385">
        <f>G25+G35</f>
        <v>378972211.53</v>
      </c>
      <c r="H36" s="1361">
        <f t="shared" si="9"/>
        <v>-0.00997325298982384</v>
      </c>
      <c r="I36" s="1362"/>
      <c r="J36" s="1362"/>
      <c r="K36" s="1363"/>
      <c r="O36" s="1363"/>
      <c r="P36" s="1363"/>
      <c r="T36" s="1363"/>
      <c r="U36" s="1363"/>
    </row>
    <row r="37" spans="1:21">
      <c r="A37" s="1355" t="s">
        <v>468</v>
      </c>
      <c r="B37" s="1359"/>
      <c r="C37" s="1356">
        <f>合并试算平衡表!K46</f>
        <v>0</v>
      </c>
      <c r="D37" s="1360" t="e">
        <f t="shared" si="7"/>
        <v>#DIV/0!</v>
      </c>
      <c r="E37" s="1358" t="s">
        <v>469</v>
      </c>
      <c r="F37" s="1357">
        <v>0</v>
      </c>
      <c r="G37" s="1357">
        <v>0</v>
      </c>
      <c r="H37" s="1361">
        <f t="shared" si="9"/>
        <v>-0.117865546252615</v>
      </c>
      <c r="I37" s="1362"/>
      <c r="J37" s="1362"/>
      <c r="K37" s="1373">
        <v>13447320.99</v>
      </c>
      <c r="L37" s="1363"/>
      <c r="T37" s="1363"/>
      <c r="U37" s="1363"/>
    </row>
    <row r="38" spans="1:21">
      <c r="A38" s="1355" t="s">
        <v>470</v>
      </c>
      <c r="B38" s="1359"/>
      <c r="C38" s="1356">
        <f>合并试算平衡表!K47</f>
        <v>0</v>
      </c>
      <c r="D38" s="1360" t="e">
        <f t="shared" si="7"/>
        <v>#DIV/0!</v>
      </c>
      <c r="E38" s="1358" t="s">
        <v>471</v>
      </c>
      <c r="F38" s="1357">
        <v>260216000</v>
      </c>
      <c r="G38" s="1359">
        <f>合并试算平衡表!K104</f>
        <v>262811200</v>
      </c>
      <c r="H38" s="1361" t="e">
        <f t="shared" si="9"/>
        <v>#DIV/0!</v>
      </c>
      <c r="I38" s="1362"/>
      <c r="J38" s="1362"/>
      <c r="L38" s="1363"/>
      <c r="T38" s="1363"/>
      <c r="U38" s="1363"/>
    </row>
    <row r="39" spans="1:21">
      <c r="A39" s="1355" t="s">
        <v>472</v>
      </c>
      <c r="B39" s="1359"/>
      <c r="C39" s="1356">
        <f>合并试算平衡表!K48</f>
        <v>0</v>
      </c>
      <c r="D39" s="1360" t="e">
        <f t="shared" si="7"/>
        <v>#DIV/0!</v>
      </c>
      <c r="E39" s="1358" t="s">
        <v>473</v>
      </c>
      <c r="F39" s="1357">
        <v>105245344.33</v>
      </c>
      <c r="G39" s="1359">
        <f>合并试算平衡表!K108</f>
        <v>117650144.33</v>
      </c>
      <c r="H39" s="1361" t="e">
        <f t="shared" si="9"/>
        <v>#DIV/0!</v>
      </c>
      <c r="I39" s="1362"/>
      <c r="J39" s="1362"/>
      <c r="O39" s="1363"/>
      <c r="P39" s="1363"/>
      <c r="T39" s="1363"/>
      <c r="U39" s="1363"/>
    </row>
    <row r="40" spans="1:21">
      <c r="A40" s="1355" t="s">
        <v>474</v>
      </c>
      <c r="B40" s="1359"/>
      <c r="C40" s="1356">
        <f>合并试算平衡表!K49</f>
        <v>0</v>
      </c>
      <c r="D40" s="1360" t="e">
        <f t="shared" si="7"/>
        <v>#DIV/0!</v>
      </c>
      <c r="E40" s="1358" t="s">
        <v>475</v>
      </c>
      <c r="F40" s="1357"/>
      <c r="G40" s="1391"/>
      <c r="H40" s="1361">
        <f t="shared" si="9"/>
        <v>-0.363911114466717</v>
      </c>
      <c r="I40" s="1392"/>
      <c r="J40" s="1362"/>
      <c r="K40" s="1363"/>
      <c r="L40" s="1363"/>
      <c r="M40" s="1363"/>
      <c r="T40" s="1363"/>
      <c r="U40" s="1363"/>
    </row>
    <row r="41" spans="1:21">
      <c r="A41" s="1355" t="s">
        <v>476</v>
      </c>
      <c r="B41" s="1359">
        <v>12866865.36</v>
      </c>
      <c r="C41" s="1356">
        <f>合并试算平衡表!K50</f>
        <v>13011878.2</v>
      </c>
      <c r="D41" s="1360">
        <f t="shared" si="7"/>
        <v>0.0112702539385241</v>
      </c>
      <c r="E41" s="1358" t="s">
        <v>477</v>
      </c>
      <c r="F41" s="1357">
        <v>0</v>
      </c>
      <c r="G41" s="1391">
        <f>合并试算平衡表!K112</f>
        <v>0</v>
      </c>
      <c r="H41" s="1361">
        <f t="shared" si="9"/>
        <v>0.165675027675468</v>
      </c>
      <c r="I41" s="1362"/>
      <c r="J41" s="1362"/>
      <c r="K41" s="1363"/>
      <c r="L41" s="1363"/>
      <c r="M41" s="1363"/>
      <c r="N41" s="1363"/>
      <c r="O41" s="1363"/>
      <c r="P41" s="1363"/>
      <c r="T41" s="1363"/>
      <c r="U41" s="1363"/>
    </row>
    <row r="42" spans="1:21">
      <c r="A42" s="1355" t="s">
        <v>478</v>
      </c>
      <c r="B42" s="1359"/>
      <c r="C42" s="1356">
        <f>合并试算平衡表!K51</f>
        <v>0</v>
      </c>
      <c r="D42" s="1360" t="e">
        <f t="shared" si="7"/>
        <v>#DIV/0!</v>
      </c>
      <c r="E42" s="1358" t="s">
        <v>479</v>
      </c>
      <c r="F42" s="1357">
        <v>-142654447.17</v>
      </c>
      <c r="G42" s="1391">
        <f>合并试算平衡表!K114</f>
        <v>-194567986.023268</v>
      </c>
      <c r="H42" s="1361">
        <f t="shared" si="9"/>
        <v>0.0373228806096381</v>
      </c>
      <c r="I42" s="1362">
        <f>G42-F42-'利润表-合并'!C30</f>
        <v>-34560775.1900001</v>
      </c>
      <c r="J42" s="1393"/>
      <c r="K42" s="1373"/>
      <c r="L42" s="1363"/>
      <c r="T42" s="1363"/>
      <c r="U42" s="1363"/>
    </row>
    <row r="43" spans="1:21">
      <c r="A43" s="1355" t="s">
        <v>480</v>
      </c>
      <c r="B43" s="1359">
        <v>4811701.9</v>
      </c>
      <c r="C43" s="1356">
        <f>合并试算平衡表!K52</f>
        <v>4043375.5</v>
      </c>
      <c r="D43" s="1360">
        <f t="shared" si="7"/>
        <v>-0.15967871991405</v>
      </c>
      <c r="E43" s="1384" t="s">
        <v>181</v>
      </c>
      <c r="F43" s="1394">
        <f>SUM(F38:F42)</f>
        <v>222806897.16</v>
      </c>
      <c r="G43" s="1394">
        <f>G38+G39+G42</f>
        <v>185893358.306732</v>
      </c>
      <c r="H43" s="1361">
        <f t="shared" si="9"/>
        <v>0.164612993295886</v>
      </c>
      <c r="I43" s="1362"/>
      <c r="J43" s="1362"/>
      <c r="K43" s="1395"/>
      <c r="M43" s="1363"/>
      <c r="T43" s="1363"/>
      <c r="U43" s="1363"/>
    </row>
    <row r="44" spans="1:21">
      <c r="A44" s="1355" t="s">
        <v>481</v>
      </c>
      <c r="B44" s="1359">
        <v>4561500.78</v>
      </c>
      <c r="C44" s="1356">
        <f>合并试算平衡表!K53</f>
        <v>3260114.95</v>
      </c>
      <c r="D44" s="1360">
        <f t="shared" si="7"/>
        <v>-0.285297732646666</v>
      </c>
      <c r="E44" s="1378" t="s">
        <v>482</v>
      </c>
      <c r="F44" s="1357">
        <v>1858970.66</v>
      </c>
      <c r="G44" s="1391">
        <f>合并试算平衡表!K116</f>
        <v>1789588.52</v>
      </c>
      <c r="H44" s="1361" t="e">
        <f>(#REF!-#REF!)/#REF!</f>
        <v>#REF!</v>
      </c>
      <c r="I44" s="1362">
        <f>G44-F44</f>
        <v>-69382.1400000001</v>
      </c>
      <c r="J44" s="1362"/>
      <c r="T44" s="1363"/>
      <c r="U44" s="1363"/>
    </row>
    <row r="45" spans="1:21">
      <c r="A45" s="1355" t="s">
        <v>483</v>
      </c>
      <c r="B45" s="1359">
        <v>102931.58</v>
      </c>
      <c r="C45" s="1356">
        <f>合并试算平衡表!K54</f>
        <v>10042.63</v>
      </c>
      <c r="D45" s="1360">
        <f t="shared" si="7"/>
        <v>-0.902433927469101</v>
      </c>
      <c r="E45" s="1384" t="s">
        <v>185</v>
      </c>
      <c r="F45" s="1394">
        <f>F43+F44</f>
        <v>224665867.82</v>
      </c>
      <c r="G45" s="1394">
        <f>G43+G44</f>
        <v>187682946.826732</v>
      </c>
      <c r="H45" s="1361" t="e">
        <f>(F46-G46)/F46</f>
        <v>#DIV/0!</v>
      </c>
      <c r="I45" s="1362"/>
      <c r="J45" s="1362"/>
      <c r="L45" s="1363"/>
      <c r="T45" s="1363"/>
      <c r="U45" s="1363"/>
    </row>
    <row r="46" ht="15.75" spans="1:21">
      <c r="A46" s="1396" t="s">
        <v>484</v>
      </c>
      <c r="B46" s="1359">
        <f>11281777.56+850913.16</f>
        <v>12132690.72</v>
      </c>
      <c r="C46" s="1356">
        <f>合并试算平衡表!K55</f>
        <v>0</v>
      </c>
      <c r="D46" s="1360">
        <f t="shared" si="7"/>
        <v>-1</v>
      </c>
      <c r="E46" s="1378"/>
      <c r="F46" s="1357">
        <v>0</v>
      </c>
      <c r="G46" s="1379">
        <v>0</v>
      </c>
      <c r="H46" s="1361" t="e">
        <f>(F47-G47)/F47</f>
        <v>#DIV/0!</v>
      </c>
      <c r="I46" s="1362"/>
      <c r="J46" s="1362"/>
      <c r="M46" s="1363"/>
      <c r="T46" s="1363"/>
      <c r="U46" s="1363"/>
    </row>
    <row r="47" ht="15.75" spans="1:21">
      <c r="A47" s="1386" t="s">
        <v>187</v>
      </c>
      <c r="B47" s="1387">
        <f>B35+B36+B41+B43+B44+B45+B46+B31+B37+B30</f>
        <v>262910393.69</v>
      </c>
      <c r="C47" s="1387">
        <f>C35+C36+C41+C43+C44+C45+C46+C31+C37+C30</f>
        <v>258240839.38</v>
      </c>
      <c r="D47" s="1360">
        <f t="shared" si="7"/>
        <v>-0.0177610106791973</v>
      </c>
      <c r="E47" s="1358"/>
      <c r="F47" s="1357">
        <v>0</v>
      </c>
      <c r="G47" s="1379">
        <v>0</v>
      </c>
      <c r="H47" s="1361" t="e">
        <f>(#REF!-#REF!)/#REF!</f>
        <v>#REF!</v>
      </c>
      <c r="I47" s="1362"/>
      <c r="J47" s="1362"/>
      <c r="T47" s="1363"/>
      <c r="U47" s="1363"/>
    </row>
    <row r="48" spans="1:21">
      <c r="A48" s="1386" t="s">
        <v>188</v>
      </c>
      <c r="B48" s="1387">
        <f>B47+B26</f>
        <v>517677413.74</v>
      </c>
      <c r="C48" s="1387">
        <f>C47+C26</f>
        <v>563655158.36</v>
      </c>
      <c r="D48" s="1360">
        <f t="shared" si="7"/>
        <v>0.0888154348628621</v>
      </c>
      <c r="E48" s="1384" t="s">
        <v>189</v>
      </c>
      <c r="F48" s="1385">
        <f>F45+F36</f>
        <v>517677413.74</v>
      </c>
      <c r="G48" s="1385">
        <f>G45+G36</f>
        <v>566655158.356732</v>
      </c>
      <c r="H48" s="1361">
        <f>(F48-G48)/F48</f>
        <v>-0.0946105495754365</v>
      </c>
      <c r="I48" s="1362"/>
      <c r="J48" s="1362"/>
      <c r="K48" s="1397"/>
      <c r="L48" s="1397"/>
      <c r="M48" s="1397"/>
      <c r="T48" s="1363"/>
      <c r="U48" s="1363"/>
    </row>
    <row r="49" ht="15.75" spans="1:13">
      <c r="A49" s="1398"/>
      <c r="B49" s="1399"/>
      <c r="C49" s="1399"/>
      <c r="D49" s="1399"/>
      <c r="E49" s="1400"/>
      <c r="F49" s="1399"/>
      <c r="G49" s="1379"/>
      <c r="H49" s="1401"/>
      <c r="I49" s="1401"/>
      <c r="J49" s="1401"/>
    </row>
    <row r="50" spans="1:13">
      <c r="I50" s="1393"/>
    </row>
    <row r="51" spans="1:13">
      <c r="B51" s="1359"/>
      <c r="C51" s="1359">
        <f>C48/1000</f>
        <v>563655.15836</v>
      </c>
      <c r="D51" s="1402"/>
      <c r="F51" s="1403">
        <f>B48-F48</f>
        <v>0</v>
      </c>
      <c r="G51" s="1403">
        <f>G48-C48</f>
        <v>2999999.99673212</v>
      </c>
      <c r="I51" s="1393"/>
      <c r="J51" s="1393">
        <f>I42/0.7778</f>
        <v>-44434012.8439189</v>
      </c>
    </row>
    <row r="52" spans="1:13">
      <c r="E52" s="1373"/>
      <c r="M52" s="1363"/>
    </row>
    <row r="53" spans="1:13">
      <c r="E53" s="1373"/>
    </row>
    <row r="54" spans="1:13">
      <c r="E54" s="1373"/>
      <c r="I54" s="1393"/>
    </row>
    <row r="55" spans="1:13">
      <c r="E55" s="1373"/>
      <c r="F55" s="1404">
        <f>F36/B48</f>
        <v>0.566011840854936</v>
      </c>
      <c r="G55" s="1404">
        <f>(G36)/(C48)</f>
        <v>0.672347632961704</v>
      </c>
      <c r="I55" s="1405"/>
      <c r="K55" s="1363"/>
    </row>
    <row r="56" spans="1:13">
      <c r="E56" s="1373"/>
    </row>
    <row r="58" spans="1:13">
      <c r="C58" s="1333">
        <f>C48+G59+G60-G61</f>
        <v>823655158.36</v>
      </c>
    </row>
    <row r="59" spans="1:13">
      <c r="C59" s="1333">
        <f>G36+G59-G61</f>
        <v>338972211.53</v>
      </c>
      <c r="G59" s="1333">
        <v>10000000</v>
      </c>
      <c r="I59" s="1406" t="s">
        <v>485</v>
      </c>
    </row>
    <row r="60" spans="1:13">
      <c r="C60" s="1407">
        <f>C59/C58</f>
        <v>0.411546274055924</v>
      </c>
      <c r="G60" s="1333">
        <v>300000000</v>
      </c>
      <c r="I60" s="1406" t="s">
        <v>486</v>
      </c>
    </row>
    <row r="61" spans="1:13">
      <c r="G61" s="1333">
        <v>50000000</v>
      </c>
      <c r="I61" s="1406" t="s">
        <v>487</v>
      </c>
    </row>
    <row r="65" spans="11:12">
      <c r="K65" s="1332" t="s">
        <v>488</v>
      </c>
      <c r="L65" s="1363">
        <f>'利润表-合并'!C5</f>
        <v>134024303.06</v>
      </c>
    </row>
    <row r="66" spans="11:12">
      <c r="K66" s="1332" t="s">
        <v>489</v>
      </c>
      <c r="L66" s="1363">
        <f>'利润表-合并'!C28</f>
        <v>-17309511.78</v>
      </c>
    </row>
    <row r="67" spans="11:12">
      <c r="K67" s="1332" t="s">
        <v>490</v>
      </c>
      <c r="L67" s="1364">
        <f>M43</f>
        <v>0</v>
      </c>
    </row>
  </sheetData>
  <autoFilter xmlns:etc="http://www.wps.cn/officeDocument/2017/etCustomData" ref="A5:R48" etc:filterBottomFollowUsedRange="0">
    <extLst/>
  </autoFilter>
  <mergeCells count="2">
    <mergeCell ref="A1:G1"/>
    <mergeCell ref="A3:B3"/>
  </mergeCells>
  <pageMargins left="0.118110236220472" right="0.118110236220472" top="0.15748031496063" bottom="0.15748031496063" header="0.31496062992126" footer="0.31496062992126"/>
  <pageSetup paperSize="9" scale="92" orientation="landscape"/>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J44"/>
  <sheetViews>
    <sheetView tabSelected="1" view="pageBreakPreview" zoomScale="145" zoomScaleNormal="100" workbookViewId="0">
      <pane xSplit="2" ySplit="4" topLeftCell="C5" activePane="bottomRight" state="frozen"/>
      <selection/>
      <selection pane="topRight"/>
      <selection pane="bottomLeft"/>
      <selection pane="bottomRight" activeCell="E39" sqref="E39"/>
    </sheetView>
  </sheetViews>
  <sheetFormatPr defaultColWidth="9" defaultRowHeight="14.25"/>
  <cols>
    <col min="1" max="1" width="24.875" style="816" customWidth="1"/>
    <col min="2" max="2" width="6.125" style="816" customWidth="1"/>
    <col min="3" max="3" width="13.5833333333333" style="816" customWidth="1"/>
    <col min="4" max="4" width="12.75" style="816" customWidth="1"/>
    <col min="5" max="5" width="37.125" style="816" customWidth="1"/>
    <col min="6" max="6" width="5.875" style="816" customWidth="1"/>
    <col min="7" max="8" width="14.1666666666667" style="816" customWidth="1"/>
    <col min="9" max="9" width="15.875" style="816" customWidth="1"/>
    <col min="10" max="10" width="15.1916666666667" style="816"/>
    <col min="11" max="16384" width="9" style="816"/>
  </cols>
  <sheetData>
    <row r="1" ht="27" spans="1:8">
      <c r="A1" s="1307"/>
      <c r="B1" s="1307" t="s">
        <v>491</v>
      </c>
      <c r="C1" s="1308" t="s">
        <v>492</v>
      </c>
      <c r="D1" s="1308"/>
      <c r="E1" s="1308"/>
      <c r="F1" s="1307" t="s">
        <v>491</v>
      </c>
      <c r="G1" s="1307" t="s">
        <v>491</v>
      </c>
      <c r="H1" s="1307" t="s">
        <v>491</v>
      </c>
    </row>
    <row r="2" spans="1:8">
      <c r="A2" s="1307" t="s">
        <v>491</v>
      </c>
      <c r="B2" s="1307" t="s">
        <v>491</v>
      </c>
      <c r="C2" s="1307" t="s">
        <v>491</v>
      </c>
      <c r="D2" s="1307" t="s">
        <v>491</v>
      </c>
      <c r="E2" s="1307" t="s">
        <v>491</v>
      </c>
      <c r="F2" s="1307" t="s">
        <v>491</v>
      </c>
      <c r="G2" s="1309" t="s">
        <v>493</v>
      </c>
      <c r="H2" s="1309"/>
    </row>
    <row r="3" ht="15" spans="1:8">
      <c r="A3" s="1310" t="s">
        <v>494</v>
      </c>
      <c r="B3" s="1310"/>
      <c r="C3" s="1310"/>
      <c r="D3" s="1311" t="s">
        <v>491</v>
      </c>
      <c r="E3" s="1312">
        <f>基本信息!B14</f>
        <v>45991</v>
      </c>
      <c r="F3" s="1307" t="s">
        <v>491</v>
      </c>
      <c r="G3" s="1309" t="s">
        <v>495</v>
      </c>
      <c r="H3" s="1309"/>
    </row>
    <row r="4" ht="15" spans="1:8">
      <c r="A4" s="1313" t="s">
        <v>496</v>
      </c>
      <c r="B4" s="1313" t="s">
        <v>285</v>
      </c>
      <c r="C4" s="1313" t="s">
        <v>286</v>
      </c>
      <c r="D4" s="1313" t="s">
        <v>497</v>
      </c>
      <c r="E4" s="1313" t="s">
        <v>498</v>
      </c>
      <c r="F4" s="1313" t="s">
        <v>285</v>
      </c>
      <c r="G4" s="1313" t="s">
        <v>286</v>
      </c>
      <c r="H4" s="1314" t="s">
        <v>497</v>
      </c>
    </row>
    <row r="5" spans="1:8">
      <c r="A5" s="1315" t="s">
        <v>499</v>
      </c>
      <c r="B5" s="1316" t="s">
        <v>292</v>
      </c>
      <c r="C5" s="1317" t="s">
        <v>500</v>
      </c>
      <c r="D5" s="1317" t="s">
        <v>500</v>
      </c>
      <c r="E5" s="1318" t="s">
        <v>501</v>
      </c>
      <c r="F5" s="1316" t="s">
        <v>351</v>
      </c>
      <c r="G5" s="1319">
        <v>0</v>
      </c>
      <c r="H5" s="1319">
        <v>0</v>
      </c>
    </row>
    <row r="6" spans="1:8">
      <c r="A6" s="1318" t="s">
        <v>502</v>
      </c>
      <c r="B6" s="1316" t="s">
        <v>295</v>
      </c>
      <c r="C6" s="1319">
        <v>10324669.76</v>
      </c>
      <c r="D6" s="1319">
        <v>92773879.07</v>
      </c>
      <c r="E6" s="1318" t="s">
        <v>503</v>
      </c>
      <c r="F6" s="1316" t="s">
        <v>353</v>
      </c>
      <c r="G6" s="1319">
        <v>0</v>
      </c>
      <c r="H6" s="1319">
        <v>0</v>
      </c>
    </row>
    <row r="7" spans="1:8">
      <c r="A7" s="1318" t="s">
        <v>504</v>
      </c>
      <c r="B7" s="1316" t="s">
        <v>297</v>
      </c>
      <c r="C7" s="1319">
        <v>0</v>
      </c>
      <c r="D7" s="1319">
        <v>0</v>
      </c>
      <c r="E7" s="1318" t="s">
        <v>505</v>
      </c>
      <c r="F7" s="1316" t="s">
        <v>355</v>
      </c>
      <c r="G7" s="1319">
        <v>0</v>
      </c>
      <c r="H7" s="1319">
        <v>0</v>
      </c>
    </row>
    <row r="8" spans="1:8">
      <c r="A8" s="1318" t="s">
        <v>506</v>
      </c>
      <c r="B8" s="1316" t="s">
        <v>299</v>
      </c>
      <c r="C8" s="1319">
        <v>0</v>
      </c>
      <c r="D8" s="1319">
        <v>0</v>
      </c>
      <c r="E8" s="1320" t="s">
        <v>507</v>
      </c>
      <c r="F8" s="1316" t="s">
        <v>357</v>
      </c>
      <c r="G8" s="1319">
        <v>0</v>
      </c>
      <c r="H8" s="1319">
        <v>15360122.22</v>
      </c>
    </row>
    <row r="9" spans="1:8">
      <c r="A9" s="1318" t="s">
        <v>508</v>
      </c>
      <c r="B9" s="1316" t="s">
        <v>301</v>
      </c>
      <c r="C9" s="1319">
        <v>0</v>
      </c>
      <c r="D9" s="1319">
        <v>0</v>
      </c>
      <c r="E9" s="1318" t="s">
        <v>509</v>
      </c>
      <c r="F9" s="1316" t="s">
        <v>359</v>
      </c>
      <c r="G9" s="1319">
        <v>353274.280000001</v>
      </c>
      <c r="H9" s="1319">
        <v>46108058.54</v>
      </c>
    </row>
    <row r="10" spans="1:8">
      <c r="A10" s="1318" t="s">
        <v>510</v>
      </c>
      <c r="B10" s="1316" t="s">
        <v>303</v>
      </c>
      <c r="C10" s="1319">
        <v>0</v>
      </c>
      <c r="D10" s="1319">
        <v>0</v>
      </c>
      <c r="E10" s="1318" t="s">
        <v>511</v>
      </c>
      <c r="F10" s="1316" t="s">
        <v>361</v>
      </c>
      <c r="G10" s="1319">
        <v>0</v>
      </c>
      <c r="H10" s="1319">
        <v>0</v>
      </c>
    </row>
    <row r="11" spans="1:8">
      <c r="A11" s="1318" t="s">
        <v>512</v>
      </c>
      <c r="B11" s="1316" t="s">
        <v>305</v>
      </c>
      <c r="C11" s="1319">
        <v>0</v>
      </c>
      <c r="D11" s="1319">
        <v>0</v>
      </c>
      <c r="E11" s="1318" t="s">
        <v>513</v>
      </c>
      <c r="F11" s="1316" t="s">
        <v>363</v>
      </c>
      <c r="G11" s="1319">
        <v>0</v>
      </c>
      <c r="H11" s="1319">
        <v>0</v>
      </c>
    </row>
    <row r="12" spans="1:8">
      <c r="A12" s="1318" t="s">
        <v>514</v>
      </c>
      <c r="B12" s="1316" t="s">
        <v>307</v>
      </c>
      <c r="C12" s="1319">
        <v>0</v>
      </c>
      <c r="D12" s="1319">
        <v>0</v>
      </c>
      <c r="E12" s="1318" t="s">
        <v>515</v>
      </c>
      <c r="F12" s="1316" t="s">
        <v>365</v>
      </c>
      <c r="G12" s="1319">
        <v>0</v>
      </c>
      <c r="H12" s="1319">
        <v>0</v>
      </c>
    </row>
    <row r="13" spans="1:8">
      <c r="A13" s="1318" t="s">
        <v>516</v>
      </c>
      <c r="B13" s="1316" t="s">
        <v>309</v>
      </c>
      <c r="C13" s="1319">
        <v>0</v>
      </c>
      <c r="D13" s="1319">
        <v>0</v>
      </c>
      <c r="E13" s="1318" t="s">
        <v>517</v>
      </c>
      <c r="F13" s="1316" t="s">
        <v>367</v>
      </c>
      <c r="G13" s="1319">
        <v>0</v>
      </c>
      <c r="H13" s="1319">
        <v>0</v>
      </c>
    </row>
    <row r="14" spans="1:8">
      <c r="A14" s="1318" t="s">
        <v>518</v>
      </c>
      <c r="B14" s="1316" t="s">
        <v>311</v>
      </c>
      <c r="C14" s="1319">
        <v>0</v>
      </c>
      <c r="D14" s="1319">
        <v>0</v>
      </c>
      <c r="E14" s="1320" t="s">
        <v>519</v>
      </c>
      <c r="F14" s="1316" t="s">
        <v>369</v>
      </c>
      <c r="G14" s="1319">
        <v>353274.280000001</v>
      </c>
      <c r="H14" s="1319">
        <v>46108058.54</v>
      </c>
    </row>
    <row r="15" spans="1:8">
      <c r="A15" s="1318" t="s">
        <v>520</v>
      </c>
      <c r="B15" s="1316" t="s">
        <v>313</v>
      </c>
      <c r="C15" s="1319">
        <v>0</v>
      </c>
      <c r="D15" s="1319">
        <v>0</v>
      </c>
      <c r="E15" s="1320" t="s">
        <v>521</v>
      </c>
      <c r="F15" s="1316" t="s">
        <v>371</v>
      </c>
      <c r="G15" s="1319">
        <v>-353274.280000001</v>
      </c>
      <c r="H15" s="1319">
        <v>-30747936.32</v>
      </c>
    </row>
    <row r="16" spans="1:8">
      <c r="A16" s="1318" t="s">
        <v>522</v>
      </c>
      <c r="B16" s="1316" t="s">
        <v>315</v>
      </c>
      <c r="C16" s="1319">
        <v>0</v>
      </c>
      <c r="D16" s="1319">
        <v>0</v>
      </c>
      <c r="E16" s="1315" t="s">
        <v>523</v>
      </c>
      <c r="F16" s="1316" t="s">
        <v>373</v>
      </c>
      <c r="G16" s="1319">
        <v>0</v>
      </c>
      <c r="H16" s="1321">
        <v>0</v>
      </c>
    </row>
    <row r="17" spans="1:10">
      <c r="A17" s="1318" t="s">
        <v>524</v>
      </c>
      <c r="B17" s="1316" t="s">
        <v>317</v>
      </c>
      <c r="C17" s="1319">
        <v>0</v>
      </c>
      <c r="D17" s="1319">
        <v>20027.64</v>
      </c>
      <c r="E17" s="1318" t="s">
        <v>525</v>
      </c>
      <c r="F17" s="1316" t="s">
        <v>375</v>
      </c>
      <c r="G17" s="1319">
        <v>0</v>
      </c>
      <c r="H17" s="1319">
        <v>15000000</v>
      </c>
    </row>
    <row r="18" spans="1:10">
      <c r="A18" s="1318" t="s">
        <v>526</v>
      </c>
      <c r="B18" s="1316" t="s">
        <v>319</v>
      </c>
      <c r="C18" s="1319">
        <v>2549154.03</v>
      </c>
      <c r="D18" s="1319">
        <v>31348775.65</v>
      </c>
      <c r="E18" s="1318" t="s">
        <v>527</v>
      </c>
      <c r="F18" s="1316" t="s">
        <v>377</v>
      </c>
      <c r="G18" s="1319">
        <v>0</v>
      </c>
      <c r="H18" s="1319">
        <v>0</v>
      </c>
    </row>
    <row r="19" spans="1:10">
      <c r="A19" s="1320" t="s">
        <v>528</v>
      </c>
      <c r="B19" s="1316" t="s">
        <v>321</v>
      </c>
      <c r="C19" s="1319">
        <v>12873823.79</v>
      </c>
      <c r="D19" s="1319">
        <v>124142682.36</v>
      </c>
      <c r="E19" s="1318" t="s">
        <v>529</v>
      </c>
      <c r="F19" s="1316" t="s">
        <v>379</v>
      </c>
      <c r="G19" s="1319">
        <v>3307738.77</v>
      </c>
      <c r="H19" s="1319">
        <v>177172069.19</v>
      </c>
    </row>
    <row r="20" spans="1:10">
      <c r="A20" s="1318" t="s">
        <v>530</v>
      </c>
      <c r="B20" s="1316" t="s">
        <v>323</v>
      </c>
      <c r="C20" s="1319">
        <v>7211064.45</v>
      </c>
      <c r="D20" s="1319">
        <v>43903812.58</v>
      </c>
      <c r="E20" s="1318" t="s">
        <v>531</v>
      </c>
      <c r="F20" s="1316" t="s">
        <v>381</v>
      </c>
      <c r="G20" s="1319">
        <v>0</v>
      </c>
      <c r="H20" s="1319">
        <v>0</v>
      </c>
    </row>
    <row r="21" spans="1:10">
      <c r="A21" s="1318" t="s">
        <v>532</v>
      </c>
      <c r="B21" s="1316" t="s">
        <v>325</v>
      </c>
      <c r="C21" s="1319">
        <v>0</v>
      </c>
      <c r="D21" s="1319">
        <v>0</v>
      </c>
      <c r="E21" s="1318" t="s">
        <v>533</v>
      </c>
      <c r="F21" s="1316" t="s">
        <v>383</v>
      </c>
      <c r="G21" s="1319">
        <v>0</v>
      </c>
      <c r="H21" s="1319">
        <v>0</v>
      </c>
    </row>
    <row r="22" spans="1:10">
      <c r="A22" s="1318" t="s">
        <v>534</v>
      </c>
      <c r="B22" s="1316" t="s">
        <v>327</v>
      </c>
      <c r="C22" s="1319">
        <v>0</v>
      </c>
      <c r="D22" s="1319">
        <v>0</v>
      </c>
      <c r="E22" s="1320" t="s">
        <v>535</v>
      </c>
      <c r="F22" s="1316" t="s">
        <v>385</v>
      </c>
      <c r="G22" s="1319">
        <v>3307738.77</v>
      </c>
      <c r="H22" s="1319">
        <v>192172069.19</v>
      </c>
    </row>
    <row r="23" spans="1:10">
      <c r="A23" s="1318" t="s">
        <v>536</v>
      </c>
      <c r="B23" s="1316" t="s">
        <v>329</v>
      </c>
      <c r="C23" s="1319">
        <v>0</v>
      </c>
      <c r="D23" s="1319">
        <v>0</v>
      </c>
      <c r="E23" s="1318" t="s">
        <v>537</v>
      </c>
      <c r="F23" s="1316" t="s">
        <v>538</v>
      </c>
      <c r="G23" s="1319">
        <v>3000000</v>
      </c>
      <c r="H23" s="1319">
        <v>168000000</v>
      </c>
    </row>
    <row r="24" spans="1:10">
      <c r="A24" s="1318" t="s">
        <v>539</v>
      </c>
      <c r="B24" s="1316" t="s">
        <v>331</v>
      </c>
      <c r="C24" s="1319">
        <v>0</v>
      </c>
      <c r="D24" s="1319">
        <v>0</v>
      </c>
      <c r="E24" s="1318" t="s">
        <v>540</v>
      </c>
      <c r="F24" s="1316" t="s">
        <v>541</v>
      </c>
      <c r="G24" s="1319">
        <v>199578.3</v>
      </c>
      <c r="H24" s="1319">
        <v>4177815.15</v>
      </c>
    </row>
    <row r="25" spans="1:10">
      <c r="A25" s="1318" t="s">
        <v>542</v>
      </c>
      <c r="B25" s="1316" t="s">
        <v>333</v>
      </c>
      <c r="C25" s="1319">
        <v>0</v>
      </c>
      <c r="D25" s="1319">
        <v>0</v>
      </c>
      <c r="E25" s="1318" t="s">
        <v>543</v>
      </c>
      <c r="F25" s="1316" t="s">
        <v>544</v>
      </c>
      <c r="G25" s="1319">
        <v>0</v>
      </c>
      <c r="H25" s="1319">
        <v>0</v>
      </c>
    </row>
    <row r="26" spans="1:10">
      <c r="A26" s="1318" t="s">
        <v>545</v>
      </c>
      <c r="B26" s="1316" t="s">
        <v>335</v>
      </c>
      <c r="C26" s="1319">
        <v>3926466.55</v>
      </c>
      <c r="D26" s="1319">
        <v>42990090.67</v>
      </c>
      <c r="E26" s="1318" t="s">
        <v>546</v>
      </c>
      <c r="F26" s="1316" t="s">
        <v>547</v>
      </c>
      <c r="G26" s="1319">
        <v>922726.25</v>
      </c>
      <c r="H26" s="1319">
        <v>7150111.25</v>
      </c>
    </row>
    <row r="27" spans="1:10">
      <c r="A27" s="1318" t="s">
        <v>548</v>
      </c>
      <c r="B27" s="1316" t="s">
        <v>337</v>
      </c>
      <c r="C27" s="1319">
        <v>488013.24</v>
      </c>
      <c r="D27" s="1319">
        <v>4797507.61</v>
      </c>
      <c r="E27" s="1320" t="s">
        <v>549</v>
      </c>
      <c r="F27" s="1316" t="s">
        <v>550</v>
      </c>
      <c r="G27" s="1319">
        <v>4122304.55</v>
      </c>
      <c r="H27" s="1319">
        <v>179327926.4</v>
      </c>
    </row>
    <row r="28" spans="1:10">
      <c r="A28" s="1318" t="s">
        <v>551</v>
      </c>
      <c r="B28" s="1316" t="s">
        <v>339</v>
      </c>
      <c r="C28" s="1319">
        <v>666933.4</v>
      </c>
      <c r="D28" s="1319">
        <v>8057898.03</v>
      </c>
      <c r="E28" s="1320" t="s">
        <v>552</v>
      </c>
      <c r="F28" s="1316" t="s">
        <v>553</v>
      </c>
      <c r="G28" s="1319">
        <v>-814565.78</v>
      </c>
      <c r="H28" s="1321">
        <v>12844142.79</v>
      </c>
    </row>
    <row r="29" spans="1:10">
      <c r="A29" s="1320" t="s">
        <v>554</v>
      </c>
      <c r="B29" s="1316" t="s">
        <v>341</v>
      </c>
      <c r="C29" s="1319">
        <v>12292477.64</v>
      </c>
      <c r="D29" s="1319">
        <v>99749308.89</v>
      </c>
      <c r="E29" s="1315" t="s">
        <v>555</v>
      </c>
      <c r="F29" s="1316" t="s">
        <v>556</v>
      </c>
      <c r="G29" s="1319">
        <v>0</v>
      </c>
      <c r="H29" s="1319">
        <v>0</v>
      </c>
    </row>
    <row r="30" spans="1:10">
      <c r="A30" s="1320" t="s">
        <v>557</v>
      </c>
      <c r="B30" s="1316" t="s">
        <v>343</v>
      </c>
      <c r="C30" s="1319">
        <v>581346.150000002</v>
      </c>
      <c r="D30" s="1319">
        <v>24393373.47</v>
      </c>
      <c r="E30" s="1315" t="s">
        <v>558</v>
      </c>
      <c r="F30" s="1316" t="s">
        <v>559</v>
      </c>
      <c r="G30" s="1322">
        <v>-586493.91</v>
      </c>
      <c r="H30" s="1323">
        <v>6489579.93999999</v>
      </c>
      <c r="I30" s="819"/>
      <c r="J30" s="819"/>
    </row>
    <row r="31" spans="1:10">
      <c r="A31" s="1315" t="s">
        <v>560</v>
      </c>
      <c r="B31" s="1316" t="s">
        <v>345</v>
      </c>
      <c r="C31" s="1319">
        <v>0</v>
      </c>
      <c r="D31" s="1319">
        <v>0</v>
      </c>
      <c r="E31" s="1318" t="s">
        <v>561</v>
      </c>
      <c r="F31" s="1316" t="s">
        <v>562</v>
      </c>
      <c r="G31" s="1323">
        <v>56826956.01</v>
      </c>
      <c r="H31" s="1323">
        <v>49750882.16</v>
      </c>
    </row>
    <row r="32" spans="1:10">
      <c r="A32" s="1318" t="s">
        <v>563</v>
      </c>
      <c r="B32" s="1316" t="s">
        <v>347</v>
      </c>
      <c r="C32" s="1319">
        <v>0</v>
      </c>
      <c r="D32" s="1319">
        <v>5206506.85</v>
      </c>
      <c r="E32" s="1315" t="s">
        <v>564</v>
      </c>
      <c r="F32" s="1316" t="s">
        <v>565</v>
      </c>
      <c r="G32" s="1323">
        <v>56240462.1</v>
      </c>
      <c r="H32" s="1323">
        <v>56240462.1</v>
      </c>
      <c r="I32" s="818"/>
      <c r="J32" s="818"/>
    </row>
    <row r="33" ht="15" spans="1:8">
      <c r="A33" s="1324" t="s">
        <v>566</v>
      </c>
      <c r="B33" s="1325" t="s">
        <v>349</v>
      </c>
      <c r="C33" s="1319">
        <v>0</v>
      </c>
      <c r="D33" s="1319">
        <v>10153615.37</v>
      </c>
      <c r="E33" s="1326" t="s">
        <v>491</v>
      </c>
      <c r="F33" s="1325" t="s">
        <v>491</v>
      </c>
      <c r="G33" s="1327"/>
      <c r="H33" s="1328" t="s">
        <v>500</v>
      </c>
    </row>
    <row r="34" spans="1:8">
      <c r="C34" s="1329"/>
      <c r="G34" s="818"/>
    </row>
    <row r="35" spans="1:8">
      <c r="C35" s="818"/>
      <c r="F35" s="816" t="s">
        <v>567</v>
      </c>
      <c r="G35" s="1330">
        <v>0</v>
      </c>
      <c r="H35" s="1330"/>
    </row>
    <row r="36" spans="1:8">
      <c r="C36" s="818"/>
      <c r="F36" s="1331" t="s">
        <v>568</v>
      </c>
      <c r="G36" s="1330">
        <f>'BS-合并'!C10</f>
        <v>56240462.1</v>
      </c>
      <c r="H36" s="1330"/>
    </row>
    <row r="37" spans="1:8">
      <c r="G37" s="1330">
        <f>G35+G36-G32</f>
        <v>0</v>
      </c>
      <c r="H37" s="1330"/>
    </row>
    <row r="38" spans="1:8">
      <c r="G38" s="1330"/>
      <c r="H38" s="1330"/>
    </row>
    <row r="39" spans="1:8">
      <c r="G39" s="1330"/>
      <c r="H39" s="1330"/>
    </row>
    <row r="40" spans="1:8">
      <c r="D40" s="818"/>
      <c r="G40" s="1330"/>
      <c r="H40" s="1330"/>
    </row>
    <row r="41" spans="1:8">
      <c r="G41" s="1330"/>
      <c r="H41" s="1330"/>
    </row>
    <row r="42" spans="1:8">
      <c r="G42" s="1330"/>
      <c r="H42" s="1330"/>
    </row>
    <row r="43" spans="1:8">
      <c r="G43" s="1330"/>
      <c r="H43" s="1330"/>
    </row>
    <row r="44" spans="1:8">
      <c r="G44" s="1330"/>
      <c r="H44" s="1330"/>
    </row>
  </sheetData>
  <autoFilter xmlns:etc="http://www.wps.cn/officeDocument/2017/etCustomData" ref="A5:J33" etc:filterBottomFollowUsedRange="0">
    <extLst/>
  </autoFilter>
  <mergeCells count="4">
    <mergeCell ref="C1:E1"/>
    <mergeCell ref="G2:H2"/>
    <mergeCell ref="A3:C3"/>
    <mergeCell ref="G3:H3"/>
  </mergeCells>
  <pageMargins left="0.25" right="0.25" top="0.75" bottom="0.75" header="0.298611111111111" footer="0.298611111111111"/>
  <pageSetup paperSize="9"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rgb="FF00B0F0"/>
  </sheetPr>
  <dimension ref="A1:X67"/>
  <sheetViews>
    <sheetView showGridLines="0" workbookViewId="0">
      <pane xSplit="2" ySplit="8" topLeftCell="C11" activePane="bottomRight" state="frozen"/>
      <selection/>
      <selection pane="topRight"/>
      <selection pane="bottomLeft"/>
      <selection pane="bottomRight" activeCell="J10" sqref="J10"/>
    </sheetView>
  </sheetViews>
  <sheetFormatPr defaultColWidth="8.25" defaultRowHeight="14.25"/>
  <cols>
    <col min="1" max="1" width="33" style="383" customWidth="1"/>
    <col min="2" max="2" width="8.91666666666667" style="383" customWidth="1"/>
    <col min="3" max="3" width="22.0333333333333" style="383" customWidth="1"/>
    <col min="4" max="4" width="13.5" style="383" customWidth="1"/>
    <col min="5" max="5" width="7.38333333333333" style="122" customWidth="1"/>
    <col min="6" max="6" width="8.25" style="122"/>
    <col min="7" max="7" width="12.1666666666667" style="122" customWidth="1"/>
    <col min="8" max="9" width="11.4166666666667" style="122" customWidth="1"/>
    <col min="10" max="10" width="11.5666666666667" style="122"/>
    <col min="11" max="11" width="6.925" style="122" customWidth="1"/>
    <col min="12" max="12" width="7" style="122" customWidth="1"/>
    <col min="13" max="14" width="7.25" style="122" customWidth="1"/>
    <col min="15" max="16" width="9.25" style="122" customWidth="1"/>
    <col min="17" max="17" width="10.8333333333333" style="404" customWidth="1"/>
    <col min="18" max="18" width="13.3333333333333" style="404" customWidth="1"/>
    <col min="19" max="20" width="12.7083333333333" style="122"/>
    <col min="21" max="21" width="12.0833333333333" style="122"/>
    <col min="22" max="22" width="11.6833333333333" style="122"/>
    <col min="23" max="23" width="12.0833333333333" style="122"/>
    <col min="24" max="24" width="8.25" style="122"/>
    <col min="25" max="25" width="11.5666666666667" style="122"/>
    <col min="26" max="16384" width="8.25" style="122"/>
  </cols>
  <sheetData>
    <row r="1" ht="19" customHeight="1" spans="1:23">
      <c r="A1" s="1279" t="s">
        <v>569</v>
      </c>
      <c r="B1" s="1280"/>
      <c r="C1" s="1280"/>
      <c r="D1" s="1280"/>
    </row>
    <row r="2" spans="1:23">
      <c r="A2" s="386"/>
      <c r="B2" s="386"/>
      <c r="C2" s="386"/>
      <c r="D2" s="386" t="s">
        <v>280</v>
      </c>
    </row>
    <row r="3" spans="1:23">
      <c r="A3" s="387" t="s">
        <v>194</v>
      </c>
      <c r="B3" s="386" t="s">
        <v>281</v>
      </c>
      <c r="C3" s="388">
        <f>基本信息!B14</f>
        <v>45991</v>
      </c>
      <c r="D3" s="387" t="s">
        <v>282</v>
      </c>
      <c r="P3" s="394"/>
      <c r="Q3" s="405"/>
      <c r="R3" s="405"/>
      <c r="S3" s="405"/>
    </row>
    <row r="4" spans="1:23">
      <c r="A4" s="387"/>
      <c r="B4" s="386"/>
      <c r="C4" s="388"/>
      <c r="I4" s="405">
        <f>I10+Q10</f>
        <v>14483982.14</v>
      </c>
      <c r="J4" s="405">
        <f>I4-I5</f>
        <v>-145517.079999972</v>
      </c>
      <c r="Q4" s="405"/>
      <c r="R4" s="405"/>
      <c r="S4" s="1281"/>
    </row>
    <row r="5" spans="1:23">
      <c r="I5" s="405">
        <f>I13+Q13</f>
        <v>14629499.22</v>
      </c>
      <c r="J5" s="394">
        <f>J4/I4</f>
        <v>-0.0100467591435439</v>
      </c>
    </row>
    <row r="6" spans="1:23">
      <c r="A6" s="387" t="s">
        <v>283</v>
      </c>
      <c r="I6" s="1282">
        <f t="shared" ref="I6:N6" si="0">(I9-I12)/I9</f>
        <v>0.820488049334071</v>
      </c>
      <c r="J6" s="1282">
        <f t="shared" si="0"/>
        <v>0.67156733153273</v>
      </c>
      <c r="K6" s="1282">
        <f t="shared" si="0"/>
        <v>0.291708457938874</v>
      </c>
      <c r="L6" s="1282">
        <f t="shared" si="0"/>
        <v>0.296360686872801</v>
      </c>
      <c r="M6" s="1282">
        <f t="shared" si="0"/>
        <v>0.237063952937909</v>
      </c>
      <c r="N6" s="1282">
        <f t="shared" si="0"/>
        <v>0.14129516248037</v>
      </c>
      <c r="Q6" s="1282">
        <f>(Q9-Q12)/Q9</f>
        <v>-0.142517843611251</v>
      </c>
      <c r="R6" s="1282">
        <f>(R9-R12)/R9</f>
        <v>0.0521308849616923</v>
      </c>
      <c r="U6" s="121"/>
    </row>
    <row r="7" ht="10.05" customHeight="1" spans="1:23">
      <c r="G7" s="1283" t="s">
        <v>33</v>
      </c>
      <c r="H7" s="1283"/>
      <c r="I7" s="1283"/>
      <c r="Q7" s="1282">
        <f>(Q10-Q13)/Q10</f>
        <v>-0.147629206894723</v>
      </c>
      <c r="R7" s="1282">
        <f>(R10-R13)/R10</f>
        <v>0.0455737674180454</v>
      </c>
    </row>
    <row r="8" ht="18" customHeight="1" spans="1:23">
      <c r="A8" s="390" t="s">
        <v>284</v>
      </c>
      <c r="B8" s="390" t="s">
        <v>285</v>
      </c>
      <c r="C8" s="1284" t="s">
        <v>36</v>
      </c>
      <c r="D8" s="1284" t="s">
        <v>37</v>
      </c>
      <c r="G8" s="1285" t="str">
        <f>'PL-合并'!G8</f>
        <v>2510月金额</v>
      </c>
      <c r="H8" s="1285" t="str">
        <f>'PL-合并'!H8</f>
        <v>2510月累计金额</v>
      </c>
      <c r="I8" s="1286" t="s">
        <v>570</v>
      </c>
      <c r="J8" s="1286" t="s">
        <v>571</v>
      </c>
      <c r="K8" s="400" t="s">
        <v>44</v>
      </c>
      <c r="L8" s="400" t="s">
        <v>45</v>
      </c>
      <c r="M8" s="400" t="s">
        <v>46</v>
      </c>
      <c r="N8" s="400" t="s">
        <v>47</v>
      </c>
      <c r="O8" s="400" t="s">
        <v>48</v>
      </c>
      <c r="P8" s="400" t="s">
        <v>49</v>
      </c>
      <c r="Q8" s="1287" t="s">
        <v>572</v>
      </c>
      <c r="R8" s="1288" t="s">
        <v>51</v>
      </c>
      <c r="V8" s="1289">
        <v>2511</v>
      </c>
    </row>
    <row r="9" ht="18" customHeight="1" spans="1:23">
      <c r="A9" s="391" t="s">
        <v>291</v>
      </c>
      <c r="B9" s="392" t="s">
        <v>292</v>
      </c>
      <c r="C9" s="393">
        <f>'PL-合并'!C9</f>
        <v>16506857.37</v>
      </c>
      <c r="D9" s="393">
        <f>'PL-合并'!D9</f>
        <v>134024303.06</v>
      </c>
      <c r="G9" s="1290">
        <f>'PL-合并'!G9</f>
        <v>11456713.73</v>
      </c>
      <c r="H9" s="1290">
        <f>'PL-合并'!H9</f>
        <v>117517445.69</v>
      </c>
      <c r="I9" s="1290">
        <f>I10+I11</f>
        <v>2058368.14</v>
      </c>
      <c r="J9" s="1290">
        <f>J10+J11</f>
        <v>20993025.67</v>
      </c>
      <c r="K9" s="1291">
        <f>精铸PL新!C9</f>
        <v>1781043.73</v>
      </c>
      <c r="L9" s="1291">
        <f>精铸PL新!D9</f>
        <v>7351863.68</v>
      </c>
      <c r="M9" s="1291">
        <f>热等静压PL新!C5</f>
        <v>1093163.54</v>
      </c>
      <c r="N9" s="1291">
        <f>热等静压PL新!D5</f>
        <v>20619623.41</v>
      </c>
      <c r="O9" s="1292">
        <f>SUM(O10:O11)</f>
        <v>993625.22</v>
      </c>
      <c r="P9" s="1292">
        <f>SUM(P10:P11)</f>
        <v>10417355.42</v>
      </c>
      <c r="Q9" s="1293">
        <f>C9-K9-M9+O9-I9</f>
        <v>12567907.18</v>
      </c>
      <c r="R9" s="1293">
        <f>D9-L9-N9+P9-J9</f>
        <v>95477145.72</v>
      </c>
      <c r="S9" s="121"/>
      <c r="T9" s="405"/>
      <c r="U9" s="1292">
        <v>32808.32</v>
      </c>
      <c r="V9" s="1294" t="s">
        <v>573</v>
      </c>
      <c r="W9" s="1295"/>
    </row>
    <row r="10" ht="18" customHeight="1" spans="1:23">
      <c r="A10" s="391" t="s">
        <v>294</v>
      </c>
      <c r="B10" s="392" t="s">
        <v>295</v>
      </c>
      <c r="C10" s="393">
        <f>'PL-合并'!C10</f>
        <v>16463624.86</v>
      </c>
      <c r="D10" s="393">
        <f>'PL-合并'!D10</f>
        <v>133527261.61</v>
      </c>
      <c r="G10" s="1290">
        <f>'PL-合并'!G10</f>
        <v>11391609.44</v>
      </c>
      <c r="H10" s="1290">
        <f>'PL-合并'!H10</f>
        <v>117063636.75</v>
      </c>
      <c r="I10" s="1290">
        <v>2058368.14</v>
      </c>
      <c r="J10" s="1290">
        <f>10131427.43+1765210.62+1467695.58+1287249.56+1492267.26+1404913.27+1385893.81+2058368.14</f>
        <v>20993025.67</v>
      </c>
      <c r="K10" s="1291">
        <f>精铸PL新!C10</f>
        <v>1781043.73</v>
      </c>
      <c r="L10" s="1291">
        <f>精铸PL新!D10</f>
        <v>7349891.38</v>
      </c>
      <c r="M10" s="1291">
        <f>热等静压PL新!C6</f>
        <v>1093163.54</v>
      </c>
      <c r="N10" s="1291">
        <f>热等静压PL新!D6</f>
        <v>20418558.56</v>
      </c>
      <c r="O10" s="1296">
        <f>32808.32+861756.23</f>
        <v>894564.55</v>
      </c>
      <c r="P10" s="1296">
        <f>465301.04+8400223.07</f>
        <v>8865524.11</v>
      </c>
      <c r="Q10" s="1293">
        <f>C10-K10-M10+O10-I10</f>
        <v>12425614</v>
      </c>
      <c r="R10" s="1293">
        <f>D10-L10-N10+P10-J10</f>
        <v>93631310.11</v>
      </c>
      <c r="S10" s="121"/>
      <c r="T10" s="405"/>
      <c r="U10" s="1292">
        <v>629897.81</v>
      </c>
      <c r="V10" s="1294" t="s">
        <v>574</v>
      </c>
      <c r="W10" s="1295"/>
    </row>
    <row r="11" ht="18" customHeight="1" spans="1:23">
      <c r="A11" s="391" t="s">
        <v>296</v>
      </c>
      <c r="B11" s="392" t="s">
        <v>297</v>
      </c>
      <c r="C11" s="393">
        <f>'PL-合并'!C11</f>
        <v>43232.5099999983</v>
      </c>
      <c r="D11" s="393">
        <f>'PL-合并'!D11</f>
        <v>497041.449999999</v>
      </c>
      <c r="G11" s="1290">
        <f>'PL-合并'!G11</f>
        <v>65104.2899999993</v>
      </c>
      <c r="H11" s="1290">
        <f>'PL-合并'!H11</f>
        <v>453808.940000001</v>
      </c>
      <c r="I11" s="1290"/>
      <c r="J11" s="1290"/>
      <c r="K11" s="1291">
        <f>精铸PL新!C11</f>
        <v>0</v>
      </c>
      <c r="L11" s="1291">
        <f>精铸PL新!D11</f>
        <v>1972.3</v>
      </c>
      <c r="M11" s="1291">
        <f>热等静压PL新!C7</f>
        <v>0</v>
      </c>
      <c r="N11" s="1291">
        <f>热等静压PL新!D7</f>
        <v>201064.85</v>
      </c>
      <c r="O11" s="1296">
        <v>99060.67</v>
      </c>
      <c r="P11" s="1296">
        <f>1350766.46+201064.85</f>
        <v>1551831.31</v>
      </c>
      <c r="Q11" s="1293">
        <f>C11-K11-M11+O11</f>
        <v>142293.179999998</v>
      </c>
      <c r="R11" s="1293">
        <f>D11-L11-N11+P11</f>
        <v>1845835.61</v>
      </c>
      <c r="S11" s="121"/>
      <c r="T11" s="405"/>
      <c r="U11" s="1292">
        <v>13821276.01</v>
      </c>
      <c r="V11" s="1297" t="s">
        <v>75</v>
      </c>
      <c r="W11" s="1295"/>
    </row>
    <row r="12" ht="18" customHeight="1" spans="1:23">
      <c r="A12" s="391" t="s">
        <v>298</v>
      </c>
      <c r="B12" s="392" t="s">
        <v>299</v>
      </c>
      <c r="C12" s="393">
        <f>'PL-合并'!C12</f>
        <v>15830446.75</v>
      </c>
      <c r="D12" s="393">
        <f>'PL-合并'!D12</f>
        <v>110057573.17</v>
      </c>
      <c r="G12" s="1290">
        <f>'PL-合并'!G12</f>
        <v>11130393.19</v>
      </c>
      <c r="H12" s="1290">
        <f>'PL-合并'!H12</f>
        <v>94227126.42</v>
      </c>
      <c r="I12" s="1290">
        <f>I13+I14</f>
        <v>369501.68</v>
      </c>
      <c r="J12" s="1290">
        <f>J13+J14</f>
        <v>6894795.44</v>
      </c>
      <c r="K12" s="1291">
        <f>精铸PL新!C12</f>
        <v>1261498.21</v>
      </c>
      <c r="L12" s="1291">
        <f>精铸PL新!D12</f>
        <v>5173060.31</v>
      </c>
      <c r="M12" s="1291">
        <f>热等静压PL新!C8</f>
        <v>834013.870000001</v>
      </c>
      <c r="N12" s="1291">
        <f>热等静压PL新!D8</f>
        <v>17706170.37</v>
      </c>
      <c r="O12" s="1292">
        <f>O13+O14</f>
        <v>993625.22</v>
      </c>
      <c r="P12" s="1292">
        <f>P13+P14</f>
        <v>10216290.57</v>
      </c>
      <c r="Q12" s="1293">
        <f>C12-K12-M12+O12-I12</f>
        <v>14359058.21</v>
      </c>
      <c r="R12" s="1293">
        <f>D12-L12-N12+P12-J12</f>
        <v>90499837.62</v>
      </c>
      <c r="S12" s="121"/>
      <c r="T12" s="405"/>
      <c r="U12" s="1292">
        <f>SUM(U9:U11)</f>
        <v>14483982.14</v>
      </c>
      <c r="V12" s="1294" t="s">
        <v>77</v>
      </c>
      <c r="W12" s="1295"/>
    </row>
    <row r="13" ht="18" customHeight="1" spans="1:23">
      <c r="A13" s="391" t="s">
        <v>300</v>
      </c>
      <c r="B13" s="392" t="s">
        <v>301</v>
      </c>
      <c r="C13" s="393">
        <f>'PL-合并'!C13</f>
        <v>15830446.75</v>
      </c>
      <c r="D13" s="393">
        <f>'PL-合并'!D13</f>
        <v>110057573.17</v>
      </c>
      <c r="G13" s="1290">
        <f>'PL-合并'!G13</f>
        <v>11130393.19</v>
      </c>
      <c r="H13" s="1290">
        <f>'PL-合并'!H13</f>
        <v>94227126.42</v>
      </c>
      <c r="I13" s="1290">
        <v>369501.68</v>
      </c>
      <c r="J13" s="1290">
        <f>1712108.95+1669124.73+1487436.38+284945.34+269605.24+225598.04+342447.42+253230.26+280797.4+369501.68</f>
        <v>6894795.44</v>
      </c>
      <c r="K13" s="1291">
        <f>精铸PL新!C13</f>
        <v>1261498.21</v>
      </c>
      <c r="L13" s="1291">
        <f>精铸PL新!D13</f>
        <v>5173060.31</v>
      </c>
      <c r="M13" s="1291">
        <f>热等静压PL新!C9</f>
        <v>834013.869999999</v>
      </c>
      <c r="N13" s="1291">
        <f>热等静压PL新!D9</f>
        <v>17491062.97</v>
      </c>
      <c r="O13" s="1292">
        <f>O10</f>
        <v>894564.55</v>
      </c>
      <c r="P13" s="1292">
        <f>P10</f>
        <v>8865524.11</v>
      </c>
      <c r="Q13" s="1293">
        <f>C13-K13-M13+O13-I13</f>
        <v>14259997.54</v>
      </c>
      <c r="R13" s="1293">
        <f>D13-L13-N13+P13-J13</f>
        <v>89364178.56</v>
      </c>
      <c r="S13" s="121"/>
      <c r="T13" s="405"/>
      <c r="U13" s="1292">
        <f>U12-Q10-I10</f>
        <v>-1.4202669262886e-8</v>
      </c>
      <c r="V13" s="1297" t="s">
        <v>79</v>
      </c>
      <c r="W13" s="1298"/>
    </row>
    <row r="14" ht="18" customHeight="1" spans="1:23">
      <c r="A14" s="391" t="s">
        <v>302</v>
      </c>
      <c r="B14" s="392" t="s">
        <v>303</v>
      </c>
      <c r="C14" s="393">
        <f>'PL-合并'!C14</f>
        <v>0</v>
      </c>
      <c r="D14" s="393">
        <f>'PL-合并'!D14</f>
        <v>0</v>
      </c>
      <c r="G14" s="1290">
        <f>'PL-合并'!G14</f>
        <v>0</v>
      </c>
      <c r="H14" s="1290">
        <f>'PL-合并'!H14</f>
        <v>0</v>
      </c>
      <c r="I14" s="1290"/>
      <c r="J14" s="1290"/>
      <c r="K14" s="1291">
        <f>精铸PL新!C14</f>
        <v>0</v>
      </c>
      <c r="L14" s="1291">
        <f>精铸PL新!D14</f>
        <v>0</v>
      </c>
      <c r="M14" s="1291">
        <f>热等静压PL新!C10</f>
        <v>0</v>
      </c>
      <c r="N14" s="1291">
        <f>热等静压PL新!D10</f>
        <v>215107.4</v>
      </c>
      <c r="O14" s="1292">
        <f>O11-O16</f>
        <v>99060.67</v>
      </c>
      <c r="P14" s="1292">
        <f>P11-P16</f>
        <v>1350766.46</v>
      </c>
      <c r="Q14" s="1293">
        <f t="shared" ref="Q10:Q41" si="1">C14-K14-M14+O14</f>
        <v>99060.67</v>
      </c>
      <c r="R14" s="1293">
        <f t="shared" ref="R10:R41" si="2">D14-L14-N14+P14</f>
        <v>1135659.06</v>
      </c>
      <c r="S14" s="121"/>
      <c r="T14" s="405"/>
      <c r="U14" s="1299"/>
      <c r="V14" s="1295"/>
      <c r="W14" s="1295"/>
    </row>
    <row r="15" ht="18" customHeight="1" spans="1:23">
      <c r="A15" s="391" t="s">
        <v>304</v>
      </c>
      <c r="B15" s="392" t="s">
        <v>305</v>
      </c>
      <c r="C15" s="393">
        <f>'PL-合并'!C15</f>
        <v>82112.72</v>
      </c>
      <c r="D15" s="393">
        <f>'PL-合并'!D15</f>
        <v>829444.38</v>
      </c>
      <c r="G15" s="1290">
        <f>'PL-合并'!G15</f>
        <v>69676.53</v>
      </c>
      <c r="H15" s="1290">
        <f>'PL-合并'!H15</f>
        <v>747331.66</v>
      </c>
      <c r="I15" s="1290"/>
      <c r="J15" s="1290"/>
      <c r="K15" s="1291">
        <f>精铸PL新!C15</f>
        <v>0</v>
      </c>
      <c r="L15" s="1291">
        <f>精铸PL新!D15</f>
        <v>26359.78</v>
      </c>
      <c r="M15" s="1291">
        <f>热等静压PL新!C11</f>
        <v>584.09</v>
      </c>
      <c r="N15" s="1291">
        <f>热等静压PL新!D11</f>
        <v>7209.21</v>
      </c>
      <c r="O15" s="1292"/>
      <c r="P15" s="1292"/>
      <c r="Q15" s="1293">
        <f t="shared" si="1"/>
        <v>81528.63</v>
      </c>
      <c r="R15" s="1293">
        <f t="shared" si="2"/>
        <v>795875.39</v>
      </c>
      <c r="S15" s="121"/>
      <c r="T15" s="404"/>
      <c r="U15" s="1295"/>
      <c r="V15" s="1295"/>
      <c r="W15" s="1295"/>
    </row>
    <row r="16" ht="18" customHeight="1" spans="1:23">
      <c r="A16" s="391" t="s">
        <v>306</v>
      </c>
      <c r="B16" s="392" t="s">
        <v>307</v>
      </c>
      <c r="C16" s="393">
        <f>'PL-合并'!C16</f>
        <v>822770.640000002</v>
      </c>
      <c r="D16" s="393">
        <f>'PL-合并'!D16</f>
        <v>8045697.97</v>
      </c>
      <c r="G16" s="1290">
        <f>'PL-合并'!G16</f>
        <v>649038.840000001</v>
      </c>
      <c r="H16" s="1290">
        <f>'PL-合并'!H16</f>
        <v>7222927.33</v>
      </c>
      <c r="I16" s="1290"/>
      <c r="J16" s="1290"/>
      <c r="K16" s="1291">
        <f>精铸PL新!C16</f>
        <v>65057.3400000001</v>
      </c>
      <c r="L16" s="1291">
        <f>精铸PL新!D16</f>
        <v>580641.56</v>
      </c>
      <c r="M16" s="1291">
        <f>热等静压PL新!C12</f>
        <v>49638.71</v>
      </c>
      <c r="N16" s="1291">
        <f>热等静压PL新!D12</f>
        <v>556431.11</v>
      </c>
      <c r="O16" s="1292">
        <v>0</v>
      </c>
      <c r="P16" s="1292">
        <v>201064.85</v>
      </c>
      <c r="Q16" s="1293">
        <f t="shared" si="1"/>
        <v>708074.590000001</v>
      </c>
      <c r="R16" s="1293">
        <f t="shared" si="2"/>
        <v>7109690.15</v>
      </c>
      <c r="S16" s="121"/>
      <c r="T16" s="404"/>
      <c r="U16"/>
      <c r="V16" s="1295"/>
      <c r="W16" s="1295"/>
    </row>
    <row r="17" ht="18" customHeight="1" spans="1:24">
      <c r="A17" s="391" t="s">
        <v>308</v>
      </c>
      <c r="B17" s="392" t="s">
        <v>309</v>
      </c>
      <c r="C17" s="393">
        <f>'PL-合并'!C17</f>
        <v>1193327.44</v>
      </c>
      <c r="D17" s="393">
        <f>'PL-合并'!D17</f>
        <v>8350965.06</v>
      </c>
      <c r="G17" s="1290">
        <f>'PL-合并'!G17</f>
        <v>828962.78</v>
      </c>
      <c r="H17" s="1290">
        <f>'PL-合并'!H17</f>
        <v>7157637.62</v>
      </c>
      <c r="I17" s="1290"/>
      <c r="J17" s="1290"/>
      <c r="K17" s="1291">
        <f>精铸PL新!C17</f>
        <v>1663.12999999999</v>
      </c>
      <c r="L17" s="1291">
        <f>精铸PL新!D17</f>
        <v>100618.84</v>
      </c>
      <c r="M17" s="1291">
        <f>热等静压PL新!C13</f>
        <v>17274.27</v>
      </c>
      <c r="N17" s="1291">
        <f>热等静压PL新!D13</f>
        <v>237860.86</v>
      </c>
      <c r="O17" s="1296"/>
      <c r="P17" s="1296"/>
      <c r="Q17" s="1293">
        <f t="shared" si="1"/>
        <v>1174390.04</v>
      </c>
      <c r="R17" s="1293">
        <f t="shared" si="2"/>
        <v>8012485.36</v>
      </c>
      <c r="S17" s="121"/>
      <c r="T17" s="404"/>
      <c r="U17" s="1295"/>
      <c r="V17" s="1300"/>
      <c r="W17" s="1301"/>
      <c r="X17" s="400"/>
    </row>
    <row r="18" ht="18" customHeight="1" spans="1:24">
      <c r="A18" s="391" t="s">
        <v>310</v>
      </c>
      <c r="B18" s="392" t="s">
        <v>311</v>
      </c>
      <c r="C18" s="393">
        <f>'PL-合并'!C18</f>
        <v>4315088.77</v>
      </c>
      <c r="D18" s="393">
        <f>'PL-合并'!D18</f>
        <v>19920178.25</v>
      </c>
      <c r="G18" s="1290">
        <f>'PL-合并'!G18</f>
        <v>1995820.96</v>
      </c>
      <c r="H18" s="1290">
        <f>'PL-合并'!H18</f>
        <v>15605089.48</v>
      </c>
      <c r="I18" s="1290"/>
      <c r="J18" s="1290"/>
      <c r="K18" s="1291">
        <f>精铸PL新!C18</f>
        <v>98901.6199999999</v>
      </c>
      <c r="L18" s="1291">
        <f>精铸PL新!D18</f>
        <v>1123957.13</v>
      </c>
      <c r="M18" s="1291">
        <f>热等静压PL新!C14</f>
        <v>93227.55</v>
      </c>
      <c r="N18" s="1291">
        <f>热等静压PL新!D14</f>
        <v>894023.38</v>
      </c>
      <c r="O18" s="1297"/>
      <c r="P18" s="1297"/>
      <c r="Q18" s="1293">
        <f t="shared" si="1"/>
        <v>4122959.6</v>
      </c>
      <c r="R18" s="1293">
        <f t="shared" si="2"/>
        <v>17902197.74</v>
      </c>
      <c r="S18" s="121"/>
      <c r="T18" s="404"/>
      <c r="U18" s="1295"/>
      <c r="V18" s="1302"/>
      <c r="W18" s="1301"/>
      <c r="X18" s="400"/>
    </row>
    <row r="19" ht="18" customHeight="1" spans="1:24">
      <c r="A19" s="391" t="s">
        <v>312</v>
      </c>
      <c r="B19" s="392" t="s">
        <v>313</v>
      </c>
      <c r="C19" s="393">
        <f>'PL-合并'!C19</f>
        <v>468077.899999999</v>
      </c>
      <c r="D19" s="393">
        <f>'PL-合并'!D19</f>
        <v>4508765.31</v>
      </c>
      <c r="G19" s="1290">
        <f>'PL-合并'!G19</f>
        <v>414734.8</v>
      </c>
      <c r="H19" s="1290">
        <f>'PL-合并'!H19</f>
        <v>4040687.41</v>
      </c>
      <c r="I19" s="1290"/>
      <c r="J19" s="1290"/>
      <c r="K19" s="1291">
        <f>精铸PL新!C19</f>
        <v>26950.51</v>
      </c>
      <c r="L19" s="1291">
        <f>精铸PL新!D19</f>
        <v>185821.21</v>
      </c>
      <c r="M19" s="1291">
        <f>热等静压PL新!C15</f>
        <v>270.22</v>
      </c>
      <c r="N19" s="1291">
        <f>热等静压PL新!D15</f>
        <v>1051.76</v>
      </c>
      <c r="O19" s="1292">
        <v>0</v>
      </c>
      <c r="P19" s="1292">
        <v>0</v>
      </c>
      <c r="Q19" s="1293">
        <f t="shared" si="1"/>
        <v>440857.169999999</v>
      </c>
      <c r="R19" s="1293">
        <f t="shared" si="2"/>
        <v>4321892.34</v>
      </c>
      <c r="S19" s="121"/>
      <c r="T19" s="404"/>
      <c r="U19" s="1295"/>
      <c r="V19" s="1302"/>
      <c r="W19" s="1301"/>
      <c r="X19" s="400"/>
    </row>
    <row r="20" ht="18" customHeight="1" spans="1:24">
      <c r="A20" s="391" t="s">
        <v>314</v>
      </c>
      <c r="B20" s="392" t="s">
        <v>315</v>
      </c>
      <c r="C20" s="393">
        <f>'PL-合并'!C20</f>
        <v>458409.52</v>
      </c>
      <c r="D20" s="393">
        <f>'PL-合并'!D20</f>
        <v>4534024.15</v>
      </c>
      <c r="G20" s="1290">
        <f>'PL-合并'!G20</f>
        <v>409021.01</v>
      </c>
      <c r="H20" s="1290">
        <f>'PL-合并'!H20</f>
        <v>4075614.63</v>
      </c>
      <c r="I20" s="1290"/>
      <c r="J20" s="1290"/>
      <c r="K20" s="1291">
        <f>精铸PL新!C20</f>
        <v>17172.28</v>
      </c>
      <c r="L20" s="1291">
        <f>精铸PL新!D20</f>
        <v>193063.36</v>
      </c>
      <c r="M20" s="1291">
        <f>热等静压PL新!C16</f>
        <v>0</v>
      </c>
      <c r="N20" s="1291">
        <f>热等静压PL新!D16</f>
        <v>0</v>
      </c>
      <c r="Q20" s="1293">
        <f t="shared" si="1"/>
        <v>441237.24</v>
      </c>
      <c r="R20" s="1293">
        <f t="shared" si="2"/>
        <v>4340960.79</v>
      </c>
      <c r="S20" s="121"/>
      <c r="T20" s="404"/>
      <c r="U20" s="1295"/>
      <c r="V20" s="1302"/>
      <c r="W20" s="1301"/>
      <c r="X20" s="400"/>
    </row>
    <row r="21" ht="18" customHeight="1" spans="1:24">
      <c r="A21" s="391" t="s">
        <v>316</v>
      </c>
      <c r="B21" s="392" t="s">
        <v>317</v>
      </c>
      <c r="C21" s="393">
        <f>'PL-合并'!C21</f>
        <v>-232.589999999997</v>
      </c>
      <c r="D21" s="393">
        <f>'PL-合并'!D21</f>
        <v>-85075.68</v>
      </c>
      <c r="G21" s="1290">
        <f>'PL-合并'!G21</f>
        <v>0</v>
      </c>
      <c r="H21" s="1290">
        <f>'PL-合并'!H21</f>
        <v>-84843.09</v>
      </c>
      <c r="I21" s="1290"/>
      <c r="J21" s="1290"/>
      <c r="K21" s="1291">
        <f>精铸PL新!C21</f>
        <v>-72.1200000000001</v>
      </c>
      <c r="L21" s="1291">
        <f>精铸PL新!D21</f>
        <v>-1409.16</v>
      </c>
      <c r="M21" s="1291">
        <f>热等静压PL新!C17</f>
        <v>0</v>
      </c>
      <c r="N21" s="1291">
        <f>热等静压PL新!D17</f>
        <v>-1211.72</v>
      </c>
      <c r="Q21" s="1293">
        <f t="shared" si="1"/>
        <v>-160.469999999996</v>
      </c>
      <c r="R21" s="1293">
        <f t="shared" si="2"/>
        <v>-82454.8</v>
      </c>
      <c r="S21" s="121"/>
      <c r="T21" s="404"/>
      <c r="U21" s="1295"/>
      <c r="V21" s="1302"/>
      <c r="W21" s="1301"/>
      <c r="X21" s="400"/>
    </row>
    <row r="22" ht="18" customHeight="1" spans="1:24">
      <c r="A22" s="1303" t="s">
        <v>318</v>
      </c>
      <c r="B22" s="392" t="s">
        <v>319</v>
      </c>
      <c r="C22" s="393">
        <f>'PL-合并'!C22</f>
        <v>250000</v>
      </c>
      <c r="D22" s="393">
        <f>'PL-合并'!D22</f>
        <v>1305528.31</v>
      </c>
      <c r="G22" s="1290">
        <f>'PL-合并'!G22</f>
        <v>0</v>
      </c>
      <c r="H22" s="1290">
        <f>'PL-合并'!H22</f>
        <v>1055528.31</v>
      </c>
      <c r="I22" s="1290"/>
      <c r="J22" s="1290"/>
      <c r="K22" s="1291">
        <f>精铸PL新!C22</f>
        <v>0</v>
      </c>
      <c r="L22" s="1291">
        <f>精铸PL新!D22</f>
        <v>34962.89</v>
      </c>
      <c r="M22" s="1291">
        <f>热等静压PL新!C18</f>
        <v>0</v>
      </c>
      <c r="N22" s="1291">
        <f>热等静压PL新!D18</f>
        <v>1843.34</v>
      </c>
      <c r="Q22" s="1293">
        <f t="shared" si="1"/>
        <v>250000</v>
      </c>
      <c r="R22" s="1293">
        <f t="shared" si="2"/>
        <v>1268722.08</v>
      </c>
      <c r="S22" s="121"/>
      <c r="T22" s="404"/>
      <c r="U22" s="1295"/>
      <c r="V22" s="1302"/>
      <c r="W22" s="1301"/>
      <c r="X22" s="400"/>
    </row>
    <row r="23" ht="18" customHeight="1" spans="1:24">
      <c r="A23" s="1303" t="s">
        <v>320</v>
      </c>
      <c r="B23" s="392" t="s">
        <v>321</v>
      </c>
      <c r="C23" s="393">
        <f>'PL-合并'!C23</f>
        <v>0</v>
      </c>
      <c r="D23" s="393">
        <f>'PL-合并'!D23</f>
        <v>853056.55</v>
      </c>
      <c r="G23" s="1290">
        <f>'PL-合并'!G23</f>
        <v>0</v>
      </c>
      <c r="H23" s="1290">
        <f>'PL-合并'!H23</f>
        <v>853056.55</v>
      </c>
      <c r="I23" s="1290"/>
      <c r="J23" s="1290"/>
      <c r="K23" s="1291">
        <f>精铸PL新!C23</f>
        <v>0</v>
      </c>
      <c r="L23" s="1291">
        <f>精铸PL新!D23</f>
        <v>0</v>
      </c>
      <c r="M23" s="1291">
        <f>热等静压PL新!C19</f>
        <v>0</v>
      </c>
      <c r="N23" s="1291">
        <f>热等静压PL新!D19</f>
        <v>0</v>
      </c>
      <c r="Q23" s="1293">
        <f t="shared" si="1"/>
        <v>0</v>
      </c>
      <c r="R23" s="1293">
        <f t="shared" si="2"/>
        <v>853056.55</v>
      </c>
      <c r="S23" s="121"/>
      <c r="T23" s="404"/>
      <c r="V23" s="1304"/>
      <c r="W23" s="1304"/>
      <c r="X23" s="400"/>
    </row>
    <row r="24" ht="18" customHeight="1" spans="1:24">
      <c r="A24" s="391" t="s">
        <v>322</v>
      </c>
      <c r="B24" s="392" t="s">
        <v>323</v>
      </c>
      <c r="C24" s="393">
        <f>'PL-合并'!C24</f>
        <v>0</v>
      </c>
      <c r="D24" s="393">
        <f>'PL-合并'!D24</f>
        <v>0</v>
      </c>
      <c r="G24" s="1290">
        <f>'PL-合并'!G24</f>
        <v>0</v>
      </c>
      <c r="H24" s="1290">
        <f>'PL-合并'!H24</f>
        <v>0</v>
      </c>
      <c r="I24" s="1290"/>
      <c r="J24" s="1290"/>
      <c r="K24" s="1291">
        <f>精铸PL新!C24</f>
        <v>0</v>
      </c>
      <c r="L24" s="1291">
        <f>精铸PL新!D24</f>
        <v>0</v>
      </c>
      <c r="M24" s="1291">
        <f>热等静压PL新!C20</f>
        <v>0</v>
      </c>
      <c r="N24" s="1291">
        <f>热等静压PL新!D20</f>
        <v>0</v>
      </c>
      <c r="Q24" s="1293">
        <f t="shared" si="1"/>
        <v>0</v>
      </c>
      <c r="R24" s="1293">
        <f t="shared" si="2"/>
        <v>0</v>
      </c>
      <c r="S24" s="121"/>
      <c r="T24" s="404"/>
    </row>
    <row r="25" ht="18" customHeight="1" spans="1:24">
      <c r="A25" s="391" t="s">
        <v>324</v>
      </c>
      <c r="B25" s="392" t="s">
        <v>325</v>
      </c>
      <c r="C25" s="393">
        <f>'PL-合并'!C25</f>
        <v>0</v>
      </c>
      <c r="D25" s="393">
        <f>'PL-合并'!D25</f>
        <v>0</v>
      </c>
      <c r="G25" s="1290">
        <f>'PL-合并'!G25</f>
        <v>0</v>
      </c>
      <c r="H25" s="1290">
        <f>'PL-合并'!H25</f>
        <v>0</v>
      </c>
      <c r="I25" s="1290"/>
      <c r="J25" s="1290"/>
      <c r="K25" s="1291">
        <f>精铸PL新!C25</f>
        <v>0</v>
      </c>
      <c r="L25" s="1291">
        <f>精铸PL新!D25</f>
        <v>0</v>
      </c>
      <c r="M25" s="1291">
        <f>热等静压PL新!C21</f>
        <v>0</v>
      </c>
      <c r="N25" s="1291">
        <f>热等静压PL新!D21</f>
        <v>0</v>
      </c>
      <c r="Q25" s="1293">
        <f t="shared" si="1"/>
        <v>0</v>
      </c>
      <c r="R25" s="1293">
        <f t="shared" si="2"/>
        <v>0</v>
      </c>
      <c r="S25" s="121"/>
      <c r="T25" s="404"/>
    </row>
    <row r="26" ht="18" customHeight="1" spans="1:24">
      <c r="A26" s="391" t="s">
        <v>326</v>
      </c>
      <c r="B26" s="392" t="s">
        <v>327</v>
      </c>
      <c r="C26" s="393">
        <f>'PL-合并'!C26</f>
        <v>0</v>
      </c>
      <c r="D26" s="393">
        <f>'PL-合并'!D26</f>
        <v>0</v>
      </c>
      <c r="G26" s="1290">
        <f>'PL-合并'!G26</f>
        <v>0</v>
      </c>
      <c r="H26" s="1290">
        <f>'PL-合并'!H26</f>
        <v>0</v>
      </c>
      <c r="I26" s="1290"/>
      <c r="J26" s="1290"/>
      <c r="K26" s="1291">
        <f>精铸PL新!C26</f>
        <v>0</v>
      </c>
      <c r="L26" s="1291">
        <f>精铸PL新!D26</f>
        <v>0</v>
      </c>
      <c r="M26" s="1291">
        <f>热等静压PL新!C22</f>
        <v>0</v>
      </c>
      <c r="N26" s="1291">
        <f>热等静压PL新!D22</f>
        <v>0</v>
      </c>
      <c r="Q26" s="1293">
        <f t="shared" si="1"/>
        <v>0</v>
      </c>
      <c r="R26" s="1293">
        <f t="shared" si="2"/>
        <v>0</v>
      </c>
      <c r="S26" s="121"/>
      <c r="T26" s="404"/>
    </row>
    <row r="27" ht="18" customHeight="1" spans="1:24">
      <c r="A27" s="1303" t="s">
        <v>328</v>
      </c>
      <c r="B27" s="392" t="s">
        <v>329</v>
      </c>
      <c r="C27" s="393">
        <f>'PL-合并'!C27</f>
        <v>0</v>
      </c>
      <c r="D27" s="393">
        <f>'PL-合并'!D27</f>
        <v>0</v>
      </c>
      <c r="G27" s="1290">
        <f>'PL-合并'!G27</f>
        <v>0</v>
      </c>
      <c r="H27" s="1290">
        <f>'PL-合并'!H27</f>
        <v>0</v>
      </c>
      <c r="I27" s="1290"/>
      <c r="J27" s="1290"/>
      <c r="K27" s="1291">
        <f>精铸PL新!C27</f>
        <v>0</v>
      </c>
      <c r="L27" s="1291">
        <f>精铸PL新!D27</f>
        <v>0</v>
      </c>
      <c r="M27" s="1291">
        <f>热等静压PL新!C23</f>
        <v>0</v>
      </c>
      <c r="N27" s="1291">
        <f>热等静压PL新!D23</f>
        <v>0</v>
      </c>
      <c r="Q27" s="1293">
        <f t="shared" si="1"/>
        <v>0</v>
      </c>
      <c r="R27" s="1293">
        <f t="shared" si="2"/>
        <v>0</v>
      </c>
      <c r="S27" s="121"/>
      <c r="T27" s="404"/>
    </row>
    <row r="28" ht="18" customHeight="1" spans="1:24">
      <c r="A28" s="1303" t="s">
        <v>330</v>
      </c>
      <c r="B28" s="392" t="s">
        <v>331</v>
      </c>
      <c r="C28" s="393">
        <f>'PL-合并'!C28</f>
        <v>0</v>
      </c>
      <c r="D28" s="393">
        <f>'PL-合并'!D28</f>
        <v>-1780058.26</v>
      </c>
      <c r="G28" s="1290">
        <f>'PL-合并'!G28</f>
        <v>0</v>
      </c>
      <c r="H28" s="1290">
        <f>'PL-合并'!H28</f>
        <v>-1780058.26</v>
      </c>
      <c r="I28" s="1290"/>
      <c r="J28" s="1290"/>
      <c r="K28" s="1291">
        <f>精铸PL新!C28</f>
        <v>0</v>
      </c>
      <c r="L28" s="1291">
        <f>精铸PL新!D28</f>
        <v>0</v>
      </c>
      <c r="M28" s="1291">
        <f>热等静压PL新!C24</f>
        <v>0</v>
      </c>
      <c r="N28" s="1291">
        <f>热等静压PL新!D24</f>
        <v>-170766.3</v>
      </c>
      <c r="Q28" s="1293">
        <f t="shared" si="1"/>
        <v>0</v>
      </c>
      <c r="R28" s="1293">
        <f t="shared" si="2"/>
        <v>-1609291.96</v>
      </c>
      <c r="S28" s="121"/>
      <c r="T28" s="404"/>
    </row>
    <row r="29" ht="18" customHeight="1" spans="1:24">
      <c r="A29" s="1303" t="s">
        <v>332</v>
      </c>
      <c r="B29" s="392" t="s">
        <v>333</v>
      </c>
      <c r="C29" s="393">
        <f>'PL-合并'!C29</f>
        <v>0</v>
      </c>
      <c r="D29" s="393">
        <f>'PL-合并'!D29</f>
        <v>0</v>
      </c>
      <c r="G29" s="1290">
        <f>'PL-合并'!G29</f>
        <v>0</v>
      </c>
      <c r="H29" s="1290">
        <f>'PL-合并'!H29</f>
        <v>0</v>
      </c>
      <c r="I29" s="1290"/>
      <c r="J29" s="1290"/>
      <c r="K29" s="1291">
        <f>精铸PL新!C29</f>
        <v>0</v>
      </c>
      <c r="L29" s="1291">
        <f>精铸PL新!D29</f>
        <v>0</v>
      </c>
      <c r="M29" s="1291">
        <f>热等静压PL新!C25</f>
        <v>0</v>
      </c>
      <c r="N29" s="1291">
        <f>热等静压PL新!D25</f>
        <v>0</v>
      </c>
      <c r="Q29" s="1293">
        <f t="shared" si="1"/>
        <v>0</v>
      </c>
      <c r="R29" s="1293">
        <f t="shared" si="2"/>
        <v>0</v>
      </c>
      <c r="S29" s="121"/>
      <c r="T29" s="404"/>
    </row>
    <row r="30" ht="18" customHeight="1" spans="1:24">
      <c r="A30" s="1303" t="s">
        <v>334</v>
      </c>
      <c r="B30" s="392" t="s">
        <v>335</v>
      </c>
      <c r="C30" s="393">
        <f>'PL-合并'!C30</f>
        <v>0</v>
      </c>
      <c r="D30" s="393">
        <f>'PL-合并'!D30</f>
        <v>0</v>
      </c>
      <c r="G30" s="1290">
        <f>'PL-合并'!G30</f>
        <v>0</v>
      </c>
      <c r="H30" s="1290">
        <f>'PL-合并'!H30</f>
        <v>0</v>
      </c>
      <c r="I30" s="1290"/>
      <c r="J30" s="1290"/>
      <c r="K30" s="1291">
        <f>精铸PL新!C30</f>
        <v>0</v>
      </c>
      <c r="L30" s="1291">
        <f>精铸PL新!D30</f>
        <v>0</v>
      </c>
      <c r="M30" s="1291">
        <f>热等静压PL新!C26</f>
        <v>0</v>
      </c>
      <c r="N30" s="1291">
        <f>热等静压PL新!D26</f>
        <v>0</v>
      </c>
      <c r="Q30" s="1293">
        <f t="shared" si="1"/>
        <v>0</v>
      </c>
      <c r="R30" s="1293">
        <f t="shared" si="2"/>
        <v>0</v>
      </c>
      <c r="S30" s="121"/>
      <c r="T30" s="404"/>
    </row>
    <row r="31" ht="18" customHeight="1" spans="1:24">
      <c r="A31" s="391" t="s">
        <v>336</v>
      </c>
      <c r="B31" s="392" t="s">
        <v>337</v>
      </c>
      <c r="C31" s="393">
        <f>'PL-合并'!C31</f>
        <v>-5954966.84999997</v>
      </c>
      <c r="D31" s="393">
        <f>'PL-合并'!D31</f>
        <v>-17309794.48</v>
      </c>
      <c r="G31" s="1290">
        <f>'PL-合并'!G31</f>
        <v>-3631913.36999997</v>
      </c>
      <c r="H31" s="1290">
        <f>'PL-合并'!H31</f>
        <v>-11354827.63</v>
      </c>
      <c r="I31" s="1290">
        <f>I9-I12</f>
        <v>1688866.46</v>
      </c>
      <c r="J31" s="1290">
        <f>J9-J12</f>
        <v>14098230.23</v>
      </c>
      <c r="K31" s="1291">
        <f>K9-K12-K15-K16-K17-K18-K19+K22+K23+K27+K28+K29+K30</f>
        <v>326972.92</v>
      </c>
      <c r="L31" s="1291">
        <f>L9-L12-L15-L16-L17-L18-L19+L22+L23+L27+L28+L29+L30</f>
        <v>196367.74</v>
      </c>
      <c r="M31" s="1291">
        <f>M9-M12-M15-M16-M17-M18-M19+M22+M23+M27+M28+M29+M30</f>
        <v>98154.8299999981</v>
      </c>
      <c r="N31" s="1291">
        <f>N9-N12-N15-N16-N17-N18-N19+N22+N23+N27+N28+N29+N30</f>
        <v>1047953.76</v>
      </c>
      <c r="Q31" s="1293">
        <f>C31-K31-M31+O31-I31</f>
        <v>-8068961.05999996</v>
      </c>
      <c r="R31" s="1293">
        <f>D31-L31-N31+P31-J31</f>
        <v>-32652346.21</v>
      </c>
      <c r="S31" s="121"/>
      <c r="T31" s="404"/>
    </row>
    <row r="32" ht="18" customHeight="1" spans="1:24">
      <c r="A32" s="391" t="s">
        <v>338</v>
      </c>
      <c r="B32" s="392" t="s">
        <v>339</v>
      </c>
      <c r="C32" s="393">
        <f>'PL-合并'!C32</f>
        <v>0</v>
      </c>
      <c r="D32" s="393">
        <f>'PL-合并'!D32</f>
        <v>70120.03</v>
      </c>
      <c r="G32" s="1290">
        <f>'PL-合并'!G32</f>
        <v>70000</v>
      </c>
      <c r="H32" s="1290">
        <f>'PL-合并'!H32</f>
        <v>70120.03</v>
      </c>
      <c r="I32" s="1290"/>
      <c r="J32" s="1290"/>
      <c r="K32" s="1291">
        <f>精铸PL新!C32</f>
        <v>0</v>
      </c>
      <c r="L32" s="1291">
        <f>精铸PL新!D32</f>
        <v>0</v>
      </c>
      <c r="M32" s="1291">
        <f>热等静压PL新!C28</f>
        <v>0</v>
      </c>
      <c r="N32" s="1291">
        <f>热等静压PL新!D28</f>
        <v>0</v>
      </c>
      <c r="Q32" s="1293">
        <f t="shared" si="1"/>
        <v>0</v>
      </c>
      <c r="R32" s="1293">
        <f t="shared" si="2"/>
        <v>70120.03</v>
      </c>
      <c r="S32" s="121"/>
      <c r="T32" s="404"/>
    </row>
    <row r="33" ht="18" customHeight="1" spans="1:20">
      <c r="A33" s="391" t="s">
        <v>340</v>
      </c>
      <c r="B33" s="392" t="s">
        <v>341</v>
      </c>
      <c r="C33" s="393">
        <f>'PL-合并'!C33</f>
        <v>0</v>
      </c>
      <c r="D33" s="393">
        <f>'PL-合并'!D33</f>
        <v>24203.21</v>
      </c>
      <c r="G33" s="1290">
        <f>'PL-合并'!G33</f>
        <v>0.00999999999839929</v>
      </c>
      <c r="H33" s="1290">
        <f>'PL-合并'!H33</f>
        <v>24203.21</v>
      </c>
      <c r="I33" s="1290"/>
      <c r="J33" s="1290"/>
      <c r="K33" s="1291">
        <f>精铸PL新!C33</f>
        <v>0</v>
      </c>
      <c r="L33" s="1291">
        <f>精铸PL新!D33</f>
        <v>1714.8</v>
      </c>
      <c r="M33" s="1291">
        <f>热等静压PL新!C29</f>
        <v>0</v>
      </c>
      <c r="N33" s="1291">
        <f>热等静压PL新!D29</f>
        <v>0</v>
      </c>
      <c r="Q33" s="1293">
        <f t="shared" si="1"/>
        <v>0</v>
      </c>
      <c r="R33" s="1293">
        <f t="shared" si="2"/>
        <v>22488.41</v>
      </c>
      <c r="S33" s="121"/>
      <c r="T33" s="404"/>
    </row>
    <row r="34" ht="18" customHeight="1" spans="1:20">
      <c r="A34" s="391" t="s">
        <v>342</v>
      </c>
      <c r="B34" s="392" t="s">
        <v>343</v>
      </c>
      <c r="C34" s="393">
        <f>'PL-合并'!C34</f>
        <v>-5954966.84999997</v>
      </c>
      <c r="D34" s="393">
        <f>'PL-合并'!D34</f>
        <v>-17263877.66</v>
      </c>
      <c r="G34" s="1290">
        <f>'PL-合并'!G34</f>
        <v>-3561913.37999997</v>
      </c>
      <c r="H34" s="1290">
        <f>'PL-合并'!H34</f>
        <v>-11308910.81</v>
      </c>
      <c r="I34" s="1290">
        <f>I31+I32-I33</f>
        <v>1688866.46</v>
      </c>
      <c r="J34" s="1290">
        <f>J31+J32-J33</f>
        <v>14098230.23</v>
      </c>
      <c r="K34" s="1291">
        <f t="shared" ref="I34:N34" si="3">K31+K32-K33</f>
        <v>326972.92</v>
      </c>
      <c r="L34" s="1291">
        <f t="shared" si="3"/>
        <v>194652.94</v>
      </c>
      <c r="M34" s="1291">
        <f t="shared" si="3"/>
        <v>98154.8299999981</v>
      </c>
      <c r="N34" s="1291">
        <f t="shared" si="3"/>
        <v>1047953.76</v>
      </c>
      <c r="Q34" s="1293">
        <f>C34-K34-M34+O34-I34</f>
        <v>-8068961.05999996</v>
      </c>
      <c r="R34" s="1293">
        <f>D34-L34-N34+P34-J34</f>
        <v>-32604714.59</v>
      </c>
      <c r="S34" s="121"/>
      <c r="T34" s="404"/>
    </row>
    <row r="35" ht="18" customHeight="1" spans="1:20">
      <c r="A35" s="391" t="s">
        <v>344</v>
      </c>
      <c r="B35" s="392" t="s">
        <v>345</v>
      </c>
      <c r="C35" s="393">
        <f>'PL-合并'!C35</f>
        <v>20876.67</v>
      </c>
      <c r="D35" s="393">
        <f>'PL-合并'!D35</f>
        <v>45634.12</v>
      </c>
      <c r="G35" s="1290">
        <f>'PL-合并'!G35</f>
        <v>0</v>
      </c>
      <c r="H35" s="1290">
        <f>'PL-合并'!H35</f>
        <v>24757.45</v>
      </c>
      <c r="I35" s="1290"/>
      <c r="J35" s="1290"/>
      <c r="K35" s="1291">
        <f>精铸PL新!C35</f>
        <v>0</v>
      </c>
      <c r="L35" s="1291">
        <f>精铸PL新!D35</f>
        <v>0</v>
      </c>
      <c r="M35" s="1291">
        <f>热等静压PL新!C31</f>
        <v>20876.67</v>
      </c>
      <c r="N35" s="1291">
        <f>热等静压PL新!D31</f>
        <v>45634.12</v>
      </c>
      <c r="Q35" s="1293">
        <f t="shared" si="1"/>
        <v>0</v>
      </c>
      <c r="R35" s="1293">
        <f t="shared" si="2"/>
        <v>0</v>
      </c>
      <c r="S35" s="121"/>
      <c r="T35" s="404"/>
    </row>
    <row r="36" ht="18" customHeight="1" spans="1:20">
      <c r="A36" s="391" t="s">
        <v>346</v>
      </c>
      <c r="B36" s="392" t="s">
        <v>347</v>
      </c>
      <c r="C36" s="393">
        <f>'PL-合并'!C36</f>
        <v>-5975843.51999997</v>
      </c>
      <c r="D36" s="393">
        <f>'PL-合并'!D36</f>
        <v>-17309511.78</v>
      </c>
      <c r="G36" s="1290">
        <f>'PL-合并'!G36</f>
        <v>-3561913.37999997</v>
      </c>
      <c r="H36" s="1290">
        <f>'PL-合并'!H36</f>
        <v>-11333668.26</v>
      </c>
      <c r="I36" s="1290">
        <f>I34-I35</f>
        <v>1688866.46</v>
      </c>
      <c r="J36" s="1290">
        <f>J34-J35</f>
        <v>14098230.23</v>
      </c>
      <c r="K36" s="1291">
        <f t="shared" ref="I36:N36" si="4">K34-K35</f>
        <v>326972.92</v>
      </c>
      <c r="L36" s="1291">
        <f t="shared" si="4"/>
        <v>194652.94</v>
      </c>
      <c r="M36" s="1291">
        <f t="shared" si="4"/>
        <v>77278.1599999981</v>
      </c>
      <c r="N36" s="1291">
        <f t="shared" si="4"/>
        <v>1002319.64</v>
      </c>
      <c r="Q36" s="1293">
        <f>C36-K36-M36+O36-I36</f>
        <v>-8068961.05999996</v>
      </c>
      <c r="R36" s="1293">
        <f>D36-L36-N36+P36-J36</f>
        <v>-32604714.59</v>
      </c>
      <c r="S36" s="121"/>
      <c r="T36" s="404"/>
    </row>
    <row r="37" ht="18" customHeight="1" spans="1:20">
      <c r="A37" s="1305" t="s">
        <v>348</v>
      </c>
      <c r="B37" s="392" t="s">
        <v>349</v>
      </c>
      <c r="C37" s="393">
        <f>'PL-合并'!C37</f>
        <v>72653.3828239998</v>
      </c>
      <c r="D37" s="393">
        <f>'PL-合并'!D37</f>
        <v>43251.8832679999</v>
      </c>
      <c r="G37" s="1290">
        <f>'PL-合并'!G37</f>
        <v>35159.5159180003</v>
      </c>
      <c r="H37" s="1290">
        <f>'PL-合并'!H37</f>
        <v>-29401.4995559999</v>
      </c>
      <c r="I37" s="1290"/>
      <c r="J37" s="1290"/>
      <c r="K37" s="1291">
        <f>精铸PL新!C37</f>
        <v>0</v>
      </c>
      <c r="L37" s="1291">
        <f>精铸PL新!D37</f>
        <v>0</v>
      </c>
      <c r="M37" s="1291">
        <f>热等静压PL新!C33</f>
        <v>0</v>
      </c>
      <c r="N37" s="1291">
        <f>热等静压PL新!D33</f>
        <v>0</v>
      </c>
      <c r="Q37" s="1293"/>
      <c r="R37" s="1293"/>
      <c r="T37" s="404"/>
    </row>
    <row r="38" ht="18" customHeight="1" spans="1:20">
      <c r="A38" s="1305" t="s">
        <v>350</v>
      </c>
      <c r="B38" s="392" t="s">
        <v>351</v>
      </c>
      <c r="C38" s="393">
        <f>'PL-合并'!C38</f>
        <v>-6048496.90282397</v>
      </c>
      <c r="D38" s="393">
        <f>'PL-合并'!D38</f>
        <v>-17352763.663268</v>
      </c>
      <c r="G38" s="1290">
        <f>'PL-合并'!G38</f>
        <v>-3597072.89591799</v>
      </c>
      <c r="H38" s="1290">
        <f>'PL-合并'!H38</f>
        <v>-11304266.760444</v>
      </c>
      <c r="I38" s="1290"/>
      <c r="J38" s="1290"/>
      <c r="K38" s="1291">
        <f>精铸PL新!C38</f>
        <v>0</v>
      </c>
      <c r="L38" s="1291">
        <f>精铸PL新!D38</f>
        <v>0</v>
      </c>
      <c r="M38" s="1291">
        <f>热等静压PL新!C34</f>
        <v>0</v>
      </c>
      <c r="N38" s="1291">
        <f>热等静压PL新!D34</f>
        <v>0</v>
      </c>
      <c r="Q38" s="1293"/>
      <c r="R38" s="1293"/>
      <c r="T38" s="404"/>
    </row>
    <row r="39" ht="18" hidden="1" customHeight="1" spans="1:20">
      <c r="A39" s="391" t="s">
        <v>352</v>
      </c>
      <c r="B39" s="392" t="s">
        <v>353</v>
      </c>
      <c r="C39" s="393"/>
      <c r="D39" s="393"/>
      <c r="H39" s="1290"/>
      <c r="I39" s="1290"/>
      <c r="Q39" s="1293"/>
      <c r="R39" s="1293"/>
    </row>
    <row r="40" ht="18" hidden="1" customHeight="1" spans="1:20">
      <c r="A40" s="391" t="s">
        <v>354</v>
      </c>
      <c r="B40" s="392" t="s">
        <v>355</v>
      </c>
      <c r="C40" s="393"/>
      <c r="D40" s="393"/>
      <c r="H40" s="1290"/>
      <c r="I40" s="1290"/>
      <c r="Q40" s="1293"/>
      <c r="R40" s="1293"/>
    </row>
    <row r="41" ht="18" hidden="1" customHeight="1" spans="1:20">
      <c r="A41" s="391" t="s">
        <v>356</v>
      </c>
      <c r="B41" s="392" t="s">
        <v>357</v>
      </c>
      <c r="C41" s="393"/>
      <c r="D41" s="393"/>
      <c r="H41" s="1290"/>
      <c r="I41" s="1290"/>
      <c r="Q41" s="1293"/>
      <c r="R41" s="1293"/>
    </row>
    <row r="42" ht="18" hidden="1" customHeight="1" spans="1:20">
      <c r="A42" s="391" t="s">
        <v>358</v>
      </c>
      <c r="B42" s="392" t="s">
        <v>359</v>
      </c>
      <c r="C42" s="393"/>
      <c r="D42" s="393"/>
      <c r="H42" s="1290"/>
      <c r="I42" s="1290"/>
      <c r="Q42" s="1293"/>
      <c r="R42" s="1293"/>
    </row>
    <row r="43" ht="18" hidden="1" customHeight="1" spans="1:20">
      <c r="A43" s="391" t="s">
        <v>360</v>
      </c>
      <c r="B43" s="392" t="s">
        <v>361</v>
      </c>
      <c r="C43" s="393"/>
      <c r="D43" s="393"/>
      <c r="H43" s="1290"/>
      <c r="I43" s="1290"/>
      <c r="Q43" s="1293"/>
      <c r="R43" s="1293"/>
    </row>
    <row r="44" ht="18" hidden="1" customHeight="1" spans="1:20">
      <c r="A44" s="391" t="s">
        <v>362</v>
      </c>
      <c r="B44" s="392" t="s">
        <v>363</v>
      </c>
      <c r="C44" s="393"/>
      <c r="D44" s="393"/>
      <c r="H44" s="1290"/>
      <c r="I44" s="1290"/>
      <c r="Q44" s="1293"/>
      <c r="R44" s="1293"/>
    </row>
    <row r="45" ht="18" hidden="1" customHeight="1" spans="1:20">
      <c r="A45" s="391" t="s">
        <v>364</v>
      </c>
      <c r="B45" s="392" t="s">
        <v>365</v>
      </c>
      <c r="C45" s="393"/>
      <c r="D45" s="393"/>
      <c r="H45" s="1290"/>
      <c r="I45" s="1290"/>
      <c r="Q45" s="1293"/>
      <c r="R45" s="1293"/>
    </row>
    <row r="46" ht="18" hidden="1" customHeight="1" spans="1:20">
      <c r="A46" s="391" t="s">
        <v>366</v>
      </c>
      <c r="B46" s="392" t="s">
        <v>367</v>
      </c>
      <c r="C46" s="393"/>
      <c r="D46" s="393"/>
      <c r="H46" s="1290"/>
      <c r="I46" s="1290"/>
      <c r="Q46" s="1293"/>
      <c r="R46" s="1293"/>
    </row>
    <row r="47" ht="18" hidden="1" customHeight="1" spans="1:20">
      <c r="A47" s="391" t="s">
        <v>368</v>
      </c>
      <c r="B47" s="392" t="s">
        <v>369</v>
      </c>
      <c r="C47" s="393"/>
      <c r="D47" s="393"/>
      <c r="H47" s="1290"/>
      <c r="I47" s="1290"/>
      <c r="Q47" s="1293"/>
      <c r="R47" s="1293"/>
    </row>
    <row r="48" ht="18" hidden="1" customHeight="1" spans="1:20">
      <c r="A48" s="391" t="s">
        <v>370</v>
      </c>
      <c r="B48" s="392" t="s">
        <v>371</v>
      </c>
      <c r="C48" s="393"/>
      <c r="D48" s="393"/>
      <c r="H48" s="1290"/>
      <c r="I48" s="1290"/>
      <c r="Q48" s="1293"/>
      <c r="R48" s="1293"/>
    </row>
    <row r="49" ht="18" hidden="1" customHeight="1" spans="1:18">
      <c r="A49" s="391" t="s">
        <v>372</v>
      </c>
      <c r="B49" s="392" t="s">
        <v>373</v>
      </c>
      <c r="C49" s="393"/>
      <c r="D49" s="393"/>
      <c r="H49" s="1290"/>
      <c r="I49" s="1290"/>
      <c r="Q49" s="1293"/>
      <c r="R49" s="1293"/>
    </row>
    <row r="50" ht="18" hidden="1" customHeight="1" spans="1:18">
      <c r="A50" s="391" t="s">
        <v>374</v>
      </c>
      <c r="B50" s="392" t="s">
        <v>375</v>
      </c>
      <c r="C50" s="393"/>
      <c r="D50" s="393"/>
      <c r="H50" s="1290"/>
      <c r="I50" s="1290"/>
      <c r="Q50" s="1293"/>
      <c r="R50" s="1293"/>
    </row>
    <row r="51" ht="18" hidden="1" customHeight="1" spans="1:18">
      <c r="A51" s="391" t="s">
        <v>376</v>
      </c>
      <c r="B51" s="392" t="s">
        <v>377</v>
      </c>
      <c r="C51" s="393"/>
      <c r="D51" s="393"/>
      <c r="H51" s="1290"/>
      <c r="I51" s="1290"/>
      <c r="Q51" s="1293"/>
      <c r="R51" s="1293"/>
    </row>
    <row r="52" ht="18" hidden="1" customHeight="1" spans="1:18">
      <c r="A52" s="391" t="s">
        <v>378</v>
      </c>
      <c r="B52" s="392" t="s">
        <v>379</v>
      </c>
      <c r="C52" s="393"/>
      <c r="D52" s="393"/>
      <c r="H52" s="1290"/>
      <c r="I52" s="1290"/>
      <c r="Q52" s="1293"/>
      <c r="R52" s="1293"/>
    </row>
    <row r="53" ht="18" hidden="1" customHeight="1" spans="1:18">
      <c r="A53" s="391" t="s">
        <v>380</v>
      </c>
      <c r="B53" s="392" t="s">
        <v>381</v>
      </c>
      <c r="C53" s="393"/>
      <c r="D53" s="393"/>
      <c r="H53" s="1290"/>
      <c r="I53" s="1290"/>
      <c r="Q53" s="1293"/>
      <c r="R53" s="1293"/>
    </row>
    <row r="54" ht="18" hidden="1" customHeight="1" spans="1:18">
      <c r="A54" s="391" t="s">
        <v>382</v>
      </c>
      <c r="B54" s="392" t="s">
        <v>383</v>
      </c>
      <c r="C54" s="393"/>
      <c r="D54" s="393"/>
      <c r="H54" s="1290"/>
      <c r="I54" s="1290"/>
      <c r="Q54" s="1293"/>
      <c r="R54" s="1293"/>
    </row>
    <row r="55" ht="18" hidden="1" customHeight="1" spans="1:18">
      <c r="A55" s="391" t="s">
        <v>384</v>
      </c>
      <c r="B55" s="392" t="s">
        <v>385</v>
      </c>
      <c r="C55" s="393"/>
      <c r="D55" s="393"/>
      <c r="H55" s="1290"/>
      <c r="I55" s="1290"/>
      <c r="Q55" s="1293"/>
      <c r="R55" s="1293"/>
    </row>
    <row r="56" ht="18" hidden="1" customHeight="1" spans="1:18">
      <c r="A56" s="391"/>
      <c r="B56" s="392"/>
      <c r="C56" s="395"/>
      <c r="D56" s="395"/>
      <c r="H56" s="1290"/>
      <c r="I56" s="1290"/>
      <c r="Q56" s="1293"/>
      <c r="R56" s="1293"/>
    </row>
    <row r="57" ht="18" hidden="1" customHeight="1" spans="1:18">
      <c r="A57" s="391" t="s">
        <v>386</v>
      </c>
      <c r="B57" s="392"/>
      <c r="C57" s="395"/>
      <c r="D57" s="395"/>
      <c r="H57" s="1290"/>
      <c r="I57" s="1290"/>
      <c r="Q57" s="1293"/>
      <c r="R57" s="1293"/>
    </row>
    <row r="58" ht="18" hidden="1" customHeight="1" spans="1:18">
      <c r="A58" s="391" t="s">
        <v>387</v>
      </c>
      <c r="B58" s="392" t="s">
        <v>292</v>
      </c>
      <c r="C58" s="393"/>
      <c r="D58" s="393"/>
      <c r="H58" s="1290"/>
      <c r="I58" s="1290"/>
      <c r="Q58" s="1293"/>
      <c r="R58" s="1293"/>
    </row>
    <row r="59" ht="18" hidden="1" customHeight="1" spans="1:18">
      <c r="A59" s="391" t="s">
        <v>388</v>
      </c>
      <c r="B59" s="392" t="s">
        <v>295</v>
      </c>
      <c r="C59" s="393"/>
      <c r="D59" s="393"/>
      <c r="H59" s="1290"/>
      <c r="I59" s="1290"/>
      <c r="Q59" s="1293"/>
      <c r="R59" s="1293"/>
    </row>
    <row r="60" ht="18" hidden="1" customHeight="1" spans="1:18">
      <c r="A60" s="391" t="s">
        <v>389</v>
      </c>
      <c r="B60" s="392" t="s">
        <v>297</v>
      </c>
      <c r="C60" s="393"/>
      <c r="D60" s="393"/>
      <c r="H60" s="1290"/>
      <c r="I60" s="1290"/>
      <c r="Q60" s="1293"/>
      <c r="R60" s="1293"/>
    </row>
    <row r="61" ht="18" hidden="1" customHeight="1" spans="1:18">
      <c r="A61" s="391" t="s">
        <v>390</v>
      </c>
      <c r="B61" s="392" t="s">
        <v>299</v>
      </c>
      <c r="C61" s="393"/>
      <c r="D61" s="393"/>
      <c r="H61" s="1290"/>
      <c r="I61" s="1290"/>
      <c r="Q61" s="1293"/>
      <c r="R61" s="1293"/>
    </row>
    <row r="62" ht="18" hidden="1" customHeight="1" spans="1:18">
      <c r="A62" s="391" t="s">
        <v>391</v>
      </c>
      <c r="B62" s="392" t="s">
        <v>301</v>
      </c>
      <c r="C62" s="393"/>
      <c r="D62" s="393"/>
      <c r="H62" s="1290"/>
      <c r="I62" s="1290"/>
      <c r="Q62" s="1293"/>
      <c r="R62" s="1293"/>
    </row>
    <row r="63" ht="18" hidden="1" customHeight="1" spans="1:18">
      <c r="A63" s="391" t="s">
        <v>392</v>
      </c>
      <c r="B63" s="392" t="s">
        <v>303</v>
      </c>
      <c r="C63" s="393"/>
      <c r="D63" s="393"/>
      <c r="H63" s="1290"/>
      <c r="I63" s="1290"/>
      <c r="Q63" s="1293"/>
      <c r="R63" s="1293"/>
    </row>
    <row r="64" ht="10.8" customHeight="1" spans="1:18">
      <c r="H64" s="1290"/>
      <c r="I64" s="1290"/>
      <c r="Q64" s="1293"/>
      <c r="R64" s="1293"/>
    </row>
    <row r="65" ht="15.8" customHeight="1" spans="1:18">
      <c r="A65" s="387"/>
      <c r="B65" s="386"/>
      <c r="C65" s="387"/>
      <c r="D65" s="387"/>
      <c r="E65" s="121"/>
      <c r="Q65" s="1293"/>
      <c r="R65" s="1293"/>
    </row>
    <row r="66" ht="21.6" customHeight="1" spans="1:18">
      <c r="I66" s="1290">
        <f>I36</f>
        <v>1688866.46</v>
      </c>
      <c r="J66" s="1291">
        <f>J36</f>
        <v>14098230.23</v>
      </c>
      <c r="K66" s="1291">
        <f>精铸PL新!C36</f>
        <v>326972.92</v>
      </c>
      <c r="L66" s="1291">
        <f>精铸PL新!D36</f>
        <v>194652.94</v>
      </c>
      <c r="M66" s="1291">
        <f>热等静压PL新!C32</f>
        <v>77278.16</v>
      </c>
      <c r="N66" s="1291">
        <f>热等静压PL新!D32</f>
        <v>1002319.64</v>
      </c>
      <c r="O66" s="1291"/>
      <c r="Q66" s="1293"/>
      <c r="R66" s="1293"/>
    </row>
    <row r="67" spans="1:18">
      <c r="J67" s="1306" t="s">
        <v>79</v>
      </c>
      <c r="K67" s="1291">
        <f>K66-K36</f>
        <v>0</v>
      </c>
      <c r="L67" s="1291">
        <f>L66-L36</f>
        <v>-2.91038304567337e-10</v>
      </c>
      <c r="M67" s="1291">
        <f>M66-M36</f>
        <v>1.96450855582952e-9</v>
      </c>
      <c r="N67" s="1291">
        <f>N66-N36</f>
        <v>0</v>
      </c>
      <c r="O67" s="1291"/>
      <c r="Q67" s="1290">
        <f>Q36-C36+K66+M66+I66</f>
        <v>1.86264514923096e-9</v>
      </c>
      <c r="R67" s="1290">
        <f>R36-D36+L66+N66+J66</f>
        <v>0</v>
      </c>
    </row>
  </sheetData>
  <mergeCells count="4">
    <mergeCell ref="G7:H7"/>
    <mergeCell ref="A3:A4"/>
    <mergeCell ref="B3:B4"/>
    <mergeCell ref="C3:C4"/>
  </mergeCells>
  <pageMargins left="0.299027777777778" right="0.299027777777778" top="0.299027777777778" bottom="0.299027777777778" header="0.3" footer="0.3"/>
  <pageSetup paperSize="9" orientation="portrait" useFirstPageNumber="1" horizontalDpi="600" verticalDpi="6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FFC000"/>
    <pageSetUpPr fitToPage="1"/>
  </sheetPr>
  <dimension ref="A1:K111"/>
  <sheetViews>
    <sheetView view="pageBreakPreview" zoomScale="60" zoomScaleNormal="55" topLeftCell="A54" workbookViewId="0">
      <selection activeCell="G116" sqref="G116"/>
    </sheetView>
  </sheetViews>
  <sheetFormatPr defaultColWidth="8.075" defaultRowHeight="14.25"/>
  <cols>
    <col min="1" max="1" width="88.125" customWidth="1"/>
    <col min="2" max="2" width="8.83333333333333" customWidth="1"/>
    <col min="3" max="3" width="23.8" customWidth="1"/>
    <col min="4" max="4" width="35.9916666666667" customWidth="1"/>
    <col min="6" max="6" width="12.7083333333333"/>
    <col min="8" max="8" width="20.95" style="1170" customWidth="1"/>
    <col min="9" max="9" width="8.075" style="1170"/>
    <col min="10" max="10" width="16.3083333333333" style="1219" customWidth="1"/>
    <col min="11" max="11" width="13.55" style="1170"/>
  </cols>
  <sheetData>
    <row r="1" ht="50.25" spans="1:11">
      <c r="A1" s="1184" t="s">
        <v>575</v>
      </c>
      <c r="B1" s="1184"/>
      <c r="C1" s="1184"/>
      <c r="D1" s="1184"/>
    </row>
    <row r="2" ht="25.5" spans="1:11">
      <c r="A2" s="1220"/>
      <c r="B2" s="1221"/>
      <c r="C2" s="1222"/>
      <c r="D2" s="1223"/>
    </row>
    <row r="3" ht="25.5" spans="1:11">
      <c r="A3" s="1224" t="s">
        <v>576</v>
      </c>
      <c r="B3" s="1224"/>
      <c r="C3" s="1225">
        <f>基本信息!B14</f>
        <v>45991</v>
      </c>
      <c r="D3" s="1226" t="s">
        <v>577</v>
      </c>
    </row>
    <row r="4" spans="1:11">
      <c r="A4" s="1227" t="s">
        <v>578</v>
      </c>
      <c r="B4" s="1228" t="s">
        <v>579</v>
      </c>
      <c r="C4" s="1229">
        <f>C3</f>
        <v>45991</v>
      </c>
      <c r="D4" s="1230">
        <v>45657</v>
      </c>
      <c r="E4" s="1170"/>
    </row>
    <row r="5" spans="1:11">
      <c r="A5" s="1231"/>
      <c r="B5" s="1232"/>
      <c r="C5" s="1233"/>
      <c r="D5" s="1234"/>
      <c r="E5" s="1170"/>
    </row>
    <row r="6" spans="1:11">
      <c r="A6" s="1235"/>
      <c r="B6" s="1236"/>
      <c r="C6" s="1237"/>
      <c r="D6" s="1238"/>
      <c r="E6" s="1170"/>
    </row>
    <row r="7" ht="25.5" spans="1:11">
      <c r="A7" s="1239" t="s">
        <v>104</v>
      </c>
      <c r="B7" s="1240"/>
      <c r="C7" s="1241"/>
      <c r="D7" s="1242"/>
      <c r="E7" s="1170"/>
    </row>
    <row r="8" ht="26.25" spans="1:11">
      <c r="A8" s="1243" t="s">
        <v>199</v>
      </c>
      <c r="B8" s="1244"/>
      <c r="C8" s="1245">
        <f>'BS-合并'!C9</f>
        <v>56972677.29</v>
      </c>
      <c r="D8" s="1246">
        <f>'BS-合并'!B9</f>
        <v>49753271.87</v>
      </c>
      <c r="E8" s="1170"/>
    </row>
    <row r="9" ht="26.25" spans="1:11">
      <c r="A9" s="1243" t="s">
        <v>580</v>
      </c>
      <c r="B9" s="1244"/>
      <c r="C9" s="1245"/>
      <c r="D9" s="1246"/>
      <c r="E9" s="1170"/>
      <c r="K9" s="1219"/>
    </row>
    <row r="10" ht="26.25" spans="1:11">
      <c r="A10" s="1243" t="s">
        <v>205</v>
      </c>
      <c r="B10" s="1244"/>
      <c r="C10" s="1245">
        <f>'BS-合并'!C12</f>
        <v>0</v>
      </c>
      <c r="D10" s="1246">
        <v>0</v>
      </c>
      <c r="E10" s="1170"/>
      <c r="K10" s="1219"/>
    </row>
    <row r="11" ht="26.25" spans="1:11">
      <c r="A11" s="1243" t="s">
        <v>581</v>
      </c>
      <c r="B11" s="1244"/>
      <c r="C11" s="1245"/>
      <c r="D11" s="1246"/>
      <c r="E11" s="1170"/>
      <c r="K11" s="1219"/>
    </row>
    <row r="12" ht="26.25" spans="1:11">
      <c r="A12" s="1243" t="s">
        <v>207</v>
      </c>
      <c r="B12" s="1244"/>
      <c r="C12" s="1245">
        <f>'BS-合并'!C13</f>
        <v>6766158.54</v>
      </c>
      <c r="D12" s="1246">
        <f>'BS-合并'!B13</f>
        <v>29226385.67</v>
      </c>
      <c r="E12" s="1170"/>
    </row>
    <row r="13" ht="26.25" spans="1:11">
      <c r="A13" s="1243" t="s">
        <v>209</v>
      </c>
      <c r="B13" s="1244"/>
      <c r="C13" s="1245">
        <f>'BS-合并'!C14</f>
        <v>115332025.16</v>
      </c>
      <c r="D13" s="1246">
        <f>'BS-合并'!B14</f>
        <v>86579419.31</v>
      </c>
      <c r="E13" s="1170"/>
    </row>
    <row r="14" ht="26.25" spans="1:11">
      <c r="A14" s="1243" t="s">
        <v>211</v>
      </c>
      <c r="B14" s="1244"/>
      <c r="C14" s="1245">
        <f>'BS-合并'!C15</f>
        <v>0</v>
      </c>
      <c r="D14" s="1246">
        <f>'BS-合并'!B15</f>
        <v>1603892.33</v>
      </c>
      <c r="E14" s="1170"/>
    </row>
    <row r="15" ht="26.25" spans="1:11">
      <c r="A15" s="1243" t="s">
        <v>213</v>
      </c>
      <c r="B15" s="1244"/>
      <c r="C15" s="1245">
        <f>'BS-合并'!C16</f>
        <v>7259283.37</v>
      </c>
      <c r="D15" s="1246">
        <f>'BS-合并'!B16</f>
        <v>4883049.75</v>
      </c>
      <c r="E15" s="1170"/>
    </row>
    <row r="16" ht="26.25" spans="1:11">
      <c r="A16" s="1243" t="s">
        <v>219</v>
      </c>
      <c r="B16" s="1244"/>
      <c r="C16" s="1245">
        <f>'BS-合并'!C17+'BS-合并'!C18+'BS-合并'!C19</f>
        <v>721163.11</v>
      </c>
      <c r="D16" s="1246">
        <f>'BS-合并'!B19</f>
        <v>938609.95</v>
      </c>
      <c r="E16" s="1170"/>
    </row>
    <row r="17" ht="26.25" spans="1:8">
      <c r="A17" s="1243" t="s">
        <v>221</v>
      </c>
      <c r="B17" s="1244"/>
      <c r="C17" s="1245">
        <f>'BS-合并'!C20</f>
        <v>113311288.21</v>
      </c>
      <c r="D17" s="1246">
        <f>'BS-合并'!B20</f>
        <v>89565843.33</v>
      </c>
      <c r="E17" s="1170"/>
    </row>
    <row r="18" ht="26.25" spans="1:8">
      <c r="A18" s="1243" t="s">
        <v>230</v>
      </c>
      <c r="B18" s="1244"/>
      <c r="C18" s="1245">
        <f>'资产负债表-合并 (2)'!C23</f>
        <v>1426653.04</v>
      </c>
      <c r="D18" s="1246">
        <f>'BS-合并'!B26</f>
        <v>5174733.34</v>
      </c>
      <c r="E18" s="1170"/>
    </row>
    <row r="19" ht="26.25" spans="1:8">
      <c r="A19" s="1243" t="s">
        <v>582</v>
      </c>
      <c r="B19" s="1244"/>
      <c r="C19" s="1245"/>
      <c r="D19" s="1246"/>
      <c r="E19" s="1170"/>
    </row>
    <row r="20" ht="26.25" spans="1:8">
      <c r="A20" s="1243" t="s">
        <v>232</v>
      </c>
      <c r="B20" s="1244"/>
      <c r="C20" s="1245">
        <f>'BS-合并'!C27</f>
        <v>0</v>
      </c>
      <c r="D20" s="1246"/>
      <c r="E20" s="1170"/>
    </row>
    <row r="21" ht="26.25" spans="1:8">
      <c r="A21" s="1243" t="s">
        <v>234</v>
      </c>
      <c r="B21" s="1244"/>
      <c r="C21" s="1245">
        <f>'BS-合并'!C28</f>
        <v>3625070.26</v>
      </c>
      <c r="D21" s="1246">
        <f>'BS-合并'!B28</f>
        <v>1383995.42</v>
      </c>
      <c r="E21" s="1170"/>
    </row>
    <row r="22" ht="26.25" spans="1:8">
      <c r="A22" s="1243"/>
      <c r="B22" s="1244"/>
      <c r="C22" s="1245"/>
      <c r="D22" s="1246"/>
      <c r="E22" s="1170"/>
    </row>
    <row r="23" ht="26.25" spans="1:8">
      <c r="A23" s="1243"/>
      <c r="B23" s="1244"/>
      <c r="C23" s="1245"/>
      <c r="D23" s="1246"/>
      <c r="E23" s="1170"/>
    </row>
    <row r="24" ht="26.25" spans="1:8">
      <c r="A24" s="1243"/>
      <c r="B24" s="1244"/>
      <c r="C24" s="1245"/>
      <c r="D24" s="1246"/>
      <c r="E24" s="1170"/>
    </row>
    <row r="25" ht="25.5" spans="1:8">
      <c r="A25" s="1247" t="s">
        <v>236</v>
      </c>
      <c r="B25" s="1248"/>
      <c r="C25" s="1249">
        <f>SUM(C8:C24)</f>
        <v>305414318.98</v>
      </c>
      <c r="D25" s="1249">
        <f>SUM(D8:D24)</f>
        <v>269109200.97</v>
      </c>
      <c r="E25" s="1170"/>
      <c r="F25">
        <f>C25-'BS-合并'!C29</f>
        <v>0</v>
      </c>
      <c r="H25" s="1170">
        <f>D25-'BS-合并'!B29</f>
        <v>0</v>
      </c>
    </row>
    <row r="26" ht="26.25" spans="1:8">
      <c r="A26" s="1243" t="s">
        <v>146</v>
      </c>
      <c r="B26" s="1244"/>
      <c r="C26" s="1245"/>
      <c r="D26" s="1246"/>
      <c r="E26" s="1170"/>
    </row>
    <row r="27" ht="26.25" spans="1:8">
      <c r="A27" s="1243" t="s">
        <v>583</v>
      </c>
      <c r="B27" s="1244"/>
      <c r="C27" s="1245"/>
      <c r="D27" s="1246"/>
      <c r="E27" s="1170"/>
    </row>
    <row r="28" ht="26.25" spans="1:8">
      <c r="A28" s="1243" t="s">
        <v>242</v>
      </c>
      <c r="B28" s="1244"/>
      <c r="C28" s="1245"/>
      <c r="D28" s="1246"/>
      <c r="E28" s="1170"/>
    </row>
    <row r="29" ht="26.25" spans="1:8">
      <c r="A29" s="1243" t="s">
        <v>584</v>
      </c>
      <c r="B29" s="1244"/>
      <c r="C29" s="1245"/>
      <c r="D29" s="1246"/>
      <c r="E29" s="1170"/>
    </row>
    <row r="30" ht="26.25" spans="1:8">
      <c r="A30" s="1243" t="s">
        <v>244</v>
      </c>
      <c r="B30" s="1244"/>
      <c r="C30" s="1245"/>
      <c r="D30" s="1246"/>
      <c r="E30" s="1170"/>
    </row>
    <row r="31" ht="26.25" spans="1:8">
      <c r="A31" s="1243" t="s">
        <v>246</v>
      </c>
      <c r="B31" s="1244"/>
      <c r="C31" s="1245">
        <f>'BS-合并'!C36</f>
        <v>0</v>
      </c>
      <c r="D31" s="1246">
        <v>0</v>
      </c>
      <c r="E31" s="1170"/>
    </row>
    <row r="32" ht="26.25" spans="1:8">
      <c r="A32" s="1243" t="s">
        <v>248</v>
      </c>
      <c r="B32" s="1244"/>
      <c r="C32" s="1245">
        <f>'BS-合并'!C37</f>
        <v>0</v>
      </c>
      <c r="D32" s="1246">
        <v>0</v>
      </c>
      <c r="E32" s="1170"/>
    </row>
    <row r="33" ht="26.25" spans="1:5">
      <c r="A33" s="1243" t="s">
        <v>585</v>
      </c>
      <c r="B33" s="1244"/>
      <c r="C33" s="1245"/>
      <c r="D33" s="1246"/>
      <c r="E33" s="1170"/>
    </row>
    <row r="34" ht="26.25" spans="1:5">
      <c r="A34" s="1243" t="s">
        <v>586</v>
      </c>
      <c r="B34" s="1244"/>
      <c r="C34" s="1245">
        <f>'BS-合并'!C38</f>
        <v>3000000</v>
      </c>
      <c r="D34" s="1246">
        <f>'BS-合并'!B38</f>
        <v>17507065.67</v>
      </c>
      <c r="E34" s="1170"/>
    </row>
    <row r="35" ht="26.25" spans="1:5">
      <c r="A35" s="1243" t="s">
        <v>250</v>
      </c>
      <c r="B35" s="1244"/>
      <c r="C35" s="1245"/>
      <c r="D35" s="1246"/>
      <c r="E35" s="1170"/>
    </row>
    <row r="36" ht="26.25" spans="1:5">
      <c r="A36" s="1243" t="s">
        <v>251</v>
      </c>
      <c r="B36" s="1244"/>
      <c r="C36" s="1245">
        <f>'BS-合并'!C42</f>
        <v>195252168.48</v>
      </c>
      <c r="D36" s="1246">
        <f>'BS-合并'!B42</f>
        <v>201083971.77</v>
      </c>
      <c r="E36" s="1170"/>
    </row>
    <row r="37" ht="26.25" spans="1:5">
      <c r="A37" s="1243" t="s">
        <v>257</v>
      </c>
      <c r="B37" s="1244"/>
      <c r="C37" s="1245">
        <f>'BS-合并'!C43</f>
        <v>42663259.62</v>
      </c>
      <c r="D37" s="1246">
        <f>'BS-合并'!B43</f>
        <v>11313316.66</v>
      </c>
      <c r="E37" s="1170"/>
    </row>
    <row r="38" ht="26.25" spans="1:5">
      <c r="A38" s="1243" t="s">
        <v>261</v>
      </c>
      <c r="B38" s="1244"/>
      <c r="C38" s="1245"/>
      <c r="D38" s="1246"/>
      <c r="E38" s="1170"/>
    </row>
    <row r="39" ht="26.25" spans="1:5">
      <c r="A39" s="1243" t="s">
        <v>263</v>
      </c>
      <c r="B39" s="1244"/>
      <c r="C39" s="1245"/>
      <c r="D39" s="1246"/>
      <c r="E39" s="1170"/>
    </row>
    <row r="40" ht="26.25" spans="1:5">
      <c r="A40" s="1243" t="s">
        <v>587</v>
      </c>
      <c r="B40" s="1244"/>
      <c r="C40" s="1245"/>
      <c r="D40" s="1246"/>
      <c r="E40" s="1170"/>
    </row>
    <row r="41" ht="26.25" spans="1:5">
      <c r="A41" s="1243" t="s">
        <v>265</v>
      </c>
      <c r="B41" s="1244"/>
      <c r="C41" s="1245">
        <f>'BS-合并'!C47</f>
        <v>13011878.2</v>
      </c>
      <c r="D41" s="1246">
        <f>'BS-合并'!B47</f>
        <v>13123470.23</v>
      </c>
      <c r="E41" s="1170"/>
    </row>
    <row r="42" ht="26.25" spans="1:5">
      <c r="A42" s="1243" t="s">
        <v>267</v>
      </c>
      <c r="B42" s="1244"/>
      <c r="C42" s="1245"/>
      <c r="D42" s="1246"/>
      <c r="E42" s="1170"/>
    </row>
    <row r="43" ht="26.25" spans="1:5">
      <c r="A43" s="1243" t="s">
        <v>268</v>
      </c>
      <c r="B43" s="1244"/>
      <c r="C43" s="1245">
        <f>'BS-合并'!C49</f>
        <v>4043375.5</v>
      </c>
      <c r="D43" s="1246">
        <f>'BS-合并'!B49</f>
        <v>4043375.5</v>
      </c>
      <c r="E43" s="1170"/>
    </row>
    <row r="44" ht="26.25" spans="1:5">
      <c r="A44" s="1243" t="s">
        <v>269</v>
      </c>
      <c r="B44" s="1248"/>
      <c r="C44" s="1245">
        <f>'BS-合并'!C50</f>
        <v>3260114.95</v>
      </c>
      <c r="D44" s="1246">
        <f>'BS-合并'!B50</f>
        <v>4841651.65</v>
      </c>
      <c r="E44" s="1170"/>
    </row>
    <row r="45" ht="26.25" spans="1:5">
      <c r="A45" s="1243" t="s">
        <v>270</v>
      </c>
      <c r="B45" s="1244"/>
      <c r="C45" s="1245">
        <f>'BS-合并'!C51</f>
        <v>10042.63</v>
      </c>
      <c r="D45" s="1246">
        <f>'BS-合并'!B51</f>
        <v>10042.63</v>
      </c>
      <c r="E45" s="1170"/>
    </row>
    <row r="46" ht="26.25" spans="1:5">
      <c r="A46" s="1243" t="s">
        <v>271</v>
      </c>
      <c r="B46" s="1244"/>
      <c r="C46" s="1245">
        <f>'BS-合并'!C52</f>
        <v>0</v>
      </c>
      <c r="D46" s="1246">
        <v>0</v>
      </c>
      <c r="E46" s="1170"/>
    </row>
    <row r="47" ht="26.25" spans="1:5">
      <c r="A47" s="1243"/>
      <c r="B47" s="1244"/>
      <c r="C47" s="1245"/>
      <c r="D47" s="1246"/>
      <c r="E47" s="1170"/>
    </row>
    <row r="48" ht="26.25" spans="1:5">
      <c r="A48" s="1243"/>
      <c r="B48" s="1244"/>
      <c r="C48" s="1245"/>
      <c r="D48" s="1246"/>
      <c r="E48" s="1170"/>
    </row>
    <row r="49" ht="26.25" spans="1:8">
      <c r="A49" s="1243"/>
      <c r="B49" s="1244"/>
      <c r="C49" s="1245"/>
      <c r="D49" s="1246"/>
      <c r="E49" s="1170"/>
    </row>
    <row r="50" ht="25.5" spans="1:8">
      <c r="A50" s="1247" t="s">
        <v>272</v>
      </c>
      <c r="B50" s="1248"/>
      <c r="C50" s="1249">
        <f>SUM(C27:C49)</f>
        <v>261240839.38</v>
      </c>
      <c r="D50" s="1249">
        <f>SUM(D27:D49)</f>
        <v>251922894.11</v>
      </c>
      <c r="E50" s="1170"/>
      <c r="F50">
        <f>C50-'BS-合并'!C53</f>
        <v>0</v>
      </c>
      <c r="H50" s="1170">
        <f>D50-'BS-合并'!B53</f>
        <v>0</v>
      </c>
    </row>
    <row r="51" ht="25.5" spans="1:8">
      <c r="A51" s="1250"/>
      <c r="B51" s="1251"/>
      <c r="C51" s="1252"/>
      <c r="D51" s="1253"/>
      <c r="E51" s="1170"/>
    </row>
    <row r="52" ht="25.5" spans="1:8">
      <c r="A52" s="1254" t="s">
        <v>188</v>
      </c>
      <c r="B52" s="1255"/>
      <c r="C52" s="1256">
        <f>C50+C25</f>
        <v>566655158.36</v>
      </c>
      <c r="D52" s="1256">
        <f>D50+D25</f>
        <v>521032095.08</v>
      </c>
      <c r="E52" s="1170"/>
      <c r="F52">
        <f>C52-'BS-合并'!C54</f>
        <v>0</v>
      </c>
      <c r="H52" s="1170">
        <f>D52-'BS-合并'!B54</f>
        <v>0</v>
      </c>
    </row>
    <row r="53" ht="25.5" spans="1:8">
      <c r="A53" s="1257"/>
      <c r="B53" s="1257"/>
      <c r="C53" s="1258"/>
      <c r="D53" s="1258"/>
      <c r="E53" s="1170"/>
    </row>
    <row r="54" ht="50.25" spans="1:8">
      <c r="A54" s="1259" t="s">
        <v>588</v>
      </c>
      <c r="B54" s="1259"/>
      <c r="C54" s="1259"/>
      <c r="D54" s="1259"/>
      <c r="E54" s="1170"/>
    </row>
    <row r="55" ht="25.5" spans="1:8">
      <c r="A55" s="1260"/>
      <c r="B55" s="1260"/>
      <c r="C55" s="1261"/>
      <c r="D55" s="1261"/>
      <c r="E55" s="1170"/>
    </row>
    <row r="56" ht="25.5" spans="1:8">
      <c r="A56" s="1262" t="str">
        <f>A3</f>
        <v>编制单位：飞而康快速制造科技有限责任公司</v>
      </c>
      <c r="B56" s="1262"/>
      <c r="C56" s="1263"/>
      <c r="D56" s="1264" t="s">
        <v>577</v>
      </c>
      <c r="E56" s="1170"/>
    </row>
    <row r="57" spans="1:8">
      <c r="A57" s="1265" t="s">
        <v>589</v>
      </c>
      <c r="B57" s="1266" t="s">
        <v>579</v>
      </c>
      <c r="C57" s="1267">
        <f>C4</f>
        <v>45991</v>
      </c>
      <c r="D57" s="1268">
        <v>45657</v>
      </c>
      <c r="E57" s="1170"/>
    </row>
    <row r="58" spans="1:8">
      <c r="A58" s="1269"/>
      <c r="B58" s="1270"/>
      <c r="C58" s="1271"/>
      <c r="D58" s="1272"/>
      <c r="E58" s="1170"/>
    </row>
    <row r="59" spans="1:8">
      <c r="A59" s="1273"/>
      <c r="B59" s="1274"/>
      <c r="C59" s="1275"/>
      <c r="D59" s="1276"/>
      <c r="E59" s="1170"/>
    </row>
    <row r="60" ht="25.5" spans="1:8">
      <c r="A60" s="1247" t="s">
        <v>105</v>
      </c>
      <c r="B60" s="1277"/>
      <c r="C60" s="1241"/>
      <c r="D60" s="1242"/>
      <c r="E60" s="1170"/>
    </row>
    <row r="61" ht="26.25" spans="1:8">
      <c r="A61" s="1243" t="s">
        <v>200</v>
      </c>
      <c r="B61" s="1244"/>
      <c r="C61" s="1245">
        <f>'BS-合并'!F9</f>
        <v>116552069.19</v>
      </c>
      <c r="D61" s="1246">
        <f>'BS-合并'!E9</f>
        <v>102786687.09</v>
      </c>
      <c r="E61" s="1170"/>
    </row>
    <row r="62" ht="26.25" spans="1:8">
      <c r="A62" s="1243" t="s">
        <v>590</v>
      </c>
      <c r="B62" s="1244"/>
      <c r="C62" s="1245"/>
      <c r="D62" s="1246"/>
      <c r="E62" s="1170"/>
    </row>
    <row r="63" ht="26.25" spans="1:8">
      <c r="A63" s="1243" t="s">
        <v>202</v>
      </c>
      <c r="B63" s="1244"/>
      <c r="C63" s="1245"/>
      <c r="D63" s="1246"/>
      <c r="E63" s="1170"/>
    </row>
    <row r="64" ht="26.25" spans="1:8">
      <c r="A64" s="1243" t="s">
        <v>591</v>
      </c>
      <c r="B64" s="1244"/>
      <c r="C64" s="1245"/>
      <c r="D64" s="1246"/>
      <c r="E64" s="1170"/>
    </row>
    <row r="65" ht="26.25" spans="1:8">
      <c r="A65" s="1243" t="s">
        <v>204</v>
      </c>
      <c r="B65" s="1244"/>
      <c r="C65" s="1245">
        <f>'BS-合并'!F11</f>
        <v>1128557.48</v>
      </c>
      <c r="D65" s="1246">
        <v>0</v>
      </c>
      <c r="E65" s="1170"/>
    </row>
    <row r="66" ht="26.25" spans="1:8">
      <c r="A66" s="1243" t="s">
        <v>206</v>
      </c>
      <c r="B66" s="1244"/>
      <c r="C66" s="1245">
        <f>'BS-合并'!F12</f>
        <v>149330873.6</v>
      </c>
      <c r="D66" s="1246">
        <f>'BS-合并'!E12</f>
        <v>118349426.54</v>
      </c>
      <c r="E66" s="1170"/>
    </row>
    <row r="67" ht="26.25" spans="1:8">
      <c r="A67" s="1243" t="s">
        <v>592</v>
      </c>
      <c r="B67" s="1244"/>
      <c r="C67" s="1245">
        <f>'BS-合并'!F13</f>
        <v>3510493.86</v>
      </c>
      <c r="D67" s="1246">
        <f>'BS-合并'!E13</f>
        <v>0</v>
      </c>
      <c r="E67" s="1170"/>
    </row>
    <row r="68" ht="26.25" spans="1:8">
      <c r="A68" s="1243" t="s">
        <v>210</v>
      </c>
      <c r="B68" s="1244"/>
      <c r="C68" s="1245">
        <f>'BS-合并'!F14</f>
        <v>5289417.98</v>
      </c>
      <c r="D68" s="1246">
        <f>'BS-合并'!E14</f>
        <v>9067703.59</v>
      </c>
      <c r="E68" s="1170"/>
    </row>
    <row r="69" ht="26.25" spans="1:8">
      <c r="A69" s="1243" t="s">
        <v>212</v>
      </c>
      <c r="B69" s="1244"/>
      <c r="C69" s="1245">
        <f>'BS-合并'!F15</f>
        <v>3192067.91</v>
      </c>
      <c r="D69" s="1246">
        <f>'BS-合并'!E15</f>
        <v>7566027.49</v>
      </c>
      <c r="E69" s="1170"/>
    </row>
    <row r="70" ht="26.25" spans="1:8">
      <c r="A70" s="1243" t="s">
        <v>214</v>
      </c>
      <c r="B70" s="1244"/>
      <c r="C70" s="1245">
        <f>'BS-合并'!F16</f>
        <v>738098.44</v>
      </c>
      <c r="D70" s="1246">
        <f>'BS-合并'!E16</f>
        <v>3095811.72</v>
      </c>
      <c r="E70" s="1170"/>
    </row>
    <row r="71" ht="26.25" spans="1:8">
      <c r="A71" s="1243" t="s">
        <v>220</v>
      </c>
      <c r="B71" s="1244"/>
      <c r="C71" s="1245">
        <f>'BS-合并'!F17+'BS-合并'!F18+'BS-合并'!F19</f>
        <v>3937706.1</v>
      </c>
      <c r="D71" s="1246">
        <f>'BS-合并'!E19</f>
        <v>1627343.65</v>
      </c>
      <c r="E71" s="1170"/>
    </row>
    <row r="72" ht="26.25" spans="1:8">
      <c r="A72" s="1243" t="s">
        <v>593</v>
      </c>
      <c r="B72" s="1244"/>
      <c r="C72" s="1245"/>
      <c r="D72" s="1246"/>
      <c r="E72" s="1170"/>
    </row>
    <row r="73" ht="26.25" spans="1:8">
      <c r="A73" s="1243" t="s">
        <v>222</v>
      </c>
      <c r="B73" s="1244"/>
      <c r="C73" s="1245">
        <f>'BS-合并'!F20</f>
        <v>8372322.74</v>
      </c>
      <c r="D73" s="1246">
        <f>'BS-合并'!E20</f>
        <v>35008703.7</v>
      </c>
      <c r="E73" s="1170"/>
    </row>
    <row r="74" ht="26.25" spans="1:8">
      <c r="A74" s="1243" t="s">
        <v>224</v>
      </c>
      <c r="B74" s="1244"/>
      <c r="C74" s="1245">
        <f>'BS-合并'!F21</f>
        <v>4279795.62</v>
      </c>
      <c r="D74" s="1246">
        <f>'BS-合并'!E21</f>
        <v>22779924.08</v>
      </c>
      <c r="E74" s="1170"/>
    </row>
    <row r="75" ht="26.25" spans="1:8">
      <c r="A75" s="1243"/>
      <c r="B75" s="1244"/>
      <c r="C75" s="1245"/>
      <c r="D75" s="1246"/>
      <c r="E75" s="1170"/>
    </row>
    <row r="76" ht="25.5" spans="1:8">
      <c r="A76" s="1247" t="s">
        <v>229</v>
      </c>
      <c r="B76" s="1248"/>
      <c r="C76" s="1249">
        <f>SUM(C61:C75)</f>
        <v>296331402.92</v>
      </c>
      <c r="D76" s="1249">
        <f>SUM(D61:D75)</f>
        <v>300281627.86</v>
      </c>
      <c r="E76" s="1170"/>
      <c r="F76">
        <f>C76-'BS-合并'!F25</f>
        <v>0</v>
      </c>
      <c r="H76" s="1170">
        <f>D76-'BS-合并'!E25</f>
        <v>0</v>
      </c>
    </row>
    <row r="77" ht="26.25" spans="1:8">
      <c r="A77" s="1243" t="s">
        <v>144</v>
      </c>
      <c r="B77" s="1244"/>
      <c r="C77" s="1245"/>
      <c r="D77" s="1246"/>
      <c r="E77" s="1170"/>
    </row>
    <row r="78" ht="26.25" spans="1:8">
      <c r="A78" s="1243" t="s">
        <v>233</v>
      </c>
      <c r="B78" s="1244"/>
      <c r="C78" s="1245">
        <f>'BS-合并'!F27</f>
        <v>48710000</v>
      </c>
      <c r="D78" s="1246">
        <f>'BS-合并'!E27</f>
        <v>23800000</v>
      </c>
      <c r="E78" s="1170"/>
    </row>
    <row r="79" ht="26.25" spans="1:8">
      <c r="A79" s="1243" t="s">
        <v>235</v>
      </c>
      <c r="B79" s="1244"/>
      <c r="C79" s="1245"/>
      <c r="D79" s="1246"/>
      <c r="E79" s="1170"/>
    </row>
    <row r="80" ht="26.25" spans="1:8">
      <c r="A80" s="1243" t="s">
        <v>594</v>
      </c>
      <c r="B80" s="1244"/>
      <c r="C80" s="1245"/>
      <c r="D80" s="1246"/>
      <c r="E80" s="1170"/>
    </row>
    <row r="81" ht="26.25" spans="1:8">
      <c r="A81" s="1243" t="s">
        <v>595</v>
      </c>
      <c r="B81" s="1244"/>
      <c r="C81" s="1245"/>
      <c r="D81" s="1246"/>
      <c r="E81" s="1170"/>
    </row>
    <row r="82" ht="26.25" spans="1:8">
      <c r="A82" s="1243" t="s">
        <v>596</v>
      </c>
      <c r="B82" s="1244"/>
      <c r="C82" s="1245"/>
      <c r="D82" s="1246"/>
      <c r="E82" s="1170"/>
    </row>
    <row r="83" ht="26.25" spans="1:8">
      <c r="A83" s="1243" t="s">
        <v>237</v>
      </c>
      <c r="B83" s="1244"/>
      <c r="C83" s="1245">
        <f>'BS-合并'!F29</f>
        <v>0</v>
      </c>
      <c r="D83" s="1246">
        <v>0</v>
      </c>
      <c r="E83" s="1170"/>
    </row>
    <row r="84" ht="26.25" spans="1:8">
      <c r="A84" s="1243" t="s">
        <v>597</v>
      </c>
      <c r="B84" s="1244"/>
      <c r="C84" s="1245"/>
      <c r="D84" s="1246"/>
      <c r="E84" s="1170"/>
    </row>
    <row r="85" ht="26.25" spans="1:8">
      <c r="A85" s="1243" t="s">
        <v>239</v>
      </c>
      <c r="B85" s="1244"/>
      <c r="C85" s="1245"/>
      <c r="D85" s="1246"/>
      <c r="E85" s="1170"/>
    </row>
    <row r="86" ht="26.25" spans="1:8">
      <c r="A86" s="1243" t="s">
        <v>240</v>
      </c>
      <c r="B86" s="1244"/>
      <c r="C86" s="1245">
        <f>'BS-合并'!F32</f>
        <v>33930808.61</v>
      </c>
      <c r="D86" s="1246">
        <f>'BS-合并'!E32</f>
        <v>6958008.61</v>
      </c>
      <c r="E86" s="1170"/>
    </row>
    <row r="87" ht="26.25" spans="1:8">
      <c r="A87" s="1243" t="s">
        <v>241</v>
      </c>
      <c r="B87" s="1244"/>
      <c r="C87" s="1245"/>
      <c r="D87" s="1246"/>
      <c r="E87" s="1170"/>
    </row>
    <row r="88" ht="26.25" spans="1:8">
      <c r="A88" s="1243" t="s">
        <v>243</v>
      </c>
      <c r="B88" s="1244"/>
      <c r="C88" s="1245"/>
      <c r="D88" s="1246"/>
      <c r="E88" s="1170"/>
    </row>
    <row r="89" ht="26.25" spans="1:8">
      <c r="A89" s="1243"/>
      <c r="B89" s="1244"/>
      <c r="C89" s="1245"/>
      <c r="D89" s="1246"/>
      <c r="E89" s="1170"/>
    </row>
    <row r="90" ht="25.5" spans="1:8">
      <c r="A90" s="1247" t="s">
        <v>598</v>
      </c>
      <c r="B90" s="1248"/>
      <c r="C90" s="1249">
        <f>SUM(C78:C89)-C80-C81</f>
        <v>82640808.61</v>
      </c>
      <c r="D90" s="1249">
        <f>SUM(D78:D89)-D80-D81</f>
        <v>30758008.61</v>
      </c>
      <c r="E90" s="1170"/>
      <c r="F90">
        <f>D90-'BS-合并'!E35</f>
        <v>0</v>
      </c>
      <c r="H90" s="1170">
        <f>C90-'BS-合并'!F35</f>
        <v>0</v>
      </c>
    </row>
    <row r="91" ht="25.5" spans="1:8">
      <c r="A91" s="1247" t="s">
        <v>167</v>
      </c>
      <c r="B91" s="1248"/>
      <c r="C91" s="1249">
        <f>C90+C76</f>
        <v>378972211.53</v>
      </c>
      <c r="D91" s="1249">
        <f>D90+D76</f>
        <v>331039636.47</v>
      </c>
      <c r="E91" s="1170"/>
      <c r="F91">
        <f>C91-'BS-合并'!F36</f>
        <v>0</v>
      </c>
      <c r="H91" s="1170">
        <f>D91-'BS-合并'!E36</f>
        <v>0</v>
      </c>
    </row>
    <row r="92" ht="26.25" spans="1:8">
      <c r="A92" s="1247" t="s">
        <v>599</v>
      </c>
      <c r="B92" s="1244"/>
      <c r="C92" s="1245"/>
      <c r="D92" s="1246"/>
      <c r="E92" s="1170"/>
    </row>
    <row r="93" ht="26.25" spans="1:8">
      <c r="A93" s="1243" t="s">
        <v>600</v>
      </c>
      <c r="B93" s="1244"/>
      <c r="C93" s="1245">
        <f>'BS-合并'!F40</f>
        <v>262811200</v>
      </c>
      <c r="D93" s="1246">
        <v>260216000</v>
      </c>
      <c r="E93" s="1170"/>
    </row>
    <row r="94" ht="26.25" spans="1:8">
      <c r="A94" s="1243" t="s">
        <v>601</v>
      </c>
      <c r="B94" s="1244"/>
      <c r="C94" s="1245"/>
      <c r="D94" s="1246"/>
      <c r="E94" s="1170"/>
    </row>
    <row r="95" ht="26.25" spans="1:8">
      <c r="A95" s="1243" t="s">
        <v>602</v>
      </c>
      <c r="B95" s="1244"/>
      <c r="C95" s="1245"/>
      <c r="D95" s="1246"/>
      <c r="E95" s="1170"/>
    </row>
    <row r="96" ht="26.25" spans="1:8">
      <c r="A96" s="1243" t="s">
        <v>603</v>
      </c>
      <c r="B96" s="1244"/>
      <c r="C96" s="1245"/>
      <c r="D96" s="1246"/>
      <c r="E96" s="1170"/>
    </row>
    <row r="97" ht="26.25" spans="1:8">
      <c r="A97" s="1243" t="s">
        <v>254</v>
      </c>
      <c r="B97" s="1244"/>
      <c r="C97" s="1245">
        <f>'BS-合并'!F41</f>
        <v>117650144.33</v>
      </c>
      <c r="D97" s="1246">
        <v>105245344.33</v>
      </c>
      <c r="E97" s="1170"/>
    </row>
    <row r="98" ht="26.25" spans="1:8">
      <c r="A98" s="1243" t="s">
        <v>256</v>
      </c>
      <c r="B98" s="1244"/>
      <c r="C98" s="1245"/>
      <c r="D98" s="1246"/>
      <c r="E98" s="1170"/>
    </row>
    <row r="99" ht="26.25" spans="1:8">
      <c r="A99" s="1243" t="s">
        <v>604</v>
      </c>
      <c r="B99" s="1244"/>
      <c r="C99" s="1245"/>
      <c r="D99" s="1246"/>
      <c r="E99" s="1170"/>
    </row>
    <row r="100" ht="26.25" spans="1:8">
      <c r="A100" s="1243" t="s">
        <v>605</v>
      </c>
      <c r="B100" s="1244"/>
      <c r="C100" s="1245"/>
      <c r="D100" s="1246"/>
      <c r="E100" s="1170"/>
    </row>
    <row r="101" ht="26.25" spans="1:8">
      <c r="A101" s="1243" t="s">
        <v>258</v>
      </c>
      <c r="B101" s="1244"/>
      <c r="C101" s="1245"/>
      <c r="D101" s="1246"/>
      <c r="E101" s="1170"/>
    </row>
    <row r="102" ht="26.25" spans="1:8">
      <c r="A102" s="1243" t="s">
        <v>260</v>
      </c>
      <c r="B102" s="1244"/>
      <c r="C102" s="1245">
        <f>'BS-合并'!F44</f>
        <v>-194567986.023268</v>
      </c>
      <c r="D102" s="1246">
        <f>'BS-合并'!E44</f>
        <v>-177215222.36</v>
      </c>
      <c r="E102" s="1170"/>
      <c r="F102">
        <f>C102-'BS-合并'!F44</f>
        <v>0</v>
      </c>
      <c r="H102" s="1170">
        <f>D102-'BS-合并'!E44</f>
        <v>0</v>
      </c>
    </row>
    <row r="103" ht="25.5" spans="1:8">
      <c r="A103" s="1247" t="s">
        <v>606</v>
      </c>
      <c r="B103" s="1248"/>
      <c r="C103" s="1278">
        <f>C93+C97+C102</f>
        <v>185893358.306732</v>
      </c>
      <c r="D103" s="1249">
        <f>D93+D97+D102</f>
        <v>188246121.97</v>
      </c>
      <c r="E103" s="1170"/>
      <c r="F103">
        <f>C103-'BS-合并'!F45</f>
        <v>0</v>
      </c>
      <c r="H103" s="1170">
        <f>D103-'BS-合并'!E45</f>
        <v>0</v>
      </c>
    </row>
    <row r="104" ht="26.25" spans="1:8">
      <c r="A104" s="1243" t="s">
        <v>264</v>
      </c>
      <c r="B104" s="1244"/>
      <c r="C104" s="1245">
        <f>'BS-合并'!F46</f>
        <v>1789588.52</v>
      </c>
      <c r="D104" s="1246">
        <f>'BS-合并'!E46</f>
        <v>1746336.64</v>
      </c>
      <c r="E104" s="1170"/>
      <c r="F104">
        <f>C104-'BS-合并'!F46</f>
        <v>0</v>
      </c>
      <c r="H104" s="1170">
        <f>D104-'BS-合并'!E46</f>
        <v>0</v>
      </c>
    </row>
    <row r="105" ht="25.5" spans="1:8">
      <c r="A105" s="1250" t="s">
        <v>607</v>
      </c>
      <c r="B105" s="1251"/>
      <c r="C105" s="1252">
        <f>C103+C104</f>
        <v>187682946.826732</v>
      </c>
      <c r="D105" s="1253">
        <f>D103+D104</f>
        <v>189992458.61</v>
      </c>
      <c r="E105" s="1170"/>
      <c r="F105">
        <f>C105-'BS-合并'!F47</f>
        <v>0</v>
      </c>
      <c r="H105" s="1170">
        <f>D105-'BS-合并'!E47</f>
        <v>0</v>
      </c>
    </row>
    <row r="106" ht="25.5" spans="1:8">
      <c r="A106" s="1254" t="s">
        <v>608</v>
      </c>
      <c r="B106" s="1255"/>
      <c r="C106" s="1256">
        <f>C105+C91</f>
        <v>566655158.356732</v>
      </c>
      <c r="D106" s="1256">
        <f>D105+D91</f>
        <v>521032095.08</v>
      </c>
      <c r="E106" s="1170"/>
      <c r="F106">
        <f>C106-'BS-合并'!F54</f>
        <v>0</v>
      </c>
      <c r="H106" s="1170">
        <f>D106-'BS-合并'!E54</f>
        <v>0</v>
      </c>
    </row>
    <row r="109" spans="1:8">
      <c r="C109" s="822">
        <f>C106-C52</f>
        <v>-0.00326776504516602</v>
      </c>
      <c r="D109" s="833">
        <f>D106-D52</f>
        <v>0</v>
      </c>
    </row>
    <row r="111" spans="1:8">
      <c r="D111" s="830"/>
    </row>
  </sheetData>
  <mergeCells count="8">
    <mergeCell ref="A4:A6"/>
    <mergeCell ref="A57:A59"/>
    <mergeCell ref="B4:B6"/>
    <mergeCell ref="B57:B59"/>
    <mergeCell ref="C4:C6"/>
    <mergeCell ref="C57:C59"/>
    <mergeCell ref="D4:D6"/>
    <mergeCell ref="D57:D59"/>
  </mergeCells>
  <conditionalFormatting sqref="A2">
    <cfRule type="cellIs" dxfId="36" priority="1" operator="notEqual">
      <formula>0</formula>
    </cfRule>
  </conditionalFormatting>
  <conditionalFormatting sqref="D53">
    <cfRule type="cellIs" dxfId="37" priority="4" stopIfTrue="1" operator="notEqual">
      <formula>#REF!</formula>
    </cfRule>
  </conditionalFormatting>
  <conditionalFormatting sqref="B88:D88">
    <cfRule type="cellIs" priority="2" stopIfTrue="1" operator="notEqual">
      <formula>""""""</formula>
    </cfRule>
  </conditionalFormatting>
  <conditionalFormatting sqref="B22:B24">
    <cfRule type="cellIs" priority="3" stopIfTrue="1" operator="notEqual">
      <formula>""""""</formula>
    </cfRule>
  </conditionalFormatting>
  <conditionalFormatting sqref="C52:C53 D52">
    <cfRule type="cellIs" dxfId="38" priority="5" operator="notEqual">
      <formula>#REF!</formula>
    </cfRule>
  </conditionalFormatting>
  <pageMargins left="0.75" right="0.75" top="1" bottom="1" header="0.5" footer="0.5"/>
  <pageSetup paperSize="9" scale="53" fitToHeight="0" orientation="portrait"/>
  <headerFooter/>
  <rowBreaks count="1" manualBreakCount="1">
    <brk id="53"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C000"/>
    <pageSetUpPr fitToPage="1"/>
  </sheetPr>
  <dimension ref="A1:H64"/>
  <sheetViews>
    <sheetView view="pageBreakPreview" zoomScale="60" zoomScaleNormal="70" workbookViewId="0">
      <selection activeCell="G25" sqref="G25"/>
    </sheetView>
  </sheetViews>
  <sheetFormatPr defaultColWidth="8.075" defaultRowHeight="14.25" outlineLevelCol="7"/>
  <cols>
    <col min="1" max="1" width="80.7166666666667" customWidth="1"/>
    <col min="2" max="2" width="7.99166666666667" customWidth="1"/>
    <col min="3" max="3" width="35.9916666666667" customWidth="1"/>
    <col min="4" max="4" width="31.5333333333333" customWidth="1"/>
    <col min="6" max="7" width="16.7833333333333" customWidth="1"/>
    <col min="8" max="8" width="14.625"/>
  </cols>
  <sheetData>
    <row r="1" ht="50.25" spans="1:7">
      <c r="A1" s="1184" t="s">
        <v>609</v>
      </c>
      <c r="B1" s="1157"/>
      <c r="C1" s="1157"/>
      <c r="D1" s="1157"/>
    </row>
    <row r="2" spans="1:7">
      <c r="D2" s="820"/>
    </row>
    <row r="3" ht="34" customHeight="1" spans="1:7">
      <c r="A3" s="1185" t="str">
        <f>'资产负债表-M'!A3</f>
        <v>编制单位：飞而康快速制造科技有限责任公司</v>
      </c>
      <c r="B3" s="1186"/>
      <c r="C3" s="1187">
        <f>'资产负债表-M'!C3</f>
        <v>45991</v>
      </c>
      <c r="D3" s="1188" t="s">
        <v>577</v>
      </c>
    </row>
    <row r="4" spans="1:7">
      <c r="A4" s="1189" t="s">
        <v>610</v>
      </c>
      <c r="B4" s="1190" t="s">
        <v>579</v>
      </c>
      <c r="C4" s="1191" t="s">
        <v>611</v>
      </c>
      <c r="D4" s="1192" t="s">
        <v>497</v>
      </c>
      <c r="E4" s="1170"/>
    </row>
    <row r="5" spans="1:7">
      <c r="A5" s="1193"/>
      <c r="B5" s="1194"/>
      <c r="C5" s="1195"/>
      <c r="D5" s="1196"/>
      <c r="E5" s="1170"/>
    </row>
    <row r="6" ht="23.25" spans="1:7">
      <c r="A6" s="1197" t="s">
        <v>612</v>
      </c>
      <c r="B6" s="1198"/>
      <c r="C6" s="1199">
        <f>'PL-合并'!C9</f>
        <v>16506857.37</v>
      </c>
      <c r="D6" s="1199">
        <f>'PL-合并'!D9</f>
        <v>134024303.06</v>
      </c>
      <c r="F6" s="1200"/>
      <c r="G6" s="1200"/>
    </row>
    <row r="7" ht="23.25" spans="1:7">
      <c r="A7" s="1201" t="s">
        <v>613</v>
      </c>
      <c r="B7" s="1198"/>
      <c r="C7" s="1202">
        <f>'PL-合并'!C12</f>
        <v>15830446.75</v>
      </c>
      <c r="D7" s="1202">
        <f>'PL-合并'!D12</f>
        <v>110057573.17</v>
      </c>
    </row>
    <row r="8" ht="23.25" spans="1:7">
      <c r="A8" s="1201" t="s">
        <v>614</v>
      </c>
      <c r="B8" s="1198"/>
      <c r="C8" s="1202">
        <f>'PL-合并'!C15</f>
        <v>82112.72</v>
      </c>
      <c r="D8" s="1202">
        <f>'PL-合并'!D15</f>
        <v>829444.38</v>
      </c>
    </row>
    <row r="9" ht="23.25" spans="1:7">
      <c r="A9" s="1201" t="s">
        <v>615</v>
      </c>
      <c r="B9" s="1198"/>
      <c r="C9" s="1202">
        <f>'PL-合并'!C16</f>
        <v>822770.640000002</v>
      </c>
      <c r="D9" s="1202">
        <f>'PL-合并'!D16</f>
        <v>8045697.97</v>
      </c>
    </row>
    <row r="10" ht="23.25" spans="1:7">
      <c r="A10" s="1201" t="s">
        <v>616</v>
      </c>
      <c r="B10" s="1198"/>
      <c r="C10" s="1202">
        <f>'PL-合并'!C17</f>
        <v>1193327.44</v>
      </c>
      <c r="D10" s="1202">
        <f>'PL-合并'!D17</f>
        <v>8350965.06</v>
      </c>
    </row>
    <row r="11" ht="23.25" spans="1:7">
      <c r="A11" s="1201" t="s">
        <v>617</v>
      </c>
      <c r="B11" s="1198"/>
      <c r="C11" s="1202">
        <f>'PL-合并'!C18</f>
        <v>4315088.77</v>
      </c>
      <c r="D11" s="1202">
        <f>'PL-合并'!D18</f>
        <v>19920178.25</v>
      </c>
    </row>
    <row r="12" ht="23.25" spans="1:7">
      <c r="A12" s="1201" t="s">
        <v>618</v>
      </c>
      <c r="B12" s="1198"/>
      <c r="C12" s="1202">
        <f>'PL-合并'!C19</f>
        <v>468077.899999999</v>
      </c>
      <c r="D12" s="1202">
        <f>'PL-合并'!D19</f>
        <v>4508765.31</v>
      </c>
    </row>
    <row r="13" ht="23.25" spans="1:7">
      <c r="A13" s="1201" t="s">
        <v>619</v>
      </c>
      <c r="B13" s="1198"/>
      <c r="C13" s="1202">
        <f>'PL-合并'!C20</f>
        <v>458409.52</v>
      </c>
      <c r="D13" s="1202">
        <f>'PL-合并'!D20</f>
        <v>4534024.15</v>
      </c>
      <c r="F13" t="s">
        <v>620</v>
      </c>
    </row>
    <row r="14" ht="23.25" spans="1:7">
      <c r="A14" s="1201" t="s">
        <v>621</v>
      </c>
      <c r="B14" s="1198"/>
      <c r="C14" s="1202">
        <f>'PL-合并'!C21</f>
        <v>-232.589999999997</v>
      </c>
      <c r="D14" s="1202">
        <f>'PL-合并'!D21</f>
        <v>-85075.68</v>
      </c>
      <c r="F14" t="s">
        <v>620</v>
      </c>
    </row>
    <row r="15" ht="23.25" spans="1:7">
      <c r="A15" s="1201" t="s">
        <v>622</v>
      </c>
      <c r="B15" s="1198"/>
      <c r="C15" s="1202">
        <f>'PL-合并'!C22</f>
        <v>250000</v>
      </c>
      <c r="D15" s="1202">
        <f>'PL-合并'!D22</f>
        <v>1305528.31</v>
      </c>
    </row>
    <row r="16" ht="23.25" spans="1:7">
      <c r="A16" s="1201" t="s">
        <v>623</v>
      </c>
      <c r="B16" s="1198"/>
      <c r="C16" s="1202">
        <f>'PL-合并'!C23</f>
        <v>0</v>
      </c>
      <c r="D16" s="1202">
        <f>'PL-合并'!D23</f>
        <v>853056.55</v>
      </c>
    </row>
    <row r="17" ht="23.25" spans="1:8">
      <c r="A17" s="1201" t="s">
        <v>624</v>
      </c>
      <c r="B17" s="1203"/>
      <c r="C17" s="1204">
        <v>0</v>
      </c>
      <c r="D17" s="1204">
        <v>0</v>
      </c>
    </row>
    <row r="18" ht="23.25" spans="1:8">
      <c r="A18" s="1201" t="s">
        <v>625</v>
      </c>
      <c r="B18" s="1203"/>
      <c r="C18" s="1204">
        <v>0</v>
      </c>
      <c r="D18" s="1204">
        <v>0</v>
      </c>
    </row>
    <row r="19" ht="23.25" spans="1:8">
      <c r="A19" s="1201" t="s">
        <v>626</v>
      </c>
      <c r="B19" s="1203"/>
      <c r="C19" s="1204">
        <v>0</v>
      </c>
      <c r="D19" s="1204">
        <v>0</v>
      </c>
    </row>
    <row r="20" ht="23.25" spans="1:8">
      <c r="A20" s="1201" t="s">
        <v>627</v>
      </c>
      <c r="B20" s="1203"/>
      <c r="C20" s="1204">
        <f>'PL-合并'!C27</f>
        <v>0</v>
      </c>
      <c r="D20" s="1204">
        <f>'PL-合并'!D27</f>
        <v>0</v>
      </c>
    </row>
    <row r="21" ht="23.25" spans="1:8">
      <c r="A21" s="1201" t="s">
        <v>628</v>
      </c>
      <c r="B21" s="1203"/>
      <c r="C21" s="1204">
        <f>'PL-合并'!C28</f>
        <v>0</v>
      </c>
      <c r="D21" s="1204">
        <f>'PL-合并'!D28</f>
        <v>-1780058.26</v>
      </c>
    </row>
    <row r="22" ht="23.25" spans="1:8">
      <c r="A22" s="1201" t="s">
        <v>629</v>
      </c>
      <c r="B22" s="1203"/>
      <c r="C22" s="1204">
        <f>'PL-合并'!C29</f>
        <v>0</v>
      </c>
      <c r="D22" s="1204">
        <f>'PL-合并'!D29</f>
        <v>0</v>
      </c>
    </row>
    <row r="23" ht="23.25" spans="1:8">
      <c r="A23" s="1201" t="s">
        <v>630</v>
      </c>
      <c r="B23" s="1203"/>
      <c r="C23" s="1204">
        <f>'PL-合并'!C30</f>
        <v>0</v>
      </c>
      <c r="D23" s="1204">
        <f>'PL-合并'!D30</f>
        <v>0</v>
      </c>
      <c r="F23" t="s">
        <v>620</v>
      </c>
      <c r="H23" s="822"/>
    </row>
    <row r="24" ht="22.5" spans="1:8">
      <c r="A24" s="1197" t="s">
        <v>631</v>
      </c>
      <c r="B24" s="1205"/>
      <c r="C24" s="1206">
        <f>C6-C7-C8-C9-C10-C11-C12+C15+C16+C21+C22+C20</f>
        <v>-5954966.84999997</v>
      </c>
      <c r="D24" s="1206">
        <f>D6-D7-D8-D9-D10-D11-D12+D15+D16+D21+D22+D20</f>
        <v>-17309794.48</v>
      </c>
      <c r="G24" s="833">
        <f>C24-'PL-合并'!C31</f>
        <v>0</v>
      </c>
      <c r="H24" s="833">
        <f>D24-'PL-合并'!D31</f>
        <v>0</v>
      </c>
    </row>
    <row r="25" ht="23.25" spans="1:8">
      <c r="A25" s="1201" t="s">
        <v>632</v>
      </c>
      <c r="B25" s="1203"/>
      <c r="C25" s="1204">
        <f>'PL-合并'!C32</f>
        <v>0</v>
      </c>
      <c r="D25" s="1204">
        <f>'PL-合并'!D32</f>
        <v>70120.03</v>
      </c>
      <c r="G25" s="833">
        <f>C25-'PL-合并'!C32</f>
        <v>0</v>
      </c>
      <c r="H25" s="833">
        <f>D25-'PL-合并'!D32</f>
        <v>0</v>
      </c>
    </row>
    <row r="26" ht="23.25" spans="1:8">
      <c r="A26" s="1201" t="s">
        <v>633</v>
      </c>
      <c r="B26" s="1203"/>
      <c r="C26" s="1204">
        <f>'PL-合并'!C33</f>
        <v>0</v>
      </c>
      <c r="D26" s="1204">
        <f>'PL-合并'!D33</f>
        <v>24203.21</v>
      </c>
      <c r="G26" s="833">
        <f>C26-'PL-合并'!C33</f>
        <v>0</v>
      </c>
      <c r="H26" s="833">
        <f>D26-'PL-合并'!D33</f>
        <v>0</v>
      </c>
    </row>
    <row r="27" ht="22.5" spans="1:8">
      <c r="A27" s="1197" t="s">
        <v>634</v>
      </c>
      <c r="B27" s="1205"/>
      <c r="C27" s="1206">
        <f>C24+C25-C26</f>
        <v>-5954966.84999997</v>
      </c>
      <c r="D27" s="1206">
        <f>D24+D25-D26</f>
        <v>-17263877.66</v>
      </c>
      <c r="G27" s="833">
        <f>C27-'PL-合并'!C34</f>
        <v>0</v>
      </c>
      <c r="H27" s="833">
        <f>D27-'PL-合并'!D34</f>
        <v>0</v>
      </c>
    </row>
    <row r="28" ht="23.25" spans="1:8">
      <c r="A28" s="1201" t="s">
        <v>635</v>
      </c>
      <c r="B28" s="1203"/>
      <c r="C28" s="1204">
        <f>'PL-合并'!C35</f>
        <v>20876.67</v>
      </c>
      <c r="D28" s="1204">
        <f>'PL-合并'!D35</f>
        <v>45634.12</v>
      </c>
      <c r="G28" s="833">
        <f>C28-'PL-合并'!C35</f>
        <v>0</v>
      </c>
      <c r="H28" s="833">
        <f>D28-'PL-合并'!D35</f>
        <v>0</v>
      </c>
    </row>
    <row r="29" ht="22.5" spans="1:8">
      <c r="A29" s="1197" t="s">
        <v>636</v>
      </c>
      <c r="B29" s="1205"/>
      <c r="C29" s="1206">
        <f>C27-C28</f>
        <v>-5975843.51999997</v>
      </c>
      <c r="D29" s="1206">
        <f>D27-D28</f>
        <v>-17309511.78</v>
      </c>
      <c r="G29" s="833">
        <f>C29-'PL-合并'!C36</f>
        <v>0</v>
      </c>
      <c r="H29" s="833">
        <f>D29-'PL-合并'!D36</f>
        <v>0</v>
      </c>
    </row>
    <row r="30" ht="23.25" hidden="1" spans="1:8">
      <c r="A30" s="1201" t="s">
        <v>637</v>
      </c>
      <c r="B30" s="1203"/>
      <c r="C30" s="1204"/>
      <c r="D30" s="1204"/>
    </row>
    <row r="31" ht="23.25" hidden="1" spans="1:8">
      <c r="A31" s="1201" t="s">
        <v>638</v>
      </c>
      <c r="B31" s="1207"/>
      <c r="C31" s="1208"/>
      <c r="D31" s="1208"/>
    </row>
    <row r="32" ht="23.25" hidden="1" spans="1:8">
      <c r="A32" s="1201" t="s">
        <v>639</v>
      </c>
      <c r="B32" s="1203"/>
      <c r="C32" s="1204"/>
      <c r="D32" s="1204"/>
    </row>
    <row r="33" ht="23.25" hidden="1" spans="1:4">
      <c r="A33" s="1201" t="s">
        <v>640</v>
      </c>
      <c r="B33" s="1203"/>
      <c r="C33" s="1204"/>
      <c r="D33" s="1204"/>
    </row>
    <row r="34" ht="23.25" spans="1:4">
      <c r="A34" s="1201" t="s">
        <v>641</v>
      </c>
      <c r="B34" s="1203"/>
      <c r="C34" s="1209">
        <f>'PL-合并'!C38</f>
        <v>-6048496.90282397</v>
      </c>
      <c r="D34" s="1209">
        <f>'PL-合并'!D38</f>
        <v>-17352763.663268</v>
      </c>
    </row>
    <row r="35" ht="23.25" spans="1:4">
      <c r="A35" s="1210" t="s">
        <v>642</v>
      </c>
      <c r="B35" s="1211"/>
      <c r="C35" s="1212">
        <f>'PL-合并'!C37</f>
        <v>72653.3828239998</v>
      </c>
      <c r="D35" s="1212">
        <f>'PL-合并'!D37</f>
        <v>43251.8832679999</v>
      </c>
    </row>
    <row r="36" ht="22.5" spans="1:4">
      <c r="A36" s="1197" t="s">
        <v>352</v>
      </c>
      <c r="B36" s="1213"/>
      <c r="C36" s="1214"/>
      <c r="D36" s="1214"/>
    </row>
    <row r="37" ht="22.5" spans="1:4">
      <c r="A37" s="1201" t="s">
        <v>643</v>
      </c>
      <c r="B37" s="1205"/>
      <c r="C37" s="1215"/>
      <c r="D37" s="1215"/>
    </row>
    <row r="38" ht="23.25" spans="1:4">
      <c r="A38" s="1201" t="s">
        <v>644</v>
      </c>
      <c r="B38" s="1203"/>
      <c r="C38" s="1209"/>
      <c r="D38" s="1209"/>
    </row>
    <row r="39" ht="23.25" spans="1:4">
      <c r="A39" s="1201" t="s">
        <v>645</v>
      </c>
      <c r="B39" s="1203"/>
      <c r="C39" s="1204"/>
      <c r="D39" s="1204"/>
    </row>
    <row r="40" ht="23.25" spans="1:4">
      <c r="A40" s="1201" t="s">
        <v>646</v>
      </c>
      <c r="B40" s="1203"/>
      <c r="C40" s="1204"/>
      <c r="D40" s="1204"/>
    </row>
    <row r="41" ht="23.25" spans="1:4">
      <c r="A41" s="1201" t="s">
        <v>647</v>
      </c>
      <c r="B41" s="1203"/>
      <c r="C41" s="1204"/>
      <c r="D41" s="1204"/>
    </row>
    <row r="42" ht="23.25" spans="1:4">
      <c r="A42" s="1201" t="s">
        <v>648</v>
      </c>
      <c r="B42" s="1203"/>
      <c r="C42" s="1204"/>
      <c r="D42" s="1204"/>
    </row>
    <row r="43" ht="23.25" spans="1:4">
      <c r="A43" s="1201" t="s">
        <v>649</v>
      </c>
      <c r="B43" s="1203"/>
      <c r="C43" s="1209"/>
      <c r="D43" s="1209"/>
    </row>
    <row r="44" ht="22.5" spans="1:4">
      <c r="A44" s="1201" t="s">
        <v>650</v>
      </c>
      <c r="B44" s="1205"/>
      <c r="C44" s="1215"/>
      <c r="D44" s="1215"/>
    </row>
    <row r="45" ht="23.25" spans="1:4">
      <c r="A45" s="1201" t="s">
        <v>651</v>
      </c>
      <c r="B45" s="1203"/>
      <c r="C45" s="1204"/>
      <c r="D45" s="1204"/>
    </row>
    <row r="46" ht="23.25" spans="1:4">
      <c r="A46" s="1201" t="s">
        <v>652</v>
      </c>
      <c r="B46" s="1203"/>
      <c r="C46" s="1204"/>
      <c r="D46" s="1204"/>
    </row>
    <row r="47" ht="23.25" spans="1:4">
      <c r="A47" s="1201" t="s">
        <v>653</v>
      </c>
      <c r="B47" s="1203"/>
      <c r="C47" s="1204"/>
      <c r="D47" s="1204"/>
    </row>
    <row r="48" ht="23.25" spans="1:4">
      <c r="A48" s="1201" t="s">
        <v>654</v>
      </c>
      <c r="B48" s="1203"/>
      <c r="C48" s="1209"/>
      <c r="D48" s="1209"/>
    </row>
    <row r="49" ht="23.25" spans="1:4">
      <c r="A49" s="1201" t="s">
        <v>655</v>
      </c>
      <c r="B49" s="1203"/>
      <c r="C49" s="1204"/>
      <c r="D49" s="1204"/>
    </row>
    <row r="50" ht="23.25" spans="1:4">
      <c r="A50" s="1201" t="s">
        <v>656</v>
      </c>
      <c r="B50" s="1203"/>
      <c r="C50" s="1204"/>
      <c r="D50" s="1204"/>
    </row>
    <row r="51" ht="23.25" spans="1:4">
      <c r="A51" s="1201" t="s">
        <v>657</v>
      </c>
      <c r="B51" s="1203"/>
      <c r="C51" s="1204"/>
      <c r="D51" s="1204"/>
    </row>
    <row r="52" ht="23.25" spans="1:4">
      <c r="A52" s="1201" t="s">
        <v>658</v>
      </c>
      <c r="B52" s="1203"/>
      <c r="C52" s="1204"/>
      <c r="D52" s="1204"/>
    </row>
    <row r="53" ht="23.25" spans="1:4">
      <c r="A53" s="1201" t="s">
        <v>659</v>
      </c>
      <c r="B53" s="1203"/>
      <c r="C53" s="1204"/>
      <c r="D53" s="1204"/>
    </row>
    <row r="54" ht="23.25" spans="1:4">
      <c r="A54" s="1201" t="s">
        <v>660</v>
      </c>
      <c r="B54" s="1203"/>
      <c r="C54" s="1204"/>
      <c r="D54" s="1204"/>
    </row>
    <row r="55" ht="22.5" spans="1:4">
      <c r="A55" s="1197" t="s">
        <v>378</v>
      </c>
      <c r="B55" s="1205"/>
      <c r="C55" s="1206"/>
      <c r="D55" s="1206"/>
    </row>
    <row r="56" ht="23.25" spans="1:4">
      <c r="A56" s="1201" t="s">
        <v>661</v>
      </c>
      <c r="B56" s="1203"/>
      <c r="C56" s="1209"/>
      <c r="D56" s="1209"/>
    </row>
    <row r="57" ht="23.25" spans="1:4">
      <c r="A57" s="1201" t="s">
        <v>662</v>
      </c>
      <c r="B57" s="1203"/>
      <c r="C57" s="1209"/>
      <c r="D57" s="1209"/>
    </row>
    <row r="58" ht="22.5" spans="1:4">
      <c r="A58" s="1197" t="s">
        <v>663</v>
      </c>
      <c r="B58" s="1205"/>
      <c r="C58" s="1215"/>
      <c r="D58" s="1215"/>
    </row>
    <row r="59" ht="23.25" spans="1:4">
      <c r="A59" s="1201" t="s">
        <v>664</v>
      </c>
      <c r="B59" s="1216"/>
      <c r="C59" s="1217"/>
      <c r="D59" s="1217"/>
    </row>
    <row r="60" ht="23.25" spans="1:4">
      <c r="A60" s="1210" t="s">
        <v>665</v>
      </c>
      <c r="B60" s="1211"/>
      <c r="C60" s="1218"/>
      <c r="D60" s="1218"/>
    </row>
    <row r="63" spans="1:4">
      <c r="C63" s="830"/>
      <c r="D63" s="830"/>
    </row>
    <row r="64" spans="1:4">
      <c r="C64" s="830"/>
      <c r="D64" s="830"/>
    </row>
  </sheetData>
  <mergeCells count="4">
    <mergeCell ref="A4:A5"/>
    <mergeCell ref="B4:B5"/>
    <mergeCell ref="C4:C5"/>
    <mergeCell ref="D4:D5"/>
  </mergeCells>
  <pageMargins left="0.75" right="0.75" top="1" bottom="1" header="0.5" footer="0.5"/>
  <pageSetup paperSize="9" scale="54"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C000"/>
  </sheetPr>
  <dimension ref="A1:E45"/>
  <sheetViews>
    <sheetView view="pageBreakPreview" zoomScaleNormal="100" workbookViewId="0">
      <selection activeCell="A3" sqref="A3"/>
    </sheetView>
  </sheetViews>
  <sheetFormatPr defaultColWidth="8.075" defaultRowHeight="14.25" outlineLevelCol="4"/>
  <cols>
    <col min="1" max="1" width="56.7583333333333" customWidth="1"/>
    <col min="2" max="2" width="6.64166666666667" customWidth="1"/>
    <col min="3" max="3" width="19.2583333333333" customWidth="1"/>
    <col min="4" max="4" width="20.1" customWidth="1"/>
  </cols>
  <sheetData>
    <row r="1" ht="35.25" spans="1:5">
      <c r="A1" s="1156" t="s">
        <v>666</v>
      </c>
      <c r="B1" s="1157"/>
      <c r="C1" s="1157"/>
      <c r="D1" s="1157"/>
    </row>
    <row r="2" ht="15.75" spans="1:5">
      <c r="A2" s="1158"/>
      <c r="B2" s="1159"/>
      <c r="C2" s="1160"/>
      <c r="D2" s="1161"/>
    </row>
    <row r="3" ht="19" customHeight="1" spans="1:5">
      <c r="A3" s="1162" t="str">
        <f>'利润表-M'!A3</f>
        <v>编制单位：飞而康快速制造科技有限责任公司</v>
      </c>
      <c r="B3" s="1163"/>
      <c r="C3" s="1164">
        <f>'利润表-M'!C3</f>
        <v>45991</v>
      </c>
      <c r="D3" s="1165" t="s">
        <v>577</v>
      </c>
    </row>
    <row r="4" spans="1:5">
      <c r="A4" s="1166" t="s">
        <v>667</v>
      </c>
      <c r="B4" s="1167" t="s">
        <v>579</v>
      </c>
      <c r="C4" s="1168" t="s">
        <v>611</v>
      </c>
      <c r="D4" s="1169" t="s">
        <v>497</v>
      </c>
      <c r="E4" s="1170"/>
    </row>
    <row r="5" ht="15" spans="1:5">
      <c r="A5" s="1171" t="s">
        <v>499</v>
      </c>
      <c r="B5" s="1172"/>
      <c r="C5" s="1173"/>
      <c r="D5" s="1173"/>
      <c r="E5" s="1170"/>
    </row>
    <row r="6" ht="15" spans="1:5">
      <c r="A6" s="1174" t="s">
        <v>668</v>
      </c>
      <c r="B6" s="1172"/>
      <c r="C6" s="1173">
        <f>'CF-合并'!C6</f>
        <v>10324669.76</v>
      </c>
      <c r="D6" s="1173">
        <f>'CF-合并'!D6</f>
        <v>92773879.07</v>
      </c>
      <c r="E6" s="1170"/>
    </row>
    <row r="7" ht="15" spans="1:5">
      <c r="A7" s="1174" t="s">
        <v>669</v>
      </c>
      <c r="B7" s="1172"/>
      <c r="C7" s="1173">
        <f>'CF-合并'!C17</f>
        <v>0</v>
      </c>
      <c r="D7" s="1173">
        <f>'CF-合并'!D17</f>
        <v>20027.64</v>
      </c>
      <c r="E7" s="1170"/>
    </row>
    <row r="8" ht="15" spans="1:5">
      <c r="A8" s="1174" t="s">
        <v>670</v>
      </c>
      <c r="B8" s="1175"/>
      <c r="C8" s="1173">
        <f>'CF-合并'!C7+'CF-合并'!C8+'CF-合并'!C9+'CF-合并'!C10+'CF-合并'!C11+'CF-合并'!C12+'CF-合并'!C13+'CF-合并'!C14+'CF-合并'!C15+'CF-合并'!C16+'CF-合并'!C18</f>
        <v>2549154.03</v>
      </c>
      <c r="D8" s="1173">
        <f>'CF-合并'!D7+'CF-合并'!D8+'CF-合并'!D9+'CF-合并'!D10+'CF-合并'!D11+'CF-合并'!D12+'CF-合并'!D13+'CF-合并'!D14+'CF-合并'!D15+'CF-合并'!D16+'CF-合并'!D18</f>
        <v>31348775.65</v>
      </c>
      <c r="E8" s="1170"/>
    </row>
    <row r="9" ht="15" spans="1:5">
      <c r="A9" s="1176" t="s">
        <v>528</v>
      </c>
      <c r="B9" s="1172"/>
      <c r="C9" s="1177">
        <f>SUM(C6:C8)</f>
        <v>12873823.79</v>
      </c>
      <c r="D9" s="1177">
        <f>SUM(D6:D8)</f>
        <v>124142682.36</v>
      </c>
      <c r="E9" s="1170"/>
    </row>
    <row r="10" ht="15" spans="1:5">
      <c r="A10" s="1174" t="s">
        <v>671</v>
      </c>
      <c r="B10" s="1172"/>
      <c r="C10" s="1173">
        <f>'CF-合并'!C20</f>
        <v>7211064.45</v>
      </c>
      <c r="D10" s="1173">
        <f>'CF-合并'!D20</f>
        <v>43903812.58</v>
      </c>
      <c r="E10" s="1170"/>
    </row>
    <row r="11" ht="15" spans="1:5">
      <c r="A11" s="1174" t="s">
        <v>672</v>
      </c>
      <c r="B11" s="1172"/>
      <c r="C11" s="1173">
        <f>'CF-合并'!C26</f>
        <v>3926466.55</v>
      </c>
      <c r="D11" s="1173">
        <f>'CF-合并'!D26</f>
        <v>42990090.67</v>
      </c>
      <c r="E11" s="1170"/>
    </row>
    <row r="12" ht="15" spans="1:5">
      <c r="A12" s="1174" t="s">
        <v>673</v>
      </c>
      <c r="B12" s="1172"/>
      <c r="C12" s="1173">
        <f>'CF-合并'!C27</f>
        <v>488013.24</v>
      </c>
      <c r="D12" s="1173">
        <f>'CF-合并'!D27</f>
        <v>4797507.61</v>
      </c>
      <c r="E12" s="1170"/>
    </row>
    <row r="13" ht="15" spans="1:5">
      <c r="A13" s="1174" t="s">
        <v>674</v>
      </c>
      <c r="B13" s="1175"/>
      <c r="C13" s="1173">
        <f>'CF-合并'!C21+'CF-合并'!C22+'CF-合并'!C23+'CF-合并'!C24+'CF-合并'!C25+'CF-合并'!C28</f>
        <v>666933.4</v>
      </c>
      <c r="D13" s="1173">
        <f>'CF-合并'!D21+'CF-合并'!D22+'CF-合并'!D23+'CF-合并'!D24+'CF-合并'!D25+'CF-合并'!D28</f>
        <v>8057898.03</v>
      </c>
      <c r="E13" s="1170"/>
    </row>
    <row r="14" ht="15" spans="1:5">
      <c r="A14" s="1176" t="s">
        <v>554</v>
      </c>
      <c r="B14" s="1172"/>
      <c r="C14" s="1177">
        <f>SUM(C10:C13)</f>
        <v>12292477.64</v>
      </c>
      <c r="D14" s="1177">
        <f>SUM(D10:D13)</f>
        <v>99749308.89</v>
      </c>
      <c r="E14" s="1170"/>
    </row>
    <row r="15" spans="1:5">
      <c r="A15" s="1171" t="s">
        <v>557</v>
      </c>
      <c r="B15" s="1175"/>
      <c r="C15" s="1177">
        <f>C9-C14</f>
        <v>581346.149999999</v>
      </c>
      <c r="D15" s="1177">
        <f>D9-D14</f>
        <v>24393373.47</v>
      </c>
      <c r="E15" s="1170"/>
    </row>
    <row r="16" ht="15" spans="1:5">
      <c r="A16" s="1171" t="s">
        <v>560</v>
      </c>
      <c r="B16" s="1172"/>
      <c r="C16" s="1173"/>
      <c r="D16" s="1173"/>
      <c r="E16" s="1170"/>
    </row>
    <row r="17" ht="15" spans="1:5">
      <c r="A17" s="1174" t="s">
        <v>675</v>
      </c>
      <c r="B17" s="1172"/>
      <c r="C17" s="1173">
        <f>'CF-合并'!C32</f>
        <v>0</v>
      </c>
      <c r="D17" s="1173">
        <f>'CF-合并'!D32</f>
        <v>5206506.85</v>
      </c>
      <c r="E17" s="1170"/>
    </row>
    <row r="18" ht="15" spans="1:5">
      <c r="A18" s="1174" t="s">
        <v>676</v>
      </c>
      <c r="B18" s="1172"/>
      <c r="C18" s="1173">
        <f>'CF-合并'!C33</f>
        <v>0</v>
      </c>
      <c r="D18" s="1173">
        <f>'CF-合并'!D33</f>
        <v>10153615.37</v>
      </c>
      <c r="E18" s="1170"/>
    </row>
    <row r="19" ht="15" spans="1:5">
      <c r="A19" s="1174" t="s">
        <v>677</v>
      </c>
      <c r="B19" s="1172"/>
      <c r="C19" s="1173">
        <f>'CF-合并'!G5</f>
        <v>0</v>
      </c>
      <c r="D19" s="1173">
        <f>'CF-合并'!H5</f>
        <v>0</v>
      </c>
      <c r="E19" s="1170"/>
    </row>
    <row r="20" ht="15" spans="1:5">
      <c r="A20" s="1174" t="s">
        <v>678</v>
      </c>
      <c r="B20" s="1172"/>
      <c r="C20" s="1173">
        <f>'CF-合并'!G6</f>
        <v>0</v>
      </c>
      <c r="D20" s="1173">
        <f>'CF-合并'!H6</f>
        <v>0</v>
      </c>
      <c r="E20" s="1170"/>
    </row>
    <row r="21" ht="15" spans="1:5">
      <c r="A21" s="1174" t="s">
        <v>679</v>
      </c>
      <c r="B21" s="1172"/>
      <c r="C21" s="1173">
        <f>'CF-合并'!G7</f>
        <v>0</v>
      </c>
      <c r="D21" s="1173">
        <f>'CF-合并'!H7</f>
        <v>0</v>
      </c>
      <c r="E21" s="1170"/>
    </row>
    <row r="22" ht="15" spans="1:5">
      <c r="A22" s="1176" t="s">
        <v>507</v>
      </c>
      <c r="B22" s="1172"/>
      <c r="C22" s="1177">
        <f>C17+C18</f>
        <v>0</v>
      </c>
      <c r="D22" s="1177">
        <f>D17+D18</f>
        <v>15360122.22</v>
      </c>
      <c r="E22" s="1170"/>
    </row>
    <row r="23" ht="15" spans="1:5">
      <c r="A23" s="1174" t="s">
        <v>680</v>
      </c>
      <c r="B23" s="1172"/>
      <c r="C23" s="1173">
        <f>'CF-合并'!G9</f>
        <v>353274.280000001</v>
      </c>
      <c r="D23" s="1173">
        <f>'CF-合并'!H9</f>
        <v>46108058.54</v>
      </c>
      <c r="E23" s="1170"/>
    </row>
    <row r="24" ht="15" spans="1:5">
      <c r="A24" s="1174" t="s">
        <v>681</v>
      </c>
      <c r="B24" s="1172"/>
      <c r="C24" s="1173">
        <f>'CF-合并'!G10</f>
        <v>0</v>
      </c>
      <c r="D24" s="1173">
        <f>'CF-合并'!H10</f>
        <v>0</v>
      </c>
      <c r="E24" s="1170"/>
    </row>
    <row r="25" ht="15" spans="1:5">
      <c r="A25" s="1174" t="s">
        <v>682</v>
      </c>
      <c r="B25" s="1172"/>
      <c r="C25" s="1173">
        <f>'CF-合并'!G12</f>
        <v>0</v>
      </c>
      <c r="D25" s="1173">
        <f>'CF-合并'!H12</f>
        <v>0</v>
      </c>
      <c r="E25" s="1170"/>
    </row>
    <row r="26" ht="15" spans="1:5">
      <c r="A26" s="1174" t="s">
        <v>683</v>
      </c>
      <c r="B26" s="1172"/>
      <c r="C26" s="1173">
        <f>'CF-合并'!G11+'CF-合并'!G13</f>
        <v>0</v>
      </c>
      <c r="D26" s="1173">
        <f>'CF-合并'!H11+'CF-合并'!H13</f>
        <v>0</v>
      </c>
      <c r="E26" s="1170"/>
    </row>
    <row r="27" ht="15" spans="1:5">
      <c r="A27" s="1176" t="s">
        <v>519</v>
      </c>
      <c r="B27" s="1172"/>
      <c r="C27" s="1177">
        <f>C23+C24</f>
        <v>353274.280000001</v>
      </c>
      <c r="D27" s="1177">
        <f>D23+D24</f>
        <v>46108058.54</v>
      </c>
      <c r="E27" s="1170"/>
    </row>
    <row r="28" ht="15" spans="1:5">
      <c r="A28" s="1171" t="s">
        <v>521</v>
      </c>
      <c r="B28" s="1172"/>
      <c r="C28" s="1177">
        <f>C22-C27</f>
        <v>-353274.280000001</v>
      </c>
      <c r="D28" s="1177">
        <f>D22-D27</f>
        <v>-30747936.32</v>
      </c>
      <c r="E28" s="1170"/>
    </row>
    <row r="29" ht="15" spans="1:5">
      <c r="A29" s="1171" t="s">
        <v>523</v>
      </c>
      <c r="B29" s="1172"/>
      <c r="C29" s="1173"/>
      <c r="D29" s="1173"/>
      <c r="E29" s="1170"/>
    </row>
    <row r="30" ht="15" spans="1:5">
      <c r="A30" s="1174" t="s">
        <v>684</v>
      </c>
      <c r="B30" s="1172"/>
      <c r="C30" s="1173">
        <f>'CF-合并'!G17</f>
        <v>0</v>
      </c>
      <c r="D30" s="1173">
        <f>'CF-合并'!H17</f>
        <v>15000000</v>
      </c>
      <c r="E30" s="1170"/>
    </row>
    <row r="31" ht="15" spans="1:5">
      <c r="A31" s="1174" t="s">
        <v>685</v>
      </c>
      <c r="B31" s="1172"/>
      <c r="C31" s="1173">
        <f>'CF-合并'!G18</f>
        <v>0</v>
      </c>
      <c r="D31" s="1173">
        <f>'CF-合并'!H18</f>
        <v>0</v>
      </c>
      <c r="E31" s="1170"/>
    </row>
    <row r="32" ht="15" spans="1:5">
      <c r="A32" s="1174" t="s">
        <v>686</v>
      </c>
      <c r="B32" s="1172"/>
      <c r="C32" s="1173">
        <f>'CF-合并'!G19</f>
        <v>3307738.77</v>
      </c>
      <c r="D32" s="1173">
        <f>'CF-合并'!H19</f>
        <v>177172069.19</v>
      </c>
      <c r="E32" s="1170"/>
    </row>
    <row r="33" ht="15" spans="1:5">
      <c r="A33" s="1178" t="s">
        <v>687</v>
      </c>
      <c r="B33" s="1179"/>
      <c r="C33" s="1180">
        <f>'CF-合并'!G20</f>
        <v>0</v>
      </c>
      <c r="D33" s="1180">
        <f>'CF-合并'!H20</f>
        <v>0</v>
      </c>
      <c r="E33" s="1170"/>
    </row>
    <row r="34" ht="15" spans="1:5">
      <c r="A34" s="1174" t="s">
        <v>688</v>
      </c>
      <c r="B34" s="1172"/>
      <c r="C34" s="1173">
        <f>'CF-合并'!G21</f>
        <v>0</v>
      </c>
      <c r="D34" s="1173">
        <f>'CF-合并'!H21</f>
        <v>0</v>
      </c>
      <c r="E34" s="1170"/>
    </row>
    <row r="35" ht="15" spans="1:5">
      <c r="A35" s="1176" t="s">
        <v>535</v>
      </c>
      <c r="B35" s="1172"/>
      <c r="C35" s="1177">
        <f>C32+C34</f>
        <v>3307738.77</v>
      </c>
      <c r="D35" s="1177">
        <f>D32+D34+D30</f>
        <v>192172069.19</v>
      </c>
      <c r="E35" s="1170"/>
    </row>
    <row r="36" ht="15" spans="1:5">
      <c r="A36" s="1174" t="s">
        <v>689</v>
      </c>
      <c r="B36" s="1172"/>
      <c r="C36" s="1173">
        <f>'CF-合并'!G23</f>
        <v>3000000</v>
      </c>
      <c r="D36" s="1173">
        <f>'CF-合并'!H23</f>
        <v>168000000</v>
      </c>
      <c r="E36" s="1170"/>
    </row>
    <row r="37" ht="15" spans="1:5">
      <c r="A37" s="1174" t="s">
        <v>690</v>
      </c>
      <c r="B37" s="1172"/>
      <c r="C37" s="1173">
        <f>'CF-合并'!G24</f>
        <v>199578.3</v>
      </c>
      <c r="D37" s="1173">
        <f>'CF-合并'!H24</f>
        <v>4177815.15</v>
      </c>
      <c r="E37" s="1170"/>
    </row>
    <row r="38" ht="15" spans="1:5">
      <c r="A38" s="1174" t="s">
        <v>691</v>
      </c>
      <c r="B38" s="1172"/>
      <c r="C38" s="1173">
        <f>'CF-合并'!G25</f>
        <v>0</v>
      </c>
      <c r="D38" s="1173">
        <f>'CF-合并'!H25</f>
        <v>0</v>
      </c>
      <c r="E38" s="1170"/>
    </row>
    <row r="39" ht="15" spans="1:5">
      <c r="A39" s="1174" t="s">
        <v>692</v>
      </c>
      <c r="B39" s="1172"/>
      <c r="C39" s="1173">
        <f>'CF-合并'!G26</f>
        <v>922726.25</v>
      </c>
      <c r="D39" s="1173">
        <f>'CF-合并'!H26</f>
        <v>7150111.25</v>
      </c>
      <c r="E39" s="1170"/>
    </row>
    <row r="40" ht="15" spans="1:5">
      <c r="A40" s="1176" t="s">
        <v>549</v>
      </c>
      <c r="B40" s="1172"/>
      <c r="C40" s="1177">
        <f>C36+C37+C39</f>
        <v>4122304.55</v>
      </c>
      <c r="D40" s="1177">
        <f>D36+D37+D39</f>
        <v>179327926.4</v>
      </c>
      <c r="E40" s="1170"/>
    </row>
    <row r="41" ht="15" spans="1:5">
      <c r="A41" s="1171" t="s">
        <v>552</v>
      </c>
      <c r="B41" s="1172"/>
      <c r="C41" s="1177">
        <f>C35-C40</f>
        <v>-814565.78</v>
      </c>
      <c r="D41" s="1177">
        <f>D35-D40</f>
        <v>12844142.79</v>
      </c>
      <c r="E41" s="1170"/>
    </row>
    <row r="42" ht="15" spans="1:5">
      <c r="A42" s="1171" t="s">
        <v>555</v>
      </c>
      <c r="B42" s="1172"/>
      <c r="C42" s="1173">
        <f>'CF-合并'!G29</f>
        <v>0</v>
      </c>
      <c r="D42" s="1173">
        <f>'CF-合并'!H29</f>
        <v>0</v>
      </c>
      <c r="E42" s="1170"/>
    </row>
    <row r="43" spans="1:5">
      <c r="A43" s="1171" t="s">
        <v>558</v>
      </c>
      <c r="B43" s="1175"/>
      <c r="C43" s="1177">
        <f>C15+C28+C41+C42</f>
        <v>-586493.910000003</v>
      </c>
      <c r="D43" s="1177">
        <f>D15+D28+D41+D42</f>
        <v>6489579.94</v>
      </c>
      <c r="E43" s="1170"/>
    </row>
    <row r="44" ht="15" spans="1:5">
      <c r="A44" s="1174" t="s">
        <v>693</v>
      </c>
      <c r="B44" s="1175"/>
      <c r="C44" s="1173">
        <f>'CF-合并'!G31</f>
        <v>56826956.01</v>
      </c>
      <c r="D44" s="1173">
        <f>'CF-合并'!H31</f>
        <v>49750882.16</v>
      </c>
      <c r="E44" s="1170"/>
    </row>
    <row r="45" spans="1:5">
      <c r="A45" s="1181" t="s">
        <v>564</v>
      </c>
      <c r="B45" s="1182"/>
      <c r="C45" s="1183">
        <f>C43+C44</f>
        <v>56240462.1</v>
      </c>
      <c r="D45" s="1183">
        <f>D43+D44</f>
        <v>56240462.1</v>
      </c>
      <c r="E45" s="1170"/>
    </row>
  </sheetData>
  <pageMargins left="0.75" right="0.75" top="1" bottom="1" header="0.5" footer="0.5"/>
  <pageSetup paperSize="9" scale="7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theme="5" tint="0.8"/>
  </sheetPr>
  <dimension ref="A1:AX179"/>
  <sheetViews>
    <sheetView workbookViewId="0">
      <pane xSplit="1" ySplit="7" topLeftCell="B124" activePane="bottomRight" state="frozen"/>
      <selection/>
      <selection pane="topRight"/>
      <selection pane="bottomLeft"/>
      <selection pane="bottomRight" activeCell="K133" sqref="K133"/>
    </sheetView>
  </sheetViews>
  <sheetFormatPr defaultColWidth="9" defaultRowHeight="15.95" customHeight="1"/>
  <cols>
    <col min="1" max="1" width="30" style="1021" customWidth="1"/>
    <col min="2" max="2" width="18.625" style="1022" customWidth="1" outlineLevel="1"/>
    <col min="3" max="3" width="18.75" style="1023" customWidth="1" outlineLevel="1"/>
    <col min="4" max="4" width="16.625" style="1023" customWidth="1" outlineLevel="1"/>
    <col min="5" max="5" width="16" style="1024" customWidth="1" outlineLevel="1"/>
    <col min="6" max="6" width="13.75" style="1024" hidden="1" customWidth="1" outlineLevel="1"/>
    <col min="7" max="7" width="13.75" style="1021" hidden="1" customWidth="1" outlineLevel="1"/>
    <col min="8" max="8" width="14" style="1021" customWidth="1" outlineLevel="1"/>
    <col min="9" max="9" width="13.75" style="1021" customWidth="1" outlineLevel="1"/>
    <col min="10" max="10" width="24" style="1021" customWidth="1" outlineLevel="1"/>
    <col min="11" max="11" width="17.375" style="1021" customWidth="1"/>
    <col min="12" max="12" width="15.875" style="1021" customWidth="1" outlineLevel="1"/>
    <col min="13" max="15" width="13.75" style="1021" customWidth="1" outlineLevel="1"/>
    <col min="16" max="17" width="13.75" style="1021" hidden="1" customWidth="1" outlineLevel="1"/>
    <col min="18" max="18" width="16.75" style="1021" customWidth="1" outlineLevel="1"/>
    <col min="19" max="19" width="14.85" style="1021" customWidth="1" outlineLevel="1"/>
    <col min="20" max="20" width="18" style="1021" customWidth="1" outlineLevel="1"/>
    <col min="21" max="21" width="20" style="1021" customWidth="1"/>
    <col min="22" max="27" width="13.75" style="1025" hidden="1" customWidth="1" outlineLevel="1"/>
    <col min="28" max="30" width="13.75" style="1021" hidden="1" customWidth="1" outlineLevel="1"/>
    <col min="31" max="31" width="13.75" style="1021" hidden="1" customWidth="1" collapsed="1"/>
    <col min="32" max="32" width="14" style="1025" hidden="1" customWidth="1" outlineLevel="1"/>
    <col min="33" max="37" width="13.75" style="1025" hidden="1" customWidth="1" outlineLevel="1"/>
    <col min="38" max="38" width="14" style="1021" hidden="1" customWidth="1" outlineLevel="1"/>
    <col min="39" max="40" width="13" style="1021" hidden="1" customWidth="1" outlineLevel="1"/>
    <col min="41" max="41" width="13.75" style="1021" hidden="1" customWidth="1" collapsed="1"/>
    <col min="42" max="43" width="13.75" style="1025" hidden="1" customWidth="1" outlineLevel="1"/>
    <col min="44" max="47" width="13.75" style="1021" hidden="1" customWidth="1" outlineLevel="1"/>
    <col min="48" max="48" width="18.125" style="1026" hidden="1" customWidth="1" collapsed="1"/>
    <col min="49" max="49" width="17.75" style="1025" hidden="1" customWidth="1"/>
    <col min="50" max="16384" width="9" style="1025"/>
  </cols>
  <sheetData>
    <row r="1" s="1017" customFormat="1" ht="12" spans="1:49">
      <c r="A1" s="1027" t="s">
        <v>694</v>
      </c>
      <c r="B1" s="1028">
        <f>ROUND(B57-B118,4)</f>
        <v>0</v>
      </c>
      <c r="C1" s="1029">
        <f>ROUND(C57-C118,4)</f>
        <v>0</v>
      </c>
      <c r="D1" s="1029">
        <f>ROUND(D57-D118,4)</f>
        <v>0</v>
      </c>
      <c r="E1" s="1030">
        <f t="shared" ref="B1:H1" si="0">ROUND(E57-E118,4)</f>
        <v>0</v>
      </c>
      <c r="F1" s="1030">
        <f t="shared" si="0"/>
        <v>0</v>
      </c>
      <c r="G1" s="1029">
        <f t="shared" si="0"/>
        <v>0</v>
      </c>
      <c r="H1" s="1029">
        <f t="shared" si="0"/>
        <v>0</v>
      </c>
      <c r="I1" s="1027" t="str">
        <f>IF(B1=0,"","资产≠负债+权益，差额为"&amp;FIXED(B1))</f>
        <v/>
      </c>
      <c r="J1" s="1027" t="str">
        <f>IF(K1=0,"","资产≠负债+权益，差额为"&amp;FIXED(K1))</f>
        <v>资产≠负债+权益，差额为0.00</v>
      </c>
      <c r="K1" s="1029">
        <f>ROUND(K57-K118,4)</f>
        <v>0.0033</v>
      </c>
      <c r="L1" s="1029">
        <f>ROUND(L57-L118,4)</f>
        <v>0</v>
      </c>
      <c r="M1" s="1029">
        <f t="shared" ref="K1:R1" si="1">ROUND(M57-M118,4)</f>
        <v>0</v>
      </c>
      <c r="N1" s="1029">
        <f t="shared" si="1"/>
        <v>0</v>
      </c>
      <c r="O1" s="1029">
        <f t="shared" si="1"/>
        <v>0</v>
      </c>
      <c r="P1" s="1029">
        <f t="shared" si="1"/>
        <v>0</v>
      </c>
      <c r="Q1" s="1029">
        <f t="shared" si="1"/>
        <v>0</v>
      </c>
      <c r="R1" s="1029">
        <f t="shared" si="1"/>
        <v>0</v>
      </c>
      <c r="S1" s="1027" t="str">
        <f>IF(L1=0,"","资产≠负债+权益，差额为"&amp;FIXED(L1))</f>
        <v/>
      </c>
      <c r="T1" s="1027" t="str">
        <f>IF(U1=0,"","资产≠负债+权益，差额为"&amp;FIXED(U1))</f>
        <v>资产≠负债+权益，差额为0.00</v>
      </c>
      <c r="U1" s="1029">
        <f t="shared" ref="U1:AB1" si="2">ROUND(U57-U118,4)</f>
        <v>0.0022</v>
      </c>
      <c r="V1" s="1029">
        <f t="shared" si="2"/>
        <v>0</v>
      </c>
      <c r="W1" s="1029">
        <f t="shared" si="2"/>
        <v>0</v>
      </c>
      <c r="X1" s="1029">
        <f t="shared" si="2"/>
        <v>0</v>
      </c>
      <c r="Y1" s="1029">
        <f t="shared" si="2"/>
        <v>0</v>
      </c>
      <c r="Z1" s="1029">
        <f t="shared" si="2"/>
        <v>0</v>
      </c>
      <c r="AA1" s="1029">
        <f t="shared" si="2"/>
        <v>0</v>
      </c>
      <c r="AB1" s="1029">
        <f t="shared" si="2"/>
        <v>0</v>
      </c>
      <c r="AC1" s="1027" t="str">
        <f>IF(V1=0,"","资产≠负债+权益，差额为"&amp;FIXED(V1))</f>
        <v/>
      </c>
      <c r="AD1" s="1027" t="str">
        <f>IF(AE1=0,"","资产≠负债+权益，差额为"&amp;FIXED(AE1))</f>
        <v>资产≠负债+权益，差额为-4,793,116.37</v>
      </c>
      <c r="AE1" s="1029">
        <f t="shared" ref="AE1:AL1" si="3">ROUND(AE57-AE118,4)</f>
        <v>-4793116.37</v>
      </c>
      <c r="AF1" s="1029">
        <f t="shared" si="3"/>
        <v>0</v>
      </c>
      <c r="AG1" s="1029">
        <f t="shared" si="3"/>
        <v>0</v>
      </c>
      <c r="AH1" s="1029">
        <f t="shared" si="3"/>
        <v>0</v>
      </c>
      <c r="AI1" s="1029">
        <f t="shared" si="3"/>
        <v>0</v>
      </c>
      <c r="AJ1" s="1029">
        <f t="shared" si="3"/>
        <v>0</v>
      </c>
      <c r="AK1" s="1029">
        <f t="shared" si="3"/>
        <v>0</v>
      </c>
      <c r="AL1" s="1029">
        <f t="shared" si="3"/>
        <v>0</v>
      </c>
      <c r="AM1" s="1027" t="str">
        <f>IF(AF1=0,"","资产≠负债+权益，差额为"&amp;FIXED(AF1))</f>
        <v/>
      </c>
      <c r="AN1" s="1027" t="str">
        <f>IF(AO1=0,"","资产≠负债+权益，差额为"&amp;FIXED(AO1))</f>
        <v/>
      </c>
      <c r="AO1" s="1029">
        <f>ROUND(AO57-AO118,4)</f>
        <v>0</v>
      </c>
      <c r="AP1" s="1029">
        <f>ROUND(AP57-AP118,4)</f>
        <v>0</v>
      </c>
      <c r="AQ1" s="1029">
        <f>ROUND(AQ57-AQ118,4)</f>
        <v>0</v>
      </c>
      <c r="AR1" s="1029">
        <f>ROUND(AR57-AR118,4)</f>
        <v>0</v>
      </c>
      <c r="AS1" s="1027" t="str">
        <f>IF(AL1=0,"","资产≠负债+权益，差额为"&amp;FIXED(AL1))</f>
        <v/>
      </c>
      <c r="AT1" s="1027" t="str">
        <f>IF(AU1=0,"","资产≠负债+权益，差额为"&amp;FIXED(AU1))</f>
        <v/>
      </c>
      <c r="AU1" s="1029">
        <f>ROUND(AU57-AU118,4)</f>
        <v>0</v>
      </c>
      <c r="AV1" s="1031"/>
    </row>
    <row r="2" s="1017" customFormat="1" ht="12" spans="1:49">
      <c r="A2" s="1027" t="s">
        <v>695</v>
      </c>
      <c r="B2" s="1032">
        <f>ROUND(B114-B165,4)</f>
        <v>0</v>
      </c>
      <c r="C2" s="1029">
        <f>ROUND(C114-C165,4)</f>
        <v>0</v>
      </c>
      <c r="D2" s="1029">
        <f t="shared" ref="C2:H2" si="4">ROUND(D114-D165,4)</f>
        <v>0</v>
      </c>
      <c r="E2" s="1030">
        <f t="shared" si="4"/>
        <v>0</v>
      </c>
      <c r="F2" s="1030">
        <f t="shared" si="4"/>
        <v>0</v>
      </c>
      <c r="G2" s="1029">
        <f t="shared" si="4"/>
        <v>0</v>
      </c>
      <c r="H2" s="1029">
        <f t="shared" si="4"/>
        <v>0</v>
      </c>
      <c r="I2" s="1027" t="str">
        <f>IF(B2=0,"","未分配利润不平，差额为"&amp;FIXED(B2))</f>
        <v/>
      </c>
      <c r="J2" s="1027" t="str">
        <f>IF(K2=0,"","未分配利润不平，差额为"&amp;FIXED(K2))</f>
        <v/>
      </c>
      <c r="K2" s="1029">
        <f>ROUND(K114-K165,4)</f>
        <v>0</v>
      </c>
      <c r="L2" s="1029">
        <f>ROUND(L114-L165,4)</f>
        <v>164488.8</v>
      </c>
      <c r="M2" s="1029">
        <f t="shared" ref="M2:R2" si="5">ROUND(M114-M165,4)</f>
        <v>363548.72</v>
      </c>
      <c r="N2" s="1029">
        <f t="shared" si="5"/>
        <v>509004.78</v>
      </c>
      <c r="O2" s="1029">
        <f t="shared" si="5"/>
        <v>66729.37</v>
      </c>
      <c r="P2" s="1029">
        <f t="shared" si="5"/>
        <v>0</v>
      </c>
      <c r="Q2" s="1029">
        <f t="shared" si="5"/>
        <v>0</v>
      </c>
      <c r="R2" s="1029">
        <f t="shared" si="5"/>
        <v>1103771.67</v>
      </c>
      <c r="S2" s="1027" t="str">
        <f>IF(L2=0,"","未分配利润不平，差额为"&amp;FIXED(L2))</f>
        <v>未分配利润不平，差额为164,488.80</v>
      </c>
      <c r="T2" s="1027" t="str">
        <f>IF(U2=0,"","未分配利润不平，差额为"&amp;FIXED(U2))</f>
        <v/>
      </c>
      <c r="U2" s="1029">
        <f>ROUND(U114-U165,4)</f>
        <v>0</v>
      </c>
      <c r="V2" s="1029">
        <f>ROUND(V114-V165,4)</f>
        <v>88076506.86</v>
      </c>
      <c r="W2" s="1029">
        <f t="shared" ref="W2:AB2" si="6">ROUND(W114-W165,4)</f>
        <v>935730.76</v>
      </c>
      <c r="X2" s="1029">
        <f t="shared" si="6"/>
        <v>5166127.36</v>
      </c>
      <c r="Y2" s="1029">
        <f t="shared" si="6"/>
        <v>0</v>
      </c>
      <c r="Z2" s="1029">
        <f t="shared" si="6"/>
        <v>0</v>
      </c>
      <c r="AA2" s="1029">
        <f t="shared" si="6"/>
        <v>0</v>
      </c>
      <c r="AB2" s="1029">
        <f t="shared" si="6"/>
        <v>94178364.98</v>
      </c>
      <c r="AC2" s="1027" t="str">
        <f>IF(V2=0,"","未分配利润不平，差额为"&amp;FIXED(V2))</f>
        <v>未分配利润不平，差额为88,076,506.86</v>
      </c>
      <c r="AD2" s="1027" t="str">
        <f>IF(AE2=0,"","未分配利润不平，差额为"&amp;FIXED(AE2))</f>
        <v>未分配利润不平，差额为96,131,632.33</v>
      </c>
      <c r="AE2" s="1029">
        <f t="shared" ref="AE2:AL2" si="7">ROUND(AE114-AE165,4)</f>
        <v>96131632.33</v>
      </c>
      <c r="AF2" s="1029">
        <f t="shared" si="7"/>
        <v>0</v>
      </c>
      <c r="AG2" s="1029">
        <f t="shared" si="7"/>
        <v>0</v>
      </c>
      <c r="AH2" s="1029">
        <f t="shared" si="7"/>
        <v>0</v>
      </c>
      <c r="AI2" s="1029">
        <f t="shared" si="7"/>
        <v>0</v>
      </c>
      <c r="AJ2" s="1029">
        <f t="shared" si="7"/>
        <v>0</v>
      </c>
      <c r="AK2" s="1029">
        <f t="shared" si="7"/>
        <v>0</v>
      </c>
      <c r="AL2" s="1029">
        <f t="shared" si="7"/>
        <v>0</v>
      </c>
      <c r="AM2" s="1027" t="str">
        <f>IF(AF2=0,"","未分配利润不平，差额为"&amp;FIXED(AF2))</f>
        <v/>
      </c>
      <c r="AN2" s="1027" t="str">
        <f>IF(AO2=0,"","未分配利润不平，差额为"&amp;FIXED(AO2))</f>
        <v/>
      </c>
      <c r="AO2" s="1029">
        <f>ROUND(AO114-AO165,4)</f>
        <v>0</v>
      </c>
      <c r="AP2" s="1029">
        <f>ROUND(AP114-AP165,4)</f>
        <v>0</v>
      </c>
      <c r="AQ2" s="1029">
        <f>ROUND(AQ114-AQ165,4)</f>
        <v>0</v>
      </c>
      <c r="AR2" s="1029">
        <f>ROUND(AR114-AR165,4)</f>
        <v>0</v>
      </c>
      <c r="AS2" s="1027" t="str">
        <f>IF(AL2=0,"","未分配利润不平，差额为"&amp;FIXED(AL2))</f>
        <v/>
      </c>
      <c r="AT2" s="1027" t="str">
        <f>IF(AU2=0,"","未分配利润不平，差额为"&amp;FIXED(AU2))</f>
        <v/>
      </c>
      <c r="AU2" s="1029">
        <f>ROUND(AU114-AU165,4)</f>
        <v>0</v>
      </c>
      <c r="AV2" s="1031"/>
    </row>
    <row r="3" s="1017" customFormat="1" ht="12" spans="1:49">
      <c r="A3" s="1027" t="s">
        <v>696</v>
      </c>
      <c r="B3" s="1028">
        <f>ROUND(B152-L165,4)</f>
        <v>0</v>
      </c>
      <c r="C3" s="1029">
        <f>ROUND(C152-M165,4)</f>
        <v>0</v>
      </c>
      <c r="D3" s="1029">
        <f t="shared" ref="B3:H3" si="8">ROUND(D152-N165,4)</f>
        <v>0</v>
      </c>
      <c r="E3" s="1030">
        <f t="shared" si="8"/>
        <v>0</v>
      </c>
      <c r="F3" s="1030">
        <f t="shared" si="8"/>
        <v>0</v>
      </c>
      <c r="G3" s="1029">
        <f t="shared" si="8"/>
        <v>0</v>
      </c>
      <c r="H3" s="1029">
        <f t="shared" si="8"/>
        <v>0</v>
      </c>
      <c r="I3" s="1027" t="str">
        <f>IF(B3=0,"","未分配利润不衔接，差额为"&amp;FIXED(B3))</f>
        <v/>
      </c>
      <c r="J3" s="1027" t="str">
        <f>IF(K3=0,"","未分配利润不衔接，差额为"&amp;FIXED(K3))</f>
        <v>未分配利润不衔接，差额为-1,370,059.75</v>
      </c>
      <c r="K3" s="1029">
        <f>ROUND(K152-U165,4)</f>
        <v>-1370059.7478</v>
      </c>
      <c r="L3" s="1029">
        <f>ROUND(L152-V165,4)</f>
        <v>0</v>
      </c>
      <c r="M3" s="1029">
        <f>ROUND(M152-W165,4)</f>
        <v>0</v>
      </c>
      <c r="N3" s="1029">
        <f t="shared" ref="L3:R3" si="9">ROUND(N152-X165,4)</f>
        <v>0</v>
      </c>
      <c r="O3" s="1029">
        <f t="shared" si="9"/>
        <v>0</v>
      </c>
      <c r="P3" s="1029">
        <f t="shared" si="9"/>
        <v>0</v>
      </c>
      <c r="Q3" s="1029">
        <f t="shared" si="9"/>
        <v>0</v>
      </c>
      <c r="R3" s="1029">
        <f t="shared" si="9"/>
        <v>0</v>
      </c>
      <c r="S3" s="1027" t="str">
        <f>IF(L3=0,"","未分配利润不衔接，差额为"&amp;FIXED(L3))</f>
        <v/>
      </c>
      <c r="T3" s="1027" t="str">
        <f>IF(U3=0,"","未分配利润不衔接，差额为"&amp;FIXED(U3))</f>
        <v>未分配利润不衔接，差额为171,212.16</v>
      </c>
      <c r="U3" s="1029">
        <f>ROUND(U152-AE165,4)</f>
        <v>171212.16</v>
      </c>
      <c r="V3" s="1029">
        <f t="shared" ref="V3:AB3" si="10">ROUND(V152-AF165,4)</f>
        <v>-103847191.06</v>
      </c>
      <c r="W3" s="1029">
        <f t="shared" si="10"/>
        <v>1401823.74</v>
      </c>
      <c r="X3" s="1029">
        <f t="shared" si="10"/>
        <v>-8727987.65</v>
      </c>
      <c r="Y3" s="1029">
        <f t="shared" si="10"/>
        <v>0</v>
      </c>
      <c r="Z3" s="1029">
        <f t="shared" si="10"/>
        <v>0</v>
      </c>
      <c r="AA3" s="1029">
        <f t="shared" si="10"/>
        <v>0</v>
      </c>
      <c r="AB3" s="1029">
        <f t="shared" si="10"/>
        <v>-111173354.97</v>
      </c>
      <c r="AC3" s="1027" t="str">
        <f>IF(V3=0,"","未分配利润不衔接，差额为"&amp;FIXED(V3))</f>
        <v>未分配利润不衔接，差额为-103,847,191.06</v>
      </c>
      <c r="AD3" s="1027" t="str">
        <f>IF(AE3=0,"","未分配利润不衔接，差额为"&amp;FIXED(AE3))</f>
        <v>未分配利润不衔接，差额为-103,885,574.52</v>
      </c>
      <c r="AE3" s="1029">
        <f>ROUND(AE152-AO165,4)</f>
        <v>-103885574.52</v>
      </c>
      <c r="AF3" s="1029"/>
      <c r="AG3" s="1029"/>
      <c r="AH3" s="1029"/>
      <c r="AI3" s="1029"/>
      <c r="AJ3" s="1029"/>
      <c r="AK3" s="1029"/>
      <c r="AL3" s="1029"/>
      <c r="AM3" s="1029"/>
      <c r="AN3" s="1029"/>
      <c r="AO3" s="1029"/>
      <c r="AP3" s="1029"/>
      <c r="AQ3" s="1029"/>
      <c r="AR3" s="1029"/>
      <c r="AS3" s="1029" t="e">
        <f>ROUND(AS152-#REF!,4)</f>
        <v>#REF!</v>
      </c>
      <c r="AT3" s="1029" t="e">
        <f>ROUND(AT152-#REF!,4)</f>
        <v>#REF!</v>
      </c>
      <c r="AU3" s="1029" t="e">
        <f>ROUND(AU152-#REF!,4)</f>
        <v>#REF!</v>
      </c>
      <c r="AV3" s="1031"/>
    </row>
    <row r="4" ht="24.95" customHeight="1" spans="1:49">
      <c r="A4" s="1033" t="s">
        <v>697</v>
      </c>
      <c r="B4" s="1034"/>
      <c r="C4" s="1035"/>
      <c r="D4" s="1035"/>
      <c r="E4" s="1036"/>
      <c r="F4" s="1036"/>
      <c r="G4" s="1033"/>
      <c r="H4" s="1033"/>
      <c r="I4" s="1033"/>
      <c r="J4" s="1033"/>
      <c r="K4" s="1033"/>
      <c r="L4" s="1033"/>
      <c r="M4" s="1033"/>
      <c r="N4" s="1033"/>
      <c r="O4" s="1033"/>
      <c r="P4" s="1033"/>
      <c r="Q4" s="1033"/>
      <c r="R4" s="1033"/>
      <c r="S4" s="1033"/>
      <c r="T4" s="1033"/>
      <c r="U4" s="1033"/>
      <c r="V4" s="1033"/>
      <c r="W4" s="1033"/>
      <c r="X4" s="1033"/>
      <c r="Y4" s="1033"/>
      <c r="Z4" s="1033"/>
      <c r="AA4" s="1033"/>
      <c r="AB4" s="1033"/>
      <c r="AC4" s="1033"/>
      <c r="AD4" s="1033"/>
      <c r="AE4" s="1033"/>
      <c r="AF4" s="1033"/>
      <c r="AG4" s="1033"/>
      <c r="AH4" s="1033"/>
      <c r="AI4" s="1033"/>
      <c r="AJ4" s="1033"/>
      <c r="AK4" s="1033"/>
      <c r="AL4" s="1033"/>
      <c r="AM4" s="1033"/>
      <c r="AN4" s="1033"/>
      <c r="AO4" s="1033"/>
      <c r="AP4" s="1033"/>
      <c r="AQ4" s="1033"/>
      <c r="AR4" s="1033"/>
      <c r="AS4" s="1033"/>
      <c r="AT4" s="1033"/>
      <c r="AU4" s="1033"/>
    </row>
    <row r="5" s="1018" customFormat="1" customHeight="1" spans="1:49">
      <c r="A5" s="1037" t="str">
        <f>"编制单位："&amp;基本信息!B2</f>
        <v>编制单位：飞而康快速制造科技有限责任公司</v>
      </c>
      <c r="B5" s="1038"/>
      <c r="C5" s="1039">
        <f>B1/2</f>
        <v>0</v>
      </c>
      <c r="D5" s="1039"/>
      <c r="E5" s="1040"/>
      <c r="F5" s="1040"/>
      <c r="G5" s="1041"/>
      <c r="H5" s="1042"/>
      <c r="I5" s="1043"/>
      <c r="J5" s="1039"/>
      <c r="K5" s="1039"/>
      <c r="L5" s="1041"/>
      <c r="M5" s="1041"/>
      <c r="N5" s="1041"/>
      <c r="O5" s="1041"/>
      <c r="P5" s="1041"/>
      <c r="Q5" s="1041"/>
      <c r="R5" s="1041"/>
      <c r="S5" s="1044">
        <f>R40+S40-T40-U40</f>
        <v>0</v>
      </c>
      <c r="T5" s="1041"/>
      <c r="U5" s="1041"/>
      <c r="V5" s="1045"/>
      <c r="W5" s="1045"/>
      <c r="X5" s="1045"/>
      <c r="Y5" s="1045"/>
      <c r="Z5" s="1045"/>
      <c r="AA5" s="1045"/>
      <c r="AB5" s="1041"/>
      <c r="AC5" s="1041"/>
      <c r="AD5" s="1041"/>
      <c r="AE5" s="1041"/>
      <c r="AF5" s="1045"/>
      <c r="AG5" s="1045"/>
      <c r="AH5" s="1045"/>
      <c r="AI5" s="1045"/>
      <c r="AJ5" s="1045"/>
      <c r="AK5" s="1045"/>
      <c r="AL5" s="1041"/>
      <c r="AM5" s="1041"/>
      <c r="AN5" s="1041"/>
      <c r="AO5" s="1046" t="s">
        <v>698</v>
      </c>
      <c r="AP5" s="1045"/>
      <c r="AQ5" s="1045"/>
      <c r="AR5" s="1041"/>
      <c r="AS5" s="1041"/>
      <c r="AT5" s="1041"/>
      <c r="AU5" s="1047" t="s">
        <v>698</v>
      </c>
      <c r="AV5" s="1048"/>
    </row>
    <row r="6" s="1019" customFormat="1" customHeight="1" spans="1:49">
      <c r="A6" s="1049" t="s">
        <v>284</v>
      </c>
      <c r="B6" s="1050">
        <f>基本信息!B14</f>
        <v>45991</v>
      </c>
      <c r="C6" s="1051"/>
      <c r="D6" s="1051"/>
      <c r="E6" s="1051"/>
      <c r="F6" s="1051"/>
      <c r="G6" s="1051"/>
      <c r="H6" s="1052"/>
      <c r="I6" s="1053" t="s">
        <v>699</v>
      </c>
      <c r="J6" s="1053"/>
      <c r="K6" s="1054">
        <f>B6</f>
        <v>45991</v>
      </c>
      <c r="L6" s="1055">
        <f>基本信息!B13</f>
        <v>45657</v>
      </c>
      <c r="M6" s="1056"/>
      <c r="N6" s="1056"/>
      <c r="O6" s="1056"/>
      <c r="P6" s="1056"/>
      <c r="Q6" s="1056"/>
      <c r="R6" s="1057"/>
      <c r="S6" s="1058" t="s">
        <v>699</v>
      </c>
      <c r="T6" s="1058"/>
      <c r="U6" s="1059">
        <f>L6</f>
        <v>45657</v>
      </c>
      <c r="V6" s="1060">
        <f>基本信息!B12</f>
        <v>45291</v>
      </c>
      <c r="W6" s="1061"/>
      <c r="X6" s="1061"/>
      <c r="Y6" s="1061"/>
      <c r="Z6" s="1061"/>
      <c r="AA6" s="1061"/>
      <c r="AB6" s="1062"/>
      <c r="AC6" s="1063" t="s">
        <v>699</v>
      </c>
      <c r="AD6" s="1063"/>
      <c r="AE6" s="1064">
        <f>V6</f>
        <v>45291</v>
      </c>
      <c r="AF6" s="1065">
        <f>基本信息!B10</f>
        <v>0</v>
      </c>
      <c r="AG6" s="1066"/>
      <c r="AH6" s="1066"/>
      <c r="AI6" s="1066"/>
      <c r="AJ6" s="1066"/>
      <c r="AK6" s="1066"/>
      <c r="AL6" s="1066"/>
      <c r="AM6" s="1067" t="s">
        <v>700</v>
      </c>
      <c r="AN6" s="1068"/>
      <c r="AO6" s="1064">
        <f>AF6</f>
        <v>0</v>
      </c>
      <c r="AP6" s="1060">
        <v>41639</v>
      </c>
      <c r="AQ6" s="1061"/>
      <c r="AR6" s="1061"/>
      <c r="AS6" s="1069" t="s">
        <v>700</v>
      </c>
      <c r="AT6" s="1070"/>
      <c r="AU6" s="1071">
        <f>AP6</f>
        <v>41639</v>
      </c>
      <c r="AV6" s="1072"/>
    </row>
    <row r="7" s="1020" customFormat="1" customHeight="1" spans="1:49">
      <c r="A7" s="1073"/>
      <c r="B7" s="1074" t="s">
        <v>3</v>
      </c>
      <c r="C7" s="1075" t="str">
        <f>基本信息!C3</f>
        <v>飞而康新材料</v>
      </c>
      <c r="D7" s="1075" t="str">
        <f>基本信息!C4</f>
        <v>飞而康精铸</v>
      </c>
      <c r="E7" s="1076" t="str">
        <f>基本信息!C5</f>
        <v>飞而康热等静压</v>
      </c>
      <c r="F7" s="1077">
        <f>基本信息!C6</f>
        <v>0</v>
      </c>
      <c r="G7" s="1078">
        <f>基本信息!C7</f>
        <v>0</v>
      </c>
      <c r="H7" s="1079" t="s">
        <v>701</v>
      </c>
      <c r="I7" s="1079" t="s">
        <v>702</v>
      </c>
      <c r="J7" s="1079" t="s">
        <v>703</v>
      </c>
      <c r="K7" s="1079" t="s">
        <v>704</v>
      </c>
      <c r="L7" s="1080" t="s">
        <v>3</v>
      </c>
      <c r="M7" s="1080" t="str">
        <f>基本信息!C3</f>
        <v>飞而康新材料</v>
      </c>
      <c r="N7" s="1080" t="str">
        <f>基本信息!C4</f>
        <v>飞而康精铸</v>
      </c>
      <c r="O7" s="1080" t="str">
        <f>基本信息!C5</f>
        <v>飞而康热等静压</v>
      </c>
      <c r="P7" s="1080">
        <f>基本信息!C6</f>
        <v>0</v>
      </c>
      <c r="Q7" s="1080">
        <f>基本信息!C7</f>
        <v>0</v>
      </c>
      <c r="R7" s="1081" t="s">
        <v>701</v>
      </c>
      <c r="S7" s="1081" t="s">
        <v>702</v>
      </c>
      <c r="T7" s="1081" t="s">
        <v>703</v>
      </c>
      <c r="U7" s="1081" t="s">
        <v>704</v>
      </c>
      <c r="V7" s="1082" t="str">
        <f>L7</f>
        <v>母公司</v>
      </c>
      <c r="W7" s="1082" t="str">
        <f t="shared" ref="W7:AB7" si="11">M7</f>
        <v>飞而康新材料</v>
      </c>
      <c r="X7" s="1082" t="str">
        <f t="shared" si="11"/>
        <v>飞而康精铸</v>
      </c>
      <c r="Y7" s="1082" t="str">
        <f t="shared" si="11"/>
        <v>飞而康热等静压</v>
      </c>
      <c r="Z7" s="1082">
        <f t="shared" si="11"/>
        <v>0</v>
      </c>
      <c r="AA7" s="1082">
        <f t="shared" si="11"/>
        <v>0</v>
      </c>
      <c r="AB7" s="1083" t="str">
        <f t="shared" si="11"/>
        <v>汇总数</v>
      </c>
      <c r="AC7" s="1083" t="s">
        <v>702</v>
      </c>
      <c r="AD7" s="1083" t="s">
        <v>703</v>
      </c>
      <c r="AE7" s="1067" t="s">
        <v>704</v>
      </c>
      <c r="AF7" s="1084" t="str">
        <f>L7</f>
        <v>母公司</v>
      </c>
      <c r="AG7" s="1084" t="str">
        <f t="shared" ref="AG7:AL7" si="12">M7</f>
        <v>飞而康新材料</v>
      </c>
      <c r="AH7" s="1084" t="str">
        <f t="shared" si="12"/>
        <v>飞而康精铸</v>
      </c>
      <c r="AI7" s="1084" t="str">
        <f t="shared" si="12"/>
        <v>飞而康热等静压</v>
      </c>
      <c r="AJ7" s="1084">
        <f t="shared" si="12"/>
        <v>0</v>
      </c>
      <c r="AK7" s="1084">
        <f t="shared" si="12"/>
        <v>0</v>
      </c>
      <c r="AL7" s="1067" t="str">
        <f t="shared" si="12"/>
        <v>汇总数</v>
      </c>
      <c r="AM7" s="1067" t="s">
        <v>702</v>
      </c>
      <c r="AN7" s="1067" t="s">
        <v>703</v>
      </c>
      <c r="AO7" s="1067" t="s">
        <v>704</v>
      </c>
      <c r="AP7" s="1082" t="str">
        <f>V7</f>
        <v>母公司</v>
      </c>
      <c r="AQ7" s="1082" t="str">
        <f>W7</f>
        <v>飞而康新材料</v>
      </c>
      <c r="AR7" s="1083" t="str">
        <f>AB7</f>
        <v>汇总数</v>
      </c>
      <c r="AS7" s="1083" t="s">
        <v>702</v>
      </c>
      <c r="AT7" s="1083" t="s">
        <v>703</v>
      </c>
      <c r="AU7" s="1083" t="s">
        <v>704</v>
      </c>
      <c r="AV7" s="1085"/>
    </row>
    <row r="8" s="1018" customFormat="1" customHeight="1" spans="1:49">
      <c r="A8" s="1086" t="s">
        <v>705</v>
      </c>
      <c r="B8" s="1087"/>
      <c r="C8" s="1088"/>
      <c r="D8" s="1088"/>
      <c r="E8" s="1089"/>
      <c r="F8" s="1089"/>
      <c r="G8" s="1088"/>
      <c r="H8" s="1088"/>
      <c r="I8" s="1088"/>
      <c r="J8" s="1088"/>
      <c r="K8" s="1088"/>
      <c r="L8" s="1088"/>
      <c r="M8" s="1088"/>
      <c r="N8" s="1088"/>
      <c r="O8" s="1088"/>
      <c r="P8" s="1088"/>
      <c r="Q8" s="1088"/>
      <c r="R8" s="1088"/>
      <c r="S8" s="1088"/>
      <c r="T8" s="1088"/>
      <c r="U8" s="1088"/>
      <c r="V8" s="1090"/>
      <c r="W8" s="1090"/>
      <c r="X8" s="1090"/>
      <c r="Y8" s="1090"/>
      <c r="Z8" s="1090"/>
      <c r="AA8" s="1090"/>
      <c r="AB8" s="1088"/>
      <c r="AC8" s="1088"/>
      <c r="AD8" s="1088"/>
      <c r="AE8" s="1088"/>
      <c r="AF8" s="1090"/>
      <c r="AG8" s="1090"/>
      <c r="AH8" s="1090"/>
      <c r="AI8" s="1090"/>
      <c r="AJ8" s="1090"/>
      <c r="AK8" s="1090"/>
      <c r="AL8" s="1088"/>
      <c r="AM8" s="1088"/>
      <c r="AN8" s="1088"/>
      <c r="AO8" s="1088"/>
      <c r="AP8" s="1090"/>
      <c r="AQ8" s="1090"/>
      <c r="AR8" s="1088"/>
      <c r="AS8" s="1088"/>
      <c r="AT8" s="1088"/>
      <c r="AU8" s="1088"/>
      <c r="AV8" s="1048"/>
    </row>
    <row r="9" s="1018" customFormat="1" customHeight="1" spans="1:49">
      <c r="A9" s="1091" t="s">
        <v>199</v>
      </c>
      <c r="B9" s="1092">
        <f>VLOOKUP(A9,快速BS新!A$6:C$212,3,0)</f>
        <v>40351321.46</v>
      </c>
      <c r="C9" s="1093">
        <f>VLOOKUP(A9,新材料BS新!$A$4:$D$191,3,0)</f>
        <v>11647741.71</v>
      </c>
      <c r="D9" s="1093">
        <f>VLOOKUP(A9,精铸BS新!$A$6:$C$86,3,0)</f>
        <v>1306279.93</v>
      </c>
      <c r="E9" s="1094">
        <f>VLOOKUP(A9,热等静压BS新!$A$6:$C$86,3,0)</f>
        <v>3667334.19</v>
      </c>
      <c r="F9" s="1095"/>
      <c r="G9" s="1093"/>
      <c r="H9" s="1096">
        <f>SUM(B9:G9)</f>
        <v>56972677.29</v>
      </c>
      <c r="I9" s="1097">
        <f>合并调整抵消分录!E3</f>
        <v>0</v>
      </c>
      <c r="J9" s="1097">
        <f>合并调整抵消分录!F3</f>
        <v>0</v>
      </c>
      <c r="K9" s="1096">
        <f>H9+I9-J9</f>
        <v>56972677.29</v>
      </c>
      <c r="L9" s="1093">
        <v>24245573.21</v>
      </c>
      <c r="M9" s="1093">
        <v>21849511.98</v>
      </c>
      <c r="N9" s="1093">
        <v>1463763.67</v>
      </c>
      <c r="O9" s="1093">
        <v>2194423.01</v>
      </c>
      <c r="P9" s="1093"/>
      <c r="Q9" s="1093"/>
      <c r="R9" s="1096">
        <f t="shared" ref="R9:R14" si="13">SUM(L9:Q9)</f>
        <v>49753271.87</v>
      </c>
      <c r="S9" s="1096">
        <v>0</v>
      </c>
      <c r="T9" s="1096">
        <v>0</v>
      </c>
      <c r="U9" s="1096">
        <f>R9+S9-T9</f>
        <v>49753271.87</v>
      </c>
      <c r="V9" s="1097">
        <v>17491299.76</v>
      </c>
      <c r="W9" s="1097">
        <v>2796242.72</v>
      </c>
      <c r="X9" s="1097">
        <v>863555.57</v>
      </c>
      <c r="Y9" s="1097"/>
      <c r="Z9" s="1097">
        <f>[6]TB子公司4!M10</f>
        <v>0</v>
      </c>
      <c r="AA9" s="1097">
        <f>[6]TB子公司5!M10</f>
        <v>0</v>
      </c>
      <c r="AB9" s="1096">
        <f>SUM(V9:AA9)</f>
        <v>21151098.05</v>
      </c>
      <c r="AC9" s="1096">
        <f>合并调整抵消分录!N3</f>
        <v>0</v>
      </c>
      <c r="AD9" s="1096">
        <f>合并调整抵消分录!O3</f>
        <v>0</v>
      </c>
      <c r="AE9" s="1096">
        <f>AB9+AC9-AD9</f>
        <v>21151098.05</v>
      </c>
      <c r="AF9" s="1097"/>
      <c r="AG9" s="1097"/>
      <c r="AH9" s="1097"/>
      <c r="AI9" s="1097"/>
      <c r="AJ9" s="1097"/>
      <c r="AK9" s="1097"/>
      <c r="AL9" s="1096">
        <f>SUM(AF9:AK9)</f>
        <v>0</v>
      </c>
      <c r="AM9" s="1096">
        <f>合并调整抵消分录!Q3</f>
        <v>0</v>
      </c>
      <c r="AN9" s="1096">
        <f>合并调整抵消分录!R3</f>
        <v>0</v>
      </c>
      <c r="AO9" s="1096">
        <f>AL9+AM9-AN9</f>
        <v>0</v>
      </c>
      <c r="AP9" s="1097"/>
      <c r="AQ9" s="1097"/>
      <c r="AR9" s="1096">
        <f t="shared" ref="AR9:AR29" si="14">SUM(AP9:AQ9)</f>
        <v>0</v>
      </c>
      <c r="AS9" s="1096">
        <f>合并调整抵消分录!T3</f>
        <v>0</v>
      </c>
      <c r="AT9" s="1096">
        <f>合并调整抵消分录!U3</f>
        <v>0</v>
      </c>
      <c r="AU9" s="1096">
        <f>AR9+AS9-AT9</f>
        <v>0</v>
      </c>
      <c r="AV9" s="1092" t="e">
        <f>VLOOKUP(A9,合并资产负债表!$A$6:$C$87,3,0)</f>
        <v>#N/A</v>
      </c>
      <c r="AW9" s="1098" t="e">
        <f>K9-AV9</f>
        <v>#N/A</v>
      </c>
    </row>
    <row r="10" s="1018" customFormat="1" customHeight="1" spans="1:49">
      <c r="A10" s="1091" t="s">
        <v>706</v>
      </c>
      <c r="B10" s="1092"/>
      <c r="C10" s="1093"/>
      <c r="D10" s="1093"/>
      <c r="E10" s="1094"/>
      <c r="F10" s="1095"/>
      <c r="G10" s="1093"/>
      <c r="H10" s="1096">
        <f t="shared" ref="H10:H29" si="15">SUM(B10:G10)</f>
        <v>0</v>
      </c>
      <c r="I10" s="1097">
        <f>合并调整抵消分录!E4</f>
        <v>0</v>
      </c>
      <c r="J10" s="1097">
        <f>合并调整抵消分录!F4</f>
        <v>0</v>
      </c>
      <c r="K10" s="1096">
        <f t="shared" ref="K10:K29" si="16">H10+I10-J10</f>
        <v>0</v>
      </c>
      <c r="L10" s="1093"/>
      <c r="M10" s="1093"/>
      <c r="N10" s="1093"/>
      <c r="O10" s="1093"/>
      <c r="P10" s="1093"/>
      <c r="Q10" s="1093"/>
      <c r="R10" s="1096">
        <f t="shared" si="13"/>
        <v>0</v>
      </c>
      <c r="S10" s="1096">
        <v>0</v>
      </c>
      <c r="T10" s="1096">
        <v>0</v>
      </c>
      <c r="U10" s="1096">
        <f t="shared" ref="U10:U29" si="17">R10+S10-T10</f>
        <v>0</v>
      </c>
      <c r="V10" s="1097">
        <v>0</v>
      </c>
      <c r="W10" s="1097">
        <v>0</v>
      </c>
      <c r="X10" s="1097">
        <v>0</v>
      </c>
      <c r="Y10" s="1097"/>
      <c r="Z10" s="1097">
        <f>[6]TB子公司4!M11</f>
        <v>0</v>
      </c>
      <c r="AA10" s="1097">
        <f>[6]TB子公司5!M11</f>
        <v>0</v>
      </c>
      <c r="AB10" s="1096">
        <f t="shared" ref="AB10:AB29" si="18">SUM(V10:AA10)</f>
        <v>0</v>
      </c>
      <c r="AC10" s="1096">
        <f>合并调整抵消分录!N4</f>
        <v>0</v>
      </c>
      <c r="AD10" s="1096">
        <f>合并调整抵消分录!O4</f>
        <v>0</v>
      </c>
      <c r="AE10" s="1096">
        <f t="shared" ref="AE10:AE29" si="19">AB10+AC10-AD10</f>
        <v>0</v>
      </c>
      <c r="AF10" s="1097"/>
      <c r="AG10" s="1097"/>
      <c r="AH10" s="1097"/>
      <c r="AI10" s="1097"/>
      <c r="AJ10" s="1097"/>
      <c r="AK10" s="1097"/>
      <c r="AL10" s="1096">
        <f t="shared" ref="AL10:AL29" si="20">SUM(AF10:AK10)</f>
        <v>0</v>
      </c>
      <c r="AM10" s="1096">
        <f>合并调整抵消分录!Q4</f>
        <v>0</v>
      </c>
      <c r="AN10" s="1096">
        <f>合并调整抵消分录!R4</f>
        <v>0</v>
      </c>
      <c r="AO10" s="1096">
        <f t="shared" ref="AO10:AO29" si="21">AL10+AM10-AN10</f>
        <v>0</v>
      </c>
      <c r="AP10" s="1097"/>
      <c r="AQ10" s="1097"/>
      <c r="AR10" s="1096">
        <f t="shared" si="14"/>
        <v>0</v>
      </c>
      <c r="AS10" s="1096">
        <f>合并调整抵消分录!T4</f>
        <v>0</v>
      </c>
      <c r="AT10" s="1096">
        <f>合并调整抵消分录!U4</f>
        <v>0</v>
      </c>
      <c r="AU10" s="1096">
        <f t="shared" ref="AU10:AU29" si="22">AR10+AS10-AT10</f>
        <v>0</v>
      </c>
      <c r="AV10" s="1092"/>
      <c r="AW10" s="1098">
        <f t="shared" ref="AW10:AW78" si="23">K10-AV10</f>
        <v>0</v>
      </c>
    </row>
    <row r="11" s="1018" customFormat="1" customHeight="1" spans="1:49">
      <c r="A11" s="1091" t="s">
        <v>707</v>
      </c>
      <c r="B11" s="1092"/>
      <c r="C11" s="1093"/>
      <c r="D11" s="1093"/>
      <c r="E11" s="1094"/>
      <c r="F11" s="1095"/>
      <c r="G11" s="1093"/>
      <c r="H11" s="1096">
        <f t="shared" si="15"/>
        <v>0</v>
      </c>
      <c r="I11" s="1097">
        <f>合并调整抵消分录!E5</f>
        <v>0</v>
      </c>
      <c r="J11" s="1097">
        <f>合并调整抵消分录!F5</f>
        <v>0</v>
      </c>
      <c r="K11" s="1096">
        <f t="shared" si="16"/>
        <v>0</v>
      </c>
      <c r="L11" s="1093"/>
      <c r="M11" s="1093"/>
      <c r="N11" s="1093"/>
      <c r="O11" s="1093"/>
      <c r="P11" s="1093"/>
      <c r="Q11" s="1093"/>
      <c r="R11" s="1096">
        <f t="shared" si="13"/>
        <v>0</v>
      </c>
      <c r="S11" s="1096">
        <v>0</v>
      </c>
      <c r="T11" s="1096">
        <v>0</v>
      </c>
      <c r="U11" s="1096">
        <f t="shared" si="17"/>
        <v>0</v>
      </c>
      <c r="V11" s="1097">
        <v>0</v>
      </c>
      <c r="W11" s="1097">
        <v>0</v>
      </c>
      <c r="X11" s="1097">
        <v>0</v>
      </c>
      <c r="Y11" s="1097"/>
      <c r="Z11" s="1097">
        <f>[6]TB子公司4!M12</f>
        <v>0</v>
      </c>
      <c r="AA11" s="1097">
        <f>[6]TB子公司5!M12</f>
        <v>0</v>
      </c>
      <c r="AB11" s="1096">
        <f t="shared" si="18"/>
        <v>0</v>
      </c>
      <c r="AC11" s="1096">
        <f>合并调整抵消分录!N5</f>
        <v>0</v>
      </c>
      <c r="AD11" s="1096">
        <f>合并调整抵消分录!O5</f>
        <v>0</v>
      </c>
      <c r="AE11" s="1096">
        <f t="shared" si="19"/>
        <v>0</v>
      </c>
      <c r="AF11" s="1097"/>
      <c r="AG11" s="1097"/>
      <c r="AH11" s="1097"/>
      <c r="AI11" s="1097"/>
      <c r="AJ11" s="1097"/>
      <c r="AK11" s="1097"/>
      <c r="AL11" s="1096">
        <f t="shared" si="20"/>
        <v>0</v>
      </c>
      <c r="AM11" s="1096">
        <f>合并调整抵消分录!Q5</f>
        <v>0</v>
      </c>
      <c r="AN11" s="1096">
        <f>合并调整抵消分录!R5</f>
        <v>0</v>
      </c>
      <c r="AO11" s="1096">
        <f t="shared" si="21"/>
        <v>0</v>
      </c>
      <c r="AP11" s="1097"/>
      <c r="AQ11" s="1097"/>
      <c r="AR11" s="1096">
        <f t="shared" si="14"/>
        <v>0</v>
      </c>
      <c r="AS11" s="1096">
        <f>合并调整抵消分录!T5</f>
        <v>0</v>
      </c>
      <c r="AT11" s="1096">
        <f>合并调整抵消分录!U5</f>
        <v>0</v>
      </c>
      <c r="AU11" s="1096">
        <f t="shared" si="22"/>
        <v>0</v>
      </c>
      <c r="AV11" s="1092"/>
      <c r="AW11" s="1098">
        <f t="shared" si="23"/>
        <v>0</v>
      </c>
    </row>
    <row r="12" s="1018" customFormat="1" customHeight="1" spans="1:49">
      <c r="A12" s="1099" t="s">
        <v>205</v>
      </c>
      <c r="B12" s="1100">
        <f>VLOOKUP(A12,快速BS新!A$6:C$212,3,0)</f>
        <v>0</v>
      </c>
      <c r="C12" s="1093">
        <f>VLOOKUP(A12,新材料BS新!$A$4:$D$191,3,0)</f>
        <v>0</v>
      </c>
      <c r="D12" s="1093">
        <f>VLOOKUP(A12,精铸BS新!$A$6:$C$86,3,0)</f>
        <v>0</v>
      </c>
      <c r="E12" s="1093">
        <f>VLOOKUP(A12,热等静压BS新!$A$6:$C$86,3,0)</f>
        <v>0</v>
      </c>
      <c r="F12" s="1095"/>
      <c r="G12" s="1093"/>
      <c r="H12" s="1096">
        <f t="shared" si="15"/>
        <v>0</v>
      </c>
      <c r="I12" s="1097">
        <f>合并调整抵消分录!E6</f>
        <v>0</v>
      </c>
      <c r="J12" s="1097">
        <f>合并调整抵消分录!F6</f>
        <v>0</v>
      </c>
      <c r="K12" s="1096">
        <f t="shared" si="16"/>
        <v>0</v>
      </c>
      <c r="L12" s="1093">
        <v>0</v>
      </c>
      <c r="M12" s="1093">
        <v>0</v>
      </c>
      <c r="N12" s="1093">
        <v>0</v>
      </c>
      <c r="O12" s="1093">
        <v>0</v>
      </c>
      <c r="P12" s="1093"/>
      <c r="Q12" s="1093"/>
      <c r="R12" s="1096">
        <f t="shared" si="13"/>
        <v>0</v>
      </c>
      <c r="S12" s="1096">
        <v>0</v>
      </c>
      <c r="T12" s="1096">
        <v>0</v>
      </c>
      <c r="U12" s="1096">
        <f t="shared" si="17"/>
        <v>0</v>
      </c>
      <c r="V12" s="1097">
        <v>0</v>
      </c>
      <c r="W12" s="1097">
        <v>0</v>
      </c>
      <c r="X12" s="1097">
        <v>0</v>
      </c>
      <c r="Y12" s="1097"/>
      <c r="Z12" s="1097">
        <f>[6]TB子公司4!M13</f>
        <v>0</v>
      </c>
      <c r="AA12" s="1097">
        <f>[6]TB子公司5!M13</f>
        <v>0</v>
      </c>
      <c r="AB12" s="1096">
        <f t="shared" si="18"/>
        <v>0</v>
      </c>
      <c r="AC12" s="1096">
        <f>合并调整抵消分录!N6</f>
        <v>0</v>
      </c>
      <c r="AD12" s="1096">
        <f>合并调整抵消分录!O6</f>
        <v>0</v>
      </c>
      <c r="AE12" s="1096">
        <f t="shared" si="19"/>
        <v>0</v>
      </c>
      <c r="AF12" s="1097"/>
      <c r="AG12" s="1097"/>
      <c r="AH12" s="1097"/>
      <c r="AI12" s="1097"/>
      <c r="AJ12" s="1097"/>
      <c r="AK12" s="1097"/>
      <c r="AL12" s="1096">
        <f t="shared" si="20"/>
        <v>0</v>
      </c>
      <c r="AM12" s="1096">
        <f>合并调整抵消分录!Q6</f>
        <v>0</v>
      </c>
      <c r="AN12" s="1096">
        <f>合并调整抵消分录!R6</f>
        <v>0</v>
      </c>
      <c r="AO12" s="1096">
        <f t="shared" si="21"/>
        <v>0</v>
      </c>
      <c r="AP12" s="1097"/>
      <c r="AQ12" s="1097"/>
      <c r="AR12" s="1096">
        <f t="shared" si="14"/>
        <v>0</v>
      </c>
      <c r="AS12" s="1096">
        <f>合并调整抵消分录!T6</f>
        <v>0</v>
      </c>
      <c r="AT12" s="1096">
        <f>合并调整抵消分录!U6</f>
        <v>0</v>
      </c>
      <c r="AU12" s="1096">
        <f t="shared" si="22"/>
        <v>0</v>
      </c>
      <c r="AV12" s="1092"/>
      <c r="AW12" s="1098">
        <f t="shared" si="23"/>
        <v>0</v>
      </c>
    </row>
    <row r="13" s="1018" customFormat="1" customHeight="1" spans="1:49">
      <c r="A13" s="1091" t="s">
        <v>708</v>
      </c>
      <c r="B13" s="1092"/>
      <c r="C13" s="1093"/>
      <c r="D13" s="1093"/>
      <c r="E13" s="1094"/>
      <c r="F13" s="1095"/>
      <c r="G13" s="1093"/>
      <c r="H13" s="1096">
        <f t="shared" si="15"/>
        <v>0</v>
      </c>
      <c r="I13" s="1097">
        <f>合并调整抵消分录!E7</f>
        <v>0</v>
      </c>
      <c r="J13" s="1097">
        <f>合并调整抵消分录!F7</f>
        <v>0</v>
      </c>
      <c r="K13" s="1096">
        <f t="shared" si="16"/>
        <v>0</v>
      </c>
      <c r="L13" s="1093"/>
      <c r="M13" s="1093"/>
      <c r="N13" s="1093"/>
      <c r="O13" s="1093"/>
      <c r="P13" s="1093"/>
      <c r="Q13" s="1093"/>
      <c r="R13" s="1096">
        <f t="shared" si="13"/>
        <v>0</v>
      </c>
      <c r="S13" s="1096">
        <v>0</v>
      </c>
      <c r="T13" s="1096">
        <v>0</v>
      </c>
      <c r="U13" s="1096">
        <f t="shared" si="17"/>
        <v>0</v>
      </c>
      <c r="V13" s="1097">
        <v>0</v>
      </c>
      <c r="W13" s="1097">
        <v>0</v>
      </c>
      <c r="X13" s="1097">
        <v>0</v>
      </c>
      <c r="Y13" s="1097"/>
      <c r="Z13" s="1097">
        <f>[6]TB子公司4!M14</f>
        <v>0</v>
      </c>
      <c r="AA13" s="1097">
        <f>[6]TB子公司5!M14</f>
        <v>0</v>
      </c>
      <c r="AB13" s="1096">
        <f t="shared" si="18"/>
        <v>0</v>
      </c>
      <c r="AC13" s="1096">
        <f>合并调整抵消分录!N7</f>
        <v>0</v>
      </c>
      <c r="AD13" s="1096">
        <f>合并调整抵消分录!O7</f>
        <v>0</v>
      </c>
      <c r="AE13" s="1096">
        <f t="shared" si="19"/>
        <v>0</v>
      </c>
      <c r="AF13" s="1097"/>
      <c r="AG13" s="1097"/>
      <c r="AH13" s="1097"/>
      <c r="AI13" s="1097"/>
      <c r="AJ13" s="1097"/>
      <c r="AK13" s="1097"/>
      <c r="AL13" s="1096">
        <f t="shared" si="20"/>
        <v>0</v>
      </c>
      <c r="AM13" s="1096">
        <f>合并调整抵消分录!Q7</f>
        <v>0</v>
      </c>
      <c r="AN13" s="1096">
        <f>合并调整抵消分录!R7</f>
        <v>0</v>
      </c>
      <c r="AO13" s="1096">
        <f t="shared" si="21"/>
        <v>0</v>
      </c>
      <c r="AP13" s="1097"/>
      <c r="AQ13" s="1097"/>
      <c r="AR13" s="1096">
        <f t="shared" si="14"/>
        <v>0</v>
      </c>
      <c r="AS13" s="1096">
        <f>合并调整抵消分录!T7</f>
        <v>0</v>
      </c>
      <c r="AT13" s="1096">
        <f>合并调整抵消分录!U7</f>
        <v>0</v>
      </c>
      <c r="AU13" s="1096">
        <f t="shared" si="22"/>
        <v>0</v>
      </c>
      <c r="AV13" s="1092"/>
      <c r="AW13" s="1098">
        <f t="shared" si="23"/>
        <v>0</v>
      </c>
    </row>
    <row r="14" s="1018" customFormat="1" customHeight="1" spans="1:49">
      <c r="A14" s="1091" t="s">
        <v>207</v>
      </c>
      <c r="B14" s="1092">
        <f>VLOOKUP(A14,快速BS新!A$6:C$212,3,0)</f>
        <v>1944969.93</v>
      </c>
      <c r="C14" s="1093">
        <f>VLOOKUP(A14,新材料BS新!$A$4:$D$191,3,0)</f>
        <v>3771405.59</v>
      </c>
      <c r="D14" s="1093">
        <f>VLOOKUP(A14,精铸BS新!$A$6:$C$86,3,0)</f>
        <v>508150.86</v>
      </c>
      <c r="E14" s="1094">
        <f>VLOOKUP(A14,热等静压BS新!$A$6:$C$86,3,0)</f>
        <v>541632.16</v>
      </c>
      <c r="F14" s="1095"/>
      <c r="G14" s="1093"/>
      <c r="H14" s="1096">
        <f t="shared" si="15"/>
        <v>6766158.54</v>
      </c>
      <c r="I14" s="1097">
        <f>合并调整抵消分录!E8</f>
        <v>0</v>
      </c>
      <c r="J14" s="1097">
        <f>合并调整抵消分录!F8</f>
        <v>0</v>
      </c>
      <c r="K14" s="1096">
        <f t="shared" si="16"/>
        <v>6766158.54</v>
      </c>
      <c r="L14" s="1093">
        <v>-353554.12</v>
      </c>
      <c r="M14" s="1093">
        <v>4565261.75</v>
      </c>
      <c r="N14" s="1093">
        <v>1675222.92</v>
      </c>
      <c r="O14" s="1093">
        <v>2746888.14</v>
      </c>
      <c r="P14" s="1093"/>
      <c r="Q14" s="1093"/>
      <c r="R14" s="1096">
        <f t="shared" si="13"/>
        <v>8633818.69</v>
      </c>
      <c r="S14" s="1096">
        <v>0</v>
      </c>
      <c r="T14" s="1096">
        <v>0</v>
      </c>
      <c r="U14" s="1096">
        <f t="shared" si="17"/>
        <v>8633818.69</v>
      </c>
      <c r="V14" s="1097">
        <v>475714.56</v>
      </c>
      <c r="W14" s="1097">
        <v>12000</v>
      </c>
      <c r="X14" s="1097">
        <v>100000</v>
      </c>
      <c r="Y14" s="1097"/>
      <c r="Z14" s="1097">
        <f>[6]TB子公司4!M15</f>
        <v>0</v>
      </c>
      <c r="AA14" s="1097">
        <f>[6]TB子公司5!M15</f>
        <v>0</v>
      </c>
      <c r="AB14" s="1096">
        <f t="shared" si="18"/>
        <v>587714.56</v>
      </c>
      <c r="AC14" s="1096">
        <f>合并调整抵消分录!N8</f>
        <v>0</v>
      </c>
      <c r="AD14" s="1096">
        <f>合并调整抵消分录!O8</f>
        <v>0</v>
      </c>
      <c r="AE14" s="1096">
        <f t="shared" si="19"/>
        <v>587714.56</v>
      </c>
      <c r="AF14" s="1097"/>
      <c r="AG14" s="1097"/>
      <c r="AH14" s="1097"/>
      <c r="AI14" s="1097"/>
      <c r="AJ14" s="1097"/>
      <c r="AK14" s="1097"/>
      <c r="AL14" s="1096">
        <f t="shared" si="20"/>
        <v>0</v>
      </c>
      <c r="AM14" s="1096">
        <f>合并调整抵消分录!Q8</f>
        <v>0</v>
      </c>
      <c r="AN14" s="1096">
        <f>合并调整抵消分录!R8</f>
        <v>0</v>
      </c>
      <c r="AO14" s="1096">
        <f t="shared" si="21"/>
        <v>0</v>
      </c>
      <c r="AP14" s="1097"/>
      <c r="AQ14" s="1097"/>
      <c r="AR14" s="1096">
        <f t="shared" si="14"/>
        <v>0</v>
      </c>
      <c r="AS14" s="1096">
        <f>合并调整抵消分录!T8</f>
        <v>0</v>
      </c>
      <c r="AT14" s="1096">
        <f>合并调整抵消分录!U8</f>
        <v>0</v>
      </c>
      <c r="AU14" s="1096">
        <f t="shared" si="22"/>
        <v>0</v>
      </c>
      <c r="AV14" s="1092" t="e">
        <f>VLOOKUP(A14,合并资产负债表!$A$6:$C$87,3,0)</f>
        <v>#N/A</v>
      </c>
      <c r="AW14" s="1098" t="e">
        <f t="shared" si="23"/>
        <v>#N/A</v>
      </c>
    </row>
    <row r="15" s="1018" customFormat="1" customHeight="1" spans="1:49">
      <c r="A15" s="1101" t="s">
        <v>209</v>
      </c>
      <c r="B15" s="1092">
        <f>VLOOKUP(A15,快速BS新!A$6:C$212,3,0)</f>
        <v>49191612.29</v>
      </c>
      <c r="C15" s="1093">
        <f>VLOOKUP(A15,新材料BS新!$A$4:$D$191,3,0)</f>
        <v>130096004.75</v>
      </c>
      <c r="D15" s="1093">
        <f>VLOOKUP(A15,精铸BS新!$A$6:$C$86,3,0)</f>
        <v>8564840.48</v>
      </c>
      <c r="E15" s="1094">
        <f>VLOOKUP(A15,热等静压BS新!$A$6:$C$86,3,0)</f>
        <v>11202090.18</v>
      </c>
      <c r="F15" s="1095"/>
      <c r="G15" s="1093"/>
      <c r="H15" s="1096">
        <f t="shared" si="15"/>
        <v>199054547.7</v>
      </c>
      <c r="I15" s="1097">
        <f>合并调整抵消分录!E9</f>
        <v>0</v>
      </c>
      <c r="J15" s="1097">
        <f>合并调整抵消分录!F9</f>
        <v>83722522.54</v>
      </c>
      <c r="K15" s="1096">
        <f t="shared" si="16"/>
        <v>115332025.16</v>
      </c>
      <c r="L15" s="1093">
        <v>52412191.63</v>
      </c>
      <c r="M15" s="1093">
        <v>88207509.28</v>
      </c>
      <c r="N15" s="1093">
        <v>8982104.39</v>
      </c>
      <c r="O15" s="1093">
        <v>7005011.84</v>
      </c>
      <c r="P15" s="1093"/>
      <c r="Q15" s="1093"/>
      <c r="R15" s="1096">
        <f t="shared" ref="R15:R29" si="24">SUM(L15:Q15)</f>
        <v>156606817.14</v>
      </c>
      <c r="S15" s="1096">
        <v>0</v>
      </c>
      <c r="T15" s="1096">
        <v>63078608.77</v>
      </c>
      <c r="U15" s="1096">
        <f t="shared" si="17"/>
        <v>93528208.37</v>
      </c>
      <c r="V15" s="1097">
        <v>69604890.39</v>
      </c>
      <c r="W15" s="1097">
        <v>5944026.23</v>
      </c>
      <c r="X15" s="1097">
        <v>7616729.37</v>
      </c>
      <c r="Y15" s="1097"/>
      <c r="Z15" s="1097">
        <f>[6]TB子公司4!M16</f>
        <v>0</v>
      </c>
      <c r="AA15" s="1097">
        <f>[6]TB子公司5!M16</f>
        <v>0</v>
      </c>
      <c r="AB15" s="1096">
        <f t="shared" si="18"/>
        <v>83165645.99</v>
      </c>
      <c r="AC15" s="1096">
        <f>合并调整抵消分录!N9</f>
        <v>0</v>
      </c>
      <c r="AD15" s="1096">
        <f>合并调整抵消分录!O9</f>
        <v>4469405.81</v>
      </c>
      <c r="AE15" s="1096">
        <f t="shared" si="19"/>
        <v>78696240.18</v>
      </c>
      <c r="AF15" s="1097"/>
      <c r="AG15" s="1097"/>
      <c r="AH15" s="1097"/>
      <c r="AI15" s="1097"/>
      <c r="AJ15" s="1097"/>
      <c r="AK15" s="1097"/>
      <c r="AL15" s="1096">
        <f t="shared" si="20"/>
        <v>0</v>
      </c>
      <c r="AM15" s="1096">
        <f>合并调整抵消分录!Q9</f>
        <v>0</v>
      </c>
      <c r="AN15" s="1096">
        <f>合并调整抵消分录!R9</f>
        <v>0</v>
      </c>
      <c r="AO15" s="1096">
        <f t="shared" si="21"/>
        <v>0</v>
      </c>
      <c r="AP15" s="1097"/>
      <c r="AQ15" s="1097"/>
      <c r="AR15" s="1096">
        <f t="shared" si="14"/>
        <v>0</v>
      </c>
      <c r="AS15" s="1096">
        <f>合并调整抵消分录!T9</f>
        <v>0</v>
      </c>
      <c r="AT15" s="1096">
        <f>合并调整抵消分录!U9</f>
        <v>0</v>
      </c>
      <c r="AU15" s="1096">
        <f t="shared" si="22"/>
        <v>0</v>
      </c>
      <c r="AV15" s="1092" t="e">
        <f>VLOOKUP(A15,合并资产负债表!$A$6:$C$87,3,0)</f>
        <v>#N/A</v>
      </c>
      <c r="AW15" s="1098" t="e">
        <f t="shared" si="23"/>
        <v>#N/A</v>
      </c>
    </row>
    <row r="16" s="1018" customFormat="1" customHeight="1" spans="1:49">
      <c r="A16" s="1101" t="s">
        <v>211</v>
      </c>
      <c r="B16" s="1100">
        <f>VLOOKUP(A16,快速BS新!A$6:C$212,3,0)</f>
        <v>0</v>
      </c>
      <c r="C16" s="1093">
        <f>VLOOKUP(A16,新材料BS新!$A$4:$D$191,3,0)</f>
        <v>0</v>
      </c>
      <c r="D16" s="1093">
        <f>VLOOKUP(A16,精铸BS新!$A$6:$C$86,3,0)</f>
        <v>0</v>
      </c>
      <c r="E16" s="1093">
        <f>VLOOKUP(A16,热等静压BS新!$A$6:$C$86,3,0)</f>
        <v>0</v>
      </c>
      <c r="F16" s="1095"/>
      <c r="G16" s="1093"/>
      <c r="H16" s="1096"/>
      <c r="I16" s="1097"/>
      <c r="J16" s="1097"/>
      <c r="K16" s="1096">
        <f t="shared" si="16"/>
        <v>0</v>
      </c>
      <c r="L16" s="1093">
        <v>0</v>
      </c>
      <c r="M16" s="1093">
        <v>0</v>
      </c>
      <c r="N16" s="1093">
        <v>0</v>
      </c>
      <c r="O16" s="1093">
        <v>0</v>
      </c>
      <c r="P16" s="1093"/>
      <c r="Q16" s="1093"/>
      <c r="R16" s="1096">
        <f t="shared" si="24"/>
        <v>0</v>
      </c>
      <c r="S16" s="1096"/>
      <c r="T16" s="1096"/>
      <c r="U16" s="1096">
        <f t="shared" si="17"/>
        <v>0</v>
      </c>
      <c r="V16" s="1097"/>
      <c r="W16" s="1097"/>
      <c r="X16" s="1097"/>
      <c r="Y16" s="1097"/>
      <c r="Z16" s="1097"/>
      <c r="AA16" s="1097"/>
      <c r="AB16" s="1096"/>
      <c r="AC16" s="1096"/>
      <c r="AD16" s="1096"/>
      <c r="AE16" s="1096"/>
      <c r="AF16" s="1097"/>
      <c r="AG16" s="1097"/>
      <c r="AH16" s="1097"/>
      <c r="AI16" s="1097"/>
      <c r="AJ16" s="1097"/>
      <c r="AK16" s="1097"/>
      <c r="AL16" s="1096"/>
      <c r="AM16" s="1096"/>
      <c r="AN16" s="1096"/>
      <c r="AO16" s="1096"/>
      <c r="AP16" s="1097"/>
      <c r="AQ16" s="1097"/>
      <c r="AR16" s="1096"/>
      <c r="AS16" s="1096"/>
      <c r="AT16" s="1096"/>
      <c r="AU16" s="1096"/>
      <c r="AV16" s="1092"/>
      <c r="AW16" s="1098"/>
    </row>
    <row r="17" s="1018" customFormat="1" customHeight="1" spans="1:49">
      <c r="A17" s="1101" t="s">
        <v>213</v>
      </c>
      <c r="B17" s="1100">
        <f>VLOOKUP(A17,快速BS新!A$6:C$212,3,0)</f>
        <v>4125185.07</v>
      </c>
      <c r="C17" s="1093">
        <f>VLOOKUP(A17,新材料BS新!$A$4:$D$191,3,0)</f>
        <v>2983761.24</v>
      </c>
      <c r="D17" s="1093">
        <f>VLOOKUP(A17,精铸BS新!$A$6:$C$86,3,0)</f>
        <v>150161.06</v>
      </c>
      <c r="E17" s="1093">
        <f>VLOOKUP(A17,热等静压BS新!$A$6:$C$86,3,0)</f>
        <v>176</v>
      </c>
      <c r="F17" s="1095"/>
      <c r="G17" s="1093"/>
      <c r="H17" s="1096">
        <f>SUM(B17:G17)</f>
        <v>7259283.37</v>
      </c>
      <c r="I17" s="1097">
        <f>合并调整抵消分录!E10</f>
        <v>0</v>
      </c>
      <c r="J17" s="1097">
        <f>合并调整抵消分录!F10</f>
        <v>0</v>
      </c>
      <c r="K17" s="1096">
        <f t="shared" si="16"/>
        <v>7259283.37</v>
      </c>
      <c r="L17" s="1093">
        <v>7808447.81</v>
      </c>
      <c r="M17" s="1093">
        <v>4659949.16</v>
      </c>
      <c r="N17" s="1093">
        <v>148033.26</v>
      </c>
      <c r="O17" s="1093">
        <v>151176</v>
      </c>
      <c r="P17" s="1093"/>
      <c r="Q17" s="1093"/>
      <c r="R17" s="1096">
        <f t="shared" si="24"/>
        <v>12767606.23</v>
      </c>
      <c r="S17" s="1096">
        <v>0</v>
      </c>
      <c r="T17" s="1096">
        <v>0</v>
      </c>
      <c r="U17" s="1096">
        <f t="shared" si="17"/>
        <v>12767606.23</v>
      </c>
      <c r="V17" s="1097">
        <v>2827235.48</v>
      </c>
      <c r="W17" s="1097">
        <v>369050.36</v>
      </c>
      <c r="X17" s="1097">
        <v>122681.91</v>
      </c>
      <c r="Y17" s="1097"/>
      <c r="Z17" s="1097">
        <f>[6]TB子公司4!M17</f>
        <v>0</v>
      </c>
      <c r="AA17" s="1097">
        <f>[6]TB子公司5!M17</f>
        <v>0</v>
      </c>
      <c r="AB17" s="1096">
        <f t="shared" si="18"/>
        <v>3318967.75</v>
      </c>
      <c r="AC17" s="1096">
        <f>合并调整抵消分录!N10</f>
        <v>0</v>
      </c>
      <c r="AD17" s="1096">
        <f>合并调整抵消分录!O10</f>
        <v>1408058.12</v>
      </c>
      <c r="AE17" s="1096">
        <f t="shared" si="19"/>
        <v>1910909.63</v>
      </c>
      <c r="AF17" s="1097"/>
      <c r="AG17" s="1097"/>
      <c r="AH17" s="1097"/>
      <c r="AI17" s="1097"/>
      <c r="AJ17" s="1097"/>
      <c r="AK17" s="1097"/>
      <c r="AL17" s="1096">
        <f t="shared" si="20"/>
        <v>0</v>
      </c>
      <c r="AM17" s="1096">
        <f>合并调整抵消分录!Q10</f>
        <v>0</v>
      </c>
      <c r="AN17" s="1096">
        <f>合并调整抵消分录!R10</f>
        <v>0</v>
      </c>
      <c r="AO17" s="1096">
        <f t="shared" si="21"/>
        <v>0</v>
      </c>
      <c r="AP17" s="1097"/>
      <c r="AQ17" s="1097"/>
      <c r="AR17" s="1096">
        <f t="shared" si="14"/>
        <v>0</v>
      </c>
      <c r="AS17" s="1096">
        <f>合并调整抵消分录!T10</f>
        <v>0</v>
      </c>
      <c r="AT17" s="1096">
        <f>合并调整抵消分录!U10</f>
        <v>0</v>
      </c>
      <c r="AU17" s="1096">
        <f t="shared" si="22"/>
        <v>0</v>
      </c>
      <c r="AV17" s="1092" t="e">
        <f>VLOOKUP(A17,合并资产负债表!$A$6:$C$87,3,0)</f>
        <v>#N/A</v>
      </c>
      <c r="AW17" s="1098" t="e">
        <f t="shared" si="23"/>
        <v>#N/A</v>
      </c>
    </row>
    <row r="18" s="1018" customFormat="1" customHeight="1" spans="1:49">
      <c r="A18" s="1091" t="s">
        <v>709</v>
      </c>
      <c r="B18" s="1092"/>
      <c r="C18" s="1093"/>
      <c r="D18" s="1093"/>
      <c r="E18" s="1094"/>
      <c r="F18" s="1095"/>
      <c r="G18" s="1093"/>
      <c r="H18" s="1096">
        <f t="shared" si="15"/>
        <v>0</v>
      </c>
      <c r="I18" s="1097">
        <f>合并调整抵消分录!E11</f>
        <v>0</v>
      </c>
      <c r="J18" s="1097">
        <f>合并调整抵消分录!F11</f>
        <v>0</v>
      </c>
      <c r="K18" s="1096">
        <f t="shared" si="16"/>
        <v>0</v>
      </c>
      <c r="L18" s="1093"/>
      <c r="M18" s="1093"/>
      <c r="N18" s="1093"/>
      <c r="O18" s="1093"/>
      <c r="P18" s="1093"/>
      <c r="Q18" s="1093"/>
      <c r="R18" s="1096">
        <f t="shared" si="24"/>
        <v>0</v>
      </c>
      <c r="S18" s="1096">
        <v>0</v>
      </c>
      <c r="T18" s="1096">
        <v>0</v>
      </c>
      <c r="U18" s="1096">
        <f t="shared" si="17"/>
        <v>0</v>
      </c>
      <c r="V18" s="1097">
        <v>0</v>
      </c>
      <c r="W18" s="1097">
        <v>0</v>
      </c>
      <c r="X18" s="1097">
        <v>0</v>
      </c>
      <c r="Y18" s="1097"/>
      <c r="Z18" s="1097">
        <f>[6]TB子公司4!M18</f>
        <v>0</v>
      </c>
      <c r="AA18" s="1097">
        <f>[6]TB子公司5!M18</f>
        <v>0</v>
      </c>
      <c r="AB18" s="1096">
        <f t="shared" si="18"/>
        <v>0</v>
      </c>
      <c r="AC18" s="1096">
        <f>合并调整抵消分录!N11</f>
        <v>0</v>
      </c>
      <c r="AD18" s="1096">
        <f>合并调整抵消分录!O11</f>
        <v>0</v>
      </c>
      <c r="AE18" s="1096">
        <f t="shared" si="19"/>
        <v>0</v>
      </c>
      <c r="AF18" s="1097"/>
      <c r="AG18" s="1097"/>
      <c r="AH18" s="1097"/>
      <c r="AI18" s="1097"/>
      <c r="AJ18" s="1097"/>
      <c r="AK18" s="1097"/>
      <c r="AL18" s="1096">
        <f t="shared" si="20"/>
        <v>0</v>
      </c>
      <c r="AM18" s="1096">
        <f>合并调整抵消分录!Q11</f>
        <v>0</v>
      </c>
      <c r="AN18" s="1096">
        <f>合并调整抵消分录!R11</f>
        <v>0</v>
      </c>
      <c r="AO18" s="1096">
        <f t="shared" si="21"/>
        <v>0</v>
      </c>
      <c r="AP18" s="1097"/>
      <c r="AQ18" s="1097"/>
      <c r="AR18" s="1096">
        <f t="shared" si="14"/>
        <v>0</v>
      </c>
      <c r="AS18" s="1096">
        <f>合并调整抵消分录!T11</f>
        <v>0</v>
      </c>
      <c r="AT18" s="1096">
        <f>合并调整抵消分录!U11</f>
        <v>0</v>
      </c>
      <c r="AU18" s="1096">
        <f t="shared" si="22"/>
        <v>0</v>
      </c>
      <c r="AV18" s="1092"/>
      <c r="AW18" s="1098">
        <f t="shared" si="23"/>
        <v>0</v>
      </c>
    </row>
    <row r="19" s="1018" customFormat="1" customHeight="1" spans="1:49">
      <c r="A19" s="1091" t="s">
        <v>710</v>
      </c>
      <c r="B19" s="1092"/>
      <c r="C19" s="1093"/>
      <c r="D19" s="1093"/>
      <c r="E19" s="1094"/>
      <c r="F19" s="1095"/>
      <c r="G19" s="1093"/>
      <c r="H19" s="1096">
        <f t="shared" si="15"/>
        <v>0</v>
      </c>
      <c r="I19" s="1097">
        <f>合并调整抵消分录!E12</f>
        <v>0</v>
      </c>
      <c r="J19" s="1097">
        <f>合并调整抵消分录!F12</f>
        <v>0</v>
      </c>
      <c r="K19" s="1096">
        <f t="shared" si="16"/>
        <v>0</v>
      </c>
      <c r="L19" s="1093"/>
      <c r="M19" s="1093"/>
      <c r="N19" s="1093"/>
      <c r="O19" s="1093"/>
      <c r="P19" s="1093"/>
      <c r="Q19" s="1093"/>
      <c r="R19" s="1096">
        <f t="shared" si="24"/>
        <v>0</v>
      </c>
      <c r="S19" s="1096">
        <v>0</v>
      </c>
      <c r="T19" s="1096">
        <v>0</v>
      </c>
      <c r="U19" s="1096">
        <f t="shared" si="17"/>
        <v>0</v>
      </c>
      <c r="V19" s="1097"/>
      <c r="W19" s="1097"/>
      <c r="X19" s="1097"/>
      <c r="Y19" s="1097"/>
      <c r="Z19" s="1097">
        <f>[6]TB子公司4!M19</f>
        <v>0</v>
      </c>
      <c r="AA19" s="1097">
        <f>[6]TB子公司5!M19</f>
        <v>0</v>
      </c>
      <c r="AB19" s="1096">
        <f t="shared" si="18"/>
        <v>0</v>
      </c>
      <c r="AC19" s="1096">
        <f>合并调整抵消分录!N12</f>
        <v>0</v>
      </c>
      <c r="AD19" s="1096">
        <f>合并调整抵消分录!O12</f>
        <v>0</v>
      </c>
      <c r="AE19" s="1096">
        <f t="shared" si="19"/>
        <v>0</v>
      </c>
      <c r="AF19" s="1097"/>
      <c r="AG19" s="1097"/>
      <c r="AH19" s="1097"/>
      <c r="AI19" s="1097"/>
      <c r="AJ19" s="1097"/>
      <c r="AK19" s="1097"/>
      <c r="AL19" s="1096">
        <f t="shared" si="20"/>
        <v>0</v>
      </c>
      <c r="AM19" s="1096">
        <f>合并调整抵消分录!Q12</f>
        <v>0</v>
      </c>
      <c r="AN19" s="1096">
        <f>合并调整抵消分录!R12</f>
        <v>0</v>
      </c>
      <c r="AO19" s="1096">
        <f t="shared" si="21"/>
        <v>0</v>
      </c>
      <c r="AP19" s="1097"/>
      <c r="AQ19" s="1097"/>
      <c r="AR19" s="1096">
        <f t="shared" si="14"/>
        <v>0</v>
      </c>
      <c r="AS19" s="1096">
        <f>合并调整抵消分录!T12</f>
        <v>0</v>
      </c>
      <c r="AT19" s="1096">
        <f>合并调整抵消分录!U12</f>
        <v>0</v>
      </c>
      <c r="AU19" s="1096">
        <f t="shared" si="22"/>
        <v>0</v>
      </c>
      <c r="AV19" s="1092"/>
      <c r="AW19" s="1098">
        <f t="shared" si="23"/>
        <v>0</v>
      </c>
    </row>
    <row r="20" s="1018" customFormat="1" customHeight="1" spans="1:49">
      <c r="A20" s="1091" t="s">
        <v>711</v>
      </c>
      <c r="B20" s="1092"/>
      <c r="C20" s="1093"/>
      <c r="D20" s="1093"/>
      <c r="E20" s="1094"/>
      <c r="F20" s="1095"/>
      <c r="G20" s="1093"/>
      <c r="H20" s="1096">
        <f t="shared" si="15"/>
        <v>0</v>
      </c>
      <c r="I20" s="1097">
        <f>合并调整抵消分录!E13</f>
        <v>0</v>
      </c>
      <c r="J20" s="1097">
        <f>合并调整抵消分录!F13</f>
        <v>0</v>
      </c>
      <c r="K20" s="1096">
        <f t="shared" si="16"/>
        <v>0</v>
      </c>
      <c r="L20" s="1093"/>
      <c r="M20" s="1093"/>
      <c r="N20" s="1093"/>
      <c r="O20" s="1093"/>
      <c r="P20" s="1093"/>
      <c r="Q20" s="1093"/>
      <c r="R20" s="1096">
        <f t="shared" si="24"/>
        <v>0</v>
      </c>
      <c r="S20" s="1096">
        <v>0</v>
      </c>
      <c r="T20" s="1096">
        <v>0</v>
      </c>
      <c r="U20" s="1096">
        <f t="shared" si="17"/>
        <v>0</v>
      </c>
      <c r="V20" s="1097">
        <v>0</v>
      </c>
      <c r="W20" s="1097">
        <v>0</v>
      </c>
      <c r="X20" s="1097">
        <v>0</v>
      </c>
      <c r="Y20" s="1097"/>
      <c r="Z20" s="1097">
        <f>[6]TB子公司4!M20</f>
        <v>0</v>
      </c>
      <c r="AA20" s="1097">
        <f>[6]TB子公司5!M20</f>
        <v>0</v>
      </c>
      <c r="AB20" s="1096">
        <f t="shared" si="18"/>
        <v>0</v>
      </c>
      <c r="AC20" s="1096">
        <f>合并调整抵消分录!N13</f>
        <v>0</v>
      </c>
      <c r="AD20" s="1096">
        <f>合并调整抵消分录!O13</f>
        <v>0</v>
      </c>
      <c r="AE20" s="1096">
        <f t="shared" si="19"/>
        <v>0</v>
      </c>
      <c r="AF20" s="1097"/>
      <c r="AG20" s="1097"/>
      <c r="AH20" s="1097"/>
      <c r="AI20" s="1097"/>
      <c r="AJ20" s="1097"/>
      <c r="AK20" s="1097"/>
      <c r="AL20" s="1096">
        <f t="shared" si="20"/>
        <v>0</v>
      </c>
      <c r="AM20" s="1096">
        <f>合并调整抵消分录!Q13</f>
        <v>0</v>
      </c>
      <c r="AN20" s="1096">
        <f>合并调整抵消分录!R13</f>
        <v>0</v>
      </c>
      <c r="AO20" s="1096">
        <f t="shared" si="21"/>
        <v>0</v>
      </c>
      <c r="AP20" s="1097"/>
      <c r="AQ20" s="1097"/>
      <c r="AR20" s="1096">
        <f t="shared" si="14"/>
        <v>0</v>
      </c>
      <c r="AS20" s="1096">
        <f>合并调整抵消分录!T13</f>
        <v>0</v>
      </c>
      <c r="AT20" s="1096">
        <f>合并调整抵消分录!U13</f>
        <v>0</v>
      </c>
      <c r="AU20" s="1096">
        <f t="shared" si="22"/>
        <v>0</v>
      </c>
      <c r="AV20" s="1092"/>
      <c r="AW20" s="1098">
        <f t="shared" si="23"/>
        <v>0</v>
      </c>
    </row>
    <row r="21" s="1018" customFormat="1" customHeight="1" spans="1:49">
      <c r="A21" s="1101" t="s">
        <v>215</v>
      </c>
      <c r="B21" s="1100">
        <f>VLOOKUP(A21,快速BS新!A$6:C$212,3,0)</f>
        <v>0</v>
      </c>
      <c r="C21" s="1093">
        <f>VLOOKUP(A21,新材料BS新!$A$4:$D$191,3,0)</f>
        <v>0</v>
      </c>
      <c r="D21" s="1093">
        <f>VLOOKUP(A21,精铸BS新!$A$6:$C$86,3,0)</f>
        <v>0</v>
      </c>
      <c r="E21" s="1093">
        <f>VLOOKUP(A21,热等静压BS新!$A$6:$C$86,3,0)</f>
        <v>0</v>
      </c>
      <c r="F21" s="1095"/>
      <c r="G21" s="1093"/>
      <c r="H21" s="1096">
        <f t="shared" si="15"/>
        <v>0</v>
      </c>
      <c r="I21" s="1097">
        <f>合并调整抵消分录!E14</f>
        <v>0</v>
      </c>
      <c r="J21" s="1097">
        <f>合并调整抵消分录!F14</f>
        <v>0</v>
      </c>
      <c r="K21" s="1096">
        <f t="shared" si="16"/>
        <v>0</v>
      </c>
      <c r="L21" s="1093">
        <v>0</v>
      </c>
      <c r="M21" s="1093">
        <v>0</v>
      </c>
      <c r="N21" s="1093">
        <v>0</v>
      </c>
      <c r="O21" s="1093">
        <v>0</v>
      </c>
      <c r="P21" s="1093"/>
      <c r="Q21" s="1093"/>
      <c r="R21" s="1096">
        <f t="shared" si="24"/>
        <v>0</v>
      </c>
      <c r="S21" s="1096">
        <v>0</v>
      </c>
      <c r="T21" s="1096">
        <v>0</v>
      </c>
      <c r="U21" s="1096">
        <f t="shared" si="17"/>
        <v>0</v>
      </c>
      <c r="V21" s="1097">
        <v>0</v>
      </c>
      <c r="W21" s="1097">
        <v>0</v>
      </c>
      <c r="X21" s="1097">
        <v>0</v>
      </c>
      <c r="Y21" s="1097"/>
      <c r="Z21" s="1097">
        <f>[6]TB子公司4!M21</f>
        <v>0</v>
      </c>
      <c r="AA21" s="1097">
        <f>[6]TB子公司5!M21</f>
        <v>0</v>
      </c>
      <c r="AB21" s="1096">
        <f t="shared" si="18"/>
        <v>0</v>
      </c>
      <c r="AC21" s="1096">
        <f>合并调整抵消分录!N14</f>
        <v>0</v>
      </c>
      <c r="AD21" s="1096">
        <f>合并调整抵消分录!O14</f>
        <v>0</v>
      </c>
      <c r="AE21" s="1096">
        <f t="shared" si="19"/>
        <v>0</v>
      </c>
      <c r="AF21" s="1097"/>
      <c r="AG21" s="1097"/>
      <c r="AH21" s="1097"/>
      <c r="AI21" s="1097"/>
      <c r="AJ21" s="1097"/>
      <c r="AK21" s="1097"/>
      <c r="AL21" s="1096">
        <f t="shared" si="20"/>
        <v>0</v>
      </c>
      <c r="AM21" s="1096">
        <f>合并调整抵消分录!Q14</f>
        <v>0</v>
      </c>
      <c r="AN21" s="1096">
        <f>合并调整抵消分录!R14</f>
        <v>0</v>
      </c>
      <c r="AO21" s="1096">
        <f t="shared" si="21"/>
        <v>0</v>
      </c>
      <c r="AP21" s="1097"/>
      <c r="AQ21" s="1097"/>
      <c r="AR21" s="1096">
        <f t="shared" si="14"/>
        <v>0</v>
      </c>
      <c r="AS21" s="1096">
        <f>合并调整抵消分录!T14</f>
        <v>0</v>
      </c>
      <c r="AT21" s="1096">
        <f>合并调整抵消分录!U14</f>
        <v>0</v>
      </c>
      <c r="AU21" s="1096">
        <f t="shared" si="22"/>
        <v>0</v>
      </c>
      <c r="AV21" s="1092" t="e">
        <f>VLOOKUP(A21,合并资产负债表!$A$6:$C$87,3,0)</f>
        <v>#N/A</v>
      </c>
      <c r="AW21" s="1098" t="e">
        <f t="shared" si="23"/>
        <v>#N/A</v>
      </c>
    </row>
    <row r="22" s="1018" customFormat="1" customHeight="1" spans="1:49">
      <c r="A22" s="1101" t="s">
        <v>217</v>
      </c>
      <c r="B22" s="1100">
        <f>VLOOKUP(A22,快速BS新!A$6:C$212,3,0)</f>
        <v>0</v>
      </c>
      <c r="C22" s="1093">
        <f>VLOOKUP(A22,新材料BS新!$A$4:$D$191,3,0)</f>
        <v>0</v>
      </c>
      <c r="D22" s="1093">
        <f>VLOOKUP(A22,精铸BS新!$A$6:$C$86,3,0)</f>
        <v>0</v>
      </c>
      <c r="E22" s="1093">
        <f>VLOOKUP(A22,热等静压BS新!$A$6:$C$86,3,0)</f>
        <v>0</v>
      </c>
      <c r="F22" s="1095"/>
      <c r="G22" s="1093"/>
      <c r="H22" s="1096">
        <f t="shared" si="15"/>
        <v>0</v>
      </c>
      <c r="I22" s="1097">
        <f>合并调整抵消分录!E15</f>
        <v>0</v>
      </c>
      <c r="J22" s="1097">
        <f>合并调整抵消分录!F15</f>
        <v>0</v>
      </c>
      <c r="K22" s="1096">
        <f t="shared" si="16"/>
        <v>0</v>
      </c>
      <c r="L22" s="1093">
        <v>0</v>
      </c>
      <c r="M22" s="1093">
        <v>0</v>
      </c>
      <c r="N22" s="1093">
        <v>0</v>
      </c>
      <c r="O22" s="1093">
        <v>0</v>
      </c>
      <c r="P22" s="1093"/>
      <c r="Q22" s="1093"/>
      <c r="R22" s="1096">
        <f t="shared" si="24"/>
        <v>0</v>
      </c>
      <c r="S22" s="1096">
        <v>0</v>
      </c>
      <c r="T22" s="1096">
        <v>0</v>
      </c>
      <c r="U22" s="1096">
        <f t="shared" si="17"/>
        <v>0</v>
      </c>
      <c r="V22" s="1097">
        <v>0</v>
      </c>
      <c r="W22" s="1097">
        <v>0</v>
      </c>
      <c r="X22" s="1097">
        <v>0</v>
      </c>
      <c r="Y22" s="1097"/>
      <c r="Z22" s="1097">
        <f>[6]TB子公司4!M22</f>
        <v>0</v>
      </c>
      <c r="AA22" s="1097">
        <f>[6]TB子公司5!M22</f>
        <v>0</v>
      </c>
      <c r="AB22" s="1096">
        <f t="shared" si="18"/>
        <v>0</v>
      </c>
      <c r="AC22" s="1096">
        <f>合并调整抵消分录!N15</f>
        <v>0</v>
      </c>
      <c r="AD22" s="1096">
        <f>合并调整抵消分录!O15</f>
        <v>0</v>
      </c>
      <c r="AE22" s="1096">
        <f t="shared" si="19"/>
        <v>0</v>
      </c>
      <c r="AF22" s="1097"/>
      <c r="AG22" s="1097"/>
      <c r="AH22" s="1097"/>
      <c r="AI22" s="1097"/>
      <c r="AJ22" s="1097"/>
      <c r="AK22" s="1097"/>
      <c r="AL22" s="1096">
        <f t="shared" si="20"/>
        <v>0</v>
      </c>
      <c r="AM22" s="1096">
        <f>合并调整抵消分录!Q15</f>
        <v>0</v>
      </c>
      <c r="AN22" s="1096">
        <f>合并调整抵消分录!R15</f>
        <v>0</v>
      </c>
      <c r="AO22" s="1096">
        <f t="shared" si="21"/>
        <v>0</v>
      </c>
      <c r="AP22" s="1097"/>
      <c r="AQ22" s="1097"/>
      <c r="AR22" s="1096">
        <f t="shared" si="14"/>
        <v>0</v>
      </c>
      <c r="AS22" s="1096">
        <f>合并调整抵消分录!T15</f>
        <v>0</v>
      </c>
      <c r="AT22" s="1096">
        <f>合并调整抵消分录!U15</f>
        <v>0</v>
      </c>
      <c r="AU22" s="1096">
        <f t="shared" si="22"/>
        <v>0</v>
      </c>
      <c r="AV22" s="1092" t="e">
        <f>VLOOKUP(A22,合并资产负债表!$A$6:$C$87,3,0)</f>
        <v>#N/A</v>
      </c>
      <c r="AW22" s="1098" t="e">
        <f t="shared" si="23"/>
        <v>#N/A</v>
      </c>
    </row>
    <row r="23" s="1018" customFormat="1" customHeight="1" spans="1:49">
      <c r="A23" s="391" t="s">
        <v>219</v>
      </c>
      <c r="B23" s="1100">
        <f>VLOOKUP(A23,快速BS新!A$6:C$212,3,0)</f>
        <v>83537.31</v>
      </c>
      <c r="C23" s="1093">
        <f>VLOOKUP(A23,新材料BS新!$A$4:$D$191,3,0)</f>
        <v>242421.69</v>
      </c>
      <c r="D23" s="1093">
        <f>VLOOKUP(A23,精铸BS新!$A$6:$C$86,3,0)</f>
        <v>233520.98</v>
      </c>
      <c r="E23" s="1093">
        <f>VLOOKUP(A23,热等静压BS新!$A$6:$C$86,3,0)</f>
        <v>161683.13</v>
      </c>
      <c r="F23" s="1095"/>
      <c r="G23" s="1093"/>
      <c r="H23" s="1096">
        <f t="shared" si="15"/>
        <v>721163.11</v>
      </c>
      <c r="I23" s="1097">
        <f>合并调整抵消分录!E16</f>
        <v>0</v>
      </c>
      <c r="J23" s="1097">
        <f>合并调整抵消分录!F16</f>
        <v>0</v>
      </c>
      <c r="K23" s="1096">
        <f t="shared" si="16"/>
        <v>721163.11</v>
      </c>
      <c r="L23" s="1093">
        <v>101888.49</v>
      </c>
      <c r="M23" s="1093">
        <v>698113.73</v>
      </c>
      <c r="N23" s="1093">
        <v>210509.69</v>
      </c>
      <c r="O23" s="1093">
        <v>136338.05</v>
      </c>
      <c r="P23" s="1093"/>
      <c r="Q23" s="1093"/>
      <c r="R23" s="1096">
        <f t="shared" si="24"/>
        <v>1146849.96</v>
      </c>
      <c r="S23" s="1096">
        <v>0</v>
      </c>
      <c r="T23" s="1096">
        <v>336853</v>
      </c>
      <c r="U23" s="1096">
        <f t="shared" si="17"/>
        <v>809996.96</v>
      </c>
      <c r="V23" s="1097">
        <v>1744391.1</v>
      </c>
      <c r="W23" s="1097">
        <v>76009.5</v>
      </c>
      <c r="X23" s="1097">
        <v>1899.33</v>
      </c>
      <c r="Y23" s="1097"/>
      <c r="Z23" s="1097">
        <f>[6]TB子公司4!M23</f>
        <v>0</v>
      </c>
      <c r="AA23" s="1097">
        <f>[6]TB子公司5!M23</f>
        <v>0</v>
      </c>
      <c r="AB23" s="1096">
        <f t="shared" si="18"/>
        <v>1822299.93</v>
      </c>
      <c r="AC23" s="1096">
        <f>合并调整抵消分录!N16</f>
        <v>0</v>
      </c>
      <c r="AD23" s="1096">
        <f>合并调整抵消分录!O16</f>
        <v>559382.32</v>
      </c>
      <c r="AE23" s="1096">
        <f t="shared" si="19"/>
        <v>1262917.61</v>
      </c>
      <c r="AF23" s="1097"/>
      <c r="AG23" s="1097"/>
      <c r="AH23" s="1097"/>
      <c r="AI23" s="1097"/>
      <c r="AJ23" s="1097"/>
      <c r="AK23" s="1097"/>
      <c r="AL23" s="1096">
        <f t="shared" si="20"/>
        <v>0</v>
      </c>
      <c r="AM23" s="1096">
        <f>合并调整抵消分录!Q16</f>
        <v>0</v>
      </c>
      <c r="AN23" s="1096">
        <f>合并调整抵消分录!R16</f>
        <v>0</v>
      </c>
      <c r="AO23" s="1096">
        <f t="shared" si="21"/>
        <v>0</v>
      </c>
      <c r="AP23" s="1097"/>
      <c r="AQ23" s="1097"/>
      <c r="AR23" s="1096">
        <f t="shared" si="14"/>
        <v>0</v>
      </c>
      <c r="AS23" s="1096">
        <f>合并调整抵消分录!T16</f>
        <v>0</v>
      </c>
      <c r="AT23" s="1096">
        <f>合并调整抵消分录!U16</f>
        <v>0</v>
      </c>
      <c r="AU23" s="1096">
        <f t="shared" si="22"/>
        <v>0</v>
      </c>
      <c r="AV23" s="1092" t="e">
        <f>VLOOKUP(A23,合并资产负债表!$A$6:$C$87,3,0)</f>
        <v>#N/A</v>
      </c>
      <c r="AW23" s="1098" t="e">
        <f t="shared" si="23"/>
        <v>#N/A</v>
      </c>
    </row>
    <row r="24" s="1018" customFormat="1" customHeight="1" spans="1:49">
      <c r="A24" s="1091" t="s">
        <v>712</v>
      </c>
      <c r="B24" s="1092"/>
      <c r="C24" s="1093"/>
      <c r="D24" s="1093"/>
      <c r="E24" s="1094"/>
      <c r="F24" s="1095"/>
      <c r="G24" s="1093"/>
      <c r="H24" s="1096">
        <f t="shared" si="15"/>
        <v>0</v>
      </c>
      <c r="I24" s="1097">
        <f>合并调整抵消分录!E17</f>
        <v>0</v>
      </c>
      <c r="J24" s="1097">
        <f>合并调整抵消分录!F17</f>
        <v>0</v>
      </c>
      <c r="K24" s="1096">
        <f t="shared" si="16"/>
        <v>0</v>
      </c>
      <c r="L24" s="1093"/>
      <c r="M24" s="1093"/>
      <c r="N24" s="1093"/>
      <c r="O24" s="1093"/>
      <c r="P24" s="1093"/>
      <c r="Q24" s="1093"/>
      <c r="R24" s="1096">
        <f t="shared" si="24"/>
        <v>0</v>
      </c>
      <c r="S24" s="1096">
        <v>0</v>
      </c>
      <c r="T24" s="1096">
        <v>0</v>
      </c>
      <c r="U24" s="1096">
        <f t="shared" si="17"/>
        <v>0</v>
      </c>
      <c r="V24" s="1097">
        <v>0</v>
      </c>
      <c r="W24" s="1097">
        <v>0</v>
      </c>
      <c r="X24" s="1097">
        <v>0</v>
      </c>
      <c r="Y24" s="1097"/>
      <c r="Z24" s="1097">
        <f>[6]TB子公司4!M24</f>
        <v>0</v>
      </c>
      <c r="AA24" s="1097">
        <f>[6]TB子公司5!M24</f>
        <v>0</v>
      </c>
      <c r="AB24" s="1096">
        <f t="shared" si="18"/>
        <v>0</v>
      </c>
      <c r="AC24" s="1096">
        <f>合并调整抵消分录!N17</f>
        <v>0</v>
      </c>
      <c r="AD24" s="1096">
        <f>合并调整抵消分录!O17</f>
        <v>0</v>
      </c>
      <c r="AE24" s="1096">
        <f t="shared" si="19"/>
        <v>0</v>
      </c>
      <c r="AF24" s="1097"/>
      <c r="AG24" s="1097"/>
      <c r="AH24" s="1097"/>
      <c r="AI24" s="1097"/>
      <c r="AJ24" s="1097"/>
      <c r="AK24" s="1097"/>
      <c r="AL24" s="1096">
        <f t="shared" si="20"/>
        <v>0</v>
      </c>
      <c r="AM24" s="1096">
        <f>合并调整抵消分录!Q17</f>
        <v>0</v>
      </c>
      <c r="AN24" s="1096">
        <f>合并调整抵消分录!R17</f>
        <v>0</v>
      </c>
      <c r="AO24" s="1096">
        <f t="shared" si="21"/>
        <v>0</v>
      </c>
      <c r="AP24" s="1097"/>
      <c r="AQ24" s="1097"/>
      <c r="AR24" s="1096">
        <f t="shared" si="14"/>
        <v>0</v>
      </c>
      <c r="AS24" s="1096">
        <f>合并调整抵消分录!T17</f>
        <v>0</v>
      </c>
      <c r="AT24" s="1096">
        <f>合并调整抵消分录!U17</f>
        <v>0</v>
      </c>
      <c r="AU24" s="1096">
        <f t="shared" si="22"/>
        <v>0</v>
      </c>
      <c r="AV24" s="1092"/>
      <c r="AW24" s="1098">
        <f t="shared" si="23"/>
        <v>0</v>
      </c>
    </row>
    <row r="25" s="1018" customFormat="1" customHeight="1" spans="1:49">
      <c r="A25" s="1101" t="s">
        <v>221</v>
      </c>
      <c r="B25" s="1100">
        <f>VLOOKUP(A25,快速BS新!A$6:C$212,3,0)</f>
        <v>13492043.86</v>
      </c>
      <c r="C25" s="1093">
        <f>VLOOKUP(A25,新材料BS新!$A$4:$D$191,3,0)</f>
        <v>82156040.98</v>
      </c>
      <c r="D25" s="1093">
        <f>VLOOKUP(A25,精铸BS新!$A$6:$C$86,3,0)</f>
        <v>8214116.1</v>
      </c>
      <c r="E25" s="1093">
        <f>VLOOKUP(A25,热等静压BS新!$A$6:$C$86,3,0)</f>
        <v>9470975.65</v>
      </c>
      <c r="F25" s="1095"/>
      <c r="G25" s="1093"/>
      <c r="H25" s="1096">
        <f t="shared" si="15"/>
        <v>113333176.59</v>
      </c>
      <c r="I25" s="1097">
        <f>合并调整抵消分录!E18</f>
        <v>0</v>
      </c>
      <c r="J25" s="1097">
        <f>合并调整抵消分录!F18</f>
        <v>21888.38</v>
      </c>
      <c r="K25" s="1096">
        <f t="shared" si="16"/>
        <v>113311288.21</v>
      </c>
      <c r="L25" s="1093">
        <v>12211515.24</v>
      </c>
      <c r="M25" s="1093">
        <v>63786150.41</v>
      </c>
      <c r="N25" s="1093">
        <v>4231996.56</v>
      </c>
      <c r="O25" s="1093">
        <v>9481405.29</v>
      </c>
      <c r="P25" s="1093"/>
      <c r="Q25" s="1093"/>
      <c r="R25" s="1096">
        <f t="shared" si="24"/>
        <v>89711067.5</v>
      </c>
      <c r="S25" s="1096">
        <v>0</v>
      </c>
      <c r="T25" s="1096">
        <v>44089.49</v>
      </c>
      <c r="U25" s="1096">
        <f t="shared" si="17"/>
        <v>89666978.01</v>
      </c>
      <c r="V25" s="1097">
        <v>36733409.47</v>
      </c>
      <c r="W25" s="1097">
        <v>3436516.06</v>
      </c>
      <c r="X25" s="1097">
        <v>2517723.71</v>
      </c>
      <c r="Y25" s="1097"/>
      <c r="Z25" s="1097">
        <f>[6]TB子公司4!M25</f>
        <v>0</v>
      </c>
      <c r="AA25" s="1097">
        <f>[6]TB子公司5!M25</f>
        <v>0</v>
      </c>
      <c r="AB25" s="1096">
        <f t="shared" si="18"/>
        <v>42687649.24</v>
      </c>
      <c r="AC25" s="1096">
        <f>合并调整抵消分录!N18</f>
        <v>0</v>
      </c>
      <c r="AD25" s="1096">
        <f>合并调整抵消分录!O18</f>
        <v>0</v>
      </c>
      <c r="AE25" s="1096">
        <f t="shared" si="19"/>
        <v>42687649.24</v>
      </c>
      <c r="AF25" s="1097"/>
      <c r="AG25" s="1097"/>
      <c r="AH25" s="1097"/>
      <c r="AI25" s="1097"/>
      <c r="AJ25" s="1097"/>
      <c r="AK25" s="1097"/>
      <c r="AL25" s="1096">
        <f t="shared" si="20"/>
        <v>0</v>
      </c>
      <c r="AM25" s="1096">
        <f>合并调整抵消分录!Q18</f>
        <v>0</v>
      </c>
      <c r="AN25" s="1096">
        <f>合并调整抵消分录!R18</f>
        <v>0</v>
      </c>
      <c r="AO25" s="1096">
        <f t="shared" si="21"/>
        <v>0</v>
      </c>
      <c r="AP25" s="1097"/>
      <c r="AQ25" s="1097"/>
      <c r="AR25" s="1096">
        <f t="shared" si="14"/>
        <v>0</v>
      </c>
      <c r="AS25" s="1096">
        <f>合并调整抵消分录!T18</f>
        <v>0</v>
      </c>
      <c r="AT25" s="1096">
        <f>合并调整抵消分录!U18</f>
        <v>0</v>
      </c>
      <c r="AU25" s="1096">
        <f t="shared" si="22"/>
        <v>0</v>
      </c>
      <c r="AV25" s="1092" t="e">
        <f>VLOOKUP(A25,合并资产负债表!$A$6:$C$87,3,0)</f>
        <v>#N/A</v>
      </c>
      <c r="AW25" s="1098" t="e">
        <f t="shared" si="23"/>
        <v>#N/A</v>
      </c>
    </row>
    <row r="26" s="1018" customFormat="1" customHeight="1" spans="1:49">
      <c r="A26" s="1101" t="s">
        <v>230</v>
      </c>
      <c r="B26" s="1100">
        <f>VLOOKUP(A26,快速BS新!A$6:C$212,3,0)</f>
        <v>0</v>
      </c>
      <c r="C26" s="1093">
        <f>VLOOKUP(A26,新材料BS新!$A$4:$D$191,3,0)</f>
        <v>1426653.04</v>
      </c>
      <c r="D26" s="1093">
        <f>VLOOKUP(A26,精铸BS新!$A$6:$C$86,3,0)</f>
        <v>0</v>
      </c>
      <c r="E26" s="1093">
        <f>VLOOKUP(A26,热等静压BS新!$A$6:$C$86,3,0)</f>
        <v>0</v>
      </c>
      <c r="F26" s="1095"/>
      <c r="G26" s="1093"/>
      <c r="H26" s="1096">
        <f t="shared" si="15"/>
        <v>1426653.04</v>
      </c>
      <c r="I26" s="1097"/>
      <c r="J26" s="1097"/>
      <c r="K26" s="1096">
        <f t="shared" si="16"/>
        <v>1426653.04</v>
      </c>
      <c r="L26" s="1093">
        <v>713818.6</v>
      </c>
      <c r="M26" s="1093">
        <v>1649153.35</v>
      </c>
      <c r="N26" s="1093">
        <v>0</v>
      </c>
      <c r="O26" s="1093">
        <v>0</v>
      </c>
      <c r="P26" s="1093"/>
      <c r="Q26" s="1093"/>
      <c r="R26" s="1096">
        <f t="shared" si="24"/>
        <v>2362971.95</v>
      </c>
      <c r="S26" s="1096"/>
      <c r="T26" s="1096"/>
      <c r="U26" s="1096">
        <f t="shared" si="17"/>
        <v>2362971.95</v>
      </c>
      <c r="V26" s="1097"/>
      <c r="W26" s="1097"/>
      <c r="X26" s="1097"/>
      <c r="Y26" s="1097"/>
      <c r="Z26" s="1097"/>
      <c r="AA26" s="1097"/>
      <c r="AB26" s="1096"/>
      <c r="AC26" s="1096"/>
      <c r="AD26" s="1096"/>
      <c r="AE26" s="1096"/>
      <c r="AF26" s="1097"/>
      <c r="AG26" s="1097"/>
      <c r="AH26" s="1097"/>
      <c r="AI26" s="1097"/>
      <c r="AJ26" s="1097"/>
      <c r="AK26" s="1097"/>
      <c r="AL26" s="1096"/>
      <c r="AM26" s="1096"/>
      <c r="AN26" s="1096"/>
      <c r="AO26" s="1096"/>
      <c r="AP26" s="1097"/>
      <c r="AQ26" s="1097"/>
      <c r="AR26" s="1096"/>
      <c r="AS26" s="1096"/>
      <c r="AT26" s="1096"/>
      <c r="AU26" s="1096"/>
      <c r="AV26" s="1092"/>
      <c r="AW26" s="1098"/>
    </row>
    <row r="27" s="1018" customFormat="1" customHeight="1" spans="1:49">
      <c r="A27" s="1091" t="s">
        <v>713</v>
      </c>
      <c r="B27" s="1092"/>
      <c r="C27" s="1093"/>
      <c r="D27" s="1093"/>
      <c r="E27" s="1094"/>
      <c r="F27" s="1095"/>
      <c r="G27" s="1093"/>
      <c r="H27" s="1096">
        <f t="shared" si="15"/>
        <v>0</v>
      </c>
      <c r="I27" s="1097">
        <f>合并调整抵消分录!E19</f>
        <v>0</v>
      </c>
      <c r="J27" s="1097">
        <f>合并调整抵消分录!F19</f>
        <v>0</v>
      </c>
      <c r="K27" s="1096">
        <f t="shared" si="16"/>
        <v>0</v>
      </c>
      <c r="L27" s="1093"/>
      <c r="M27" s="1093"/>
      <c r="N27" s="1093"/>
      <c r="O27" s="1093"/>
      <c r="P27" s="1093"/>
      <c r="Q27" s="1093"/>
      <c r="R27" s="1096">
        <f t="shared" si="24"/>
        <v>0</v>
      </c>
      <c r="S27" s="1096">
        <v>0</v>
      </c>
      <c r="T27" s="1096">
        <v>0</v>
      </c>
      <c r="U27" s="1096">
        <f t="shared" si="17"/>
        <v>0</v>
      </c>
      <c r="V27" s="1097">
        <v>0</v>
      </c>
      <c r="W27" s="1097">
        <v>0</v>
      </c>
      <c r="X27" s="1097">
        <v>0</v>
      </c>
      <c r="Y27" s="1097"/>
      <c r="Z27" s="1097">
        <f>[6]TB子公司4!M26</f>
        <v>0</v>
      </c>
      <c r="AA27" s="1097">
        <f>[6]TB子公司5!M26</f>
        <v>0</v>
      </c>
      <c r="AB27" s="1096">
        <f t="shared" si="18"/>
        <v>0</v>
      </c>
      <c r="AC27" s="1096">
        <f>合并调整抵消分录!N19</f>
        <v>0</v>
      </c>
      <c r="AD27" s="1096">
        <f>合并调整抵消分录!O19</f>
        <v>0</v>
      </c>
      <c r="AE27" s="1096">
        <f t="shared" si="19"/>
        <v>0</v>
      </c>
      <c r="AF27" s="1097"/>
      <c r="AG27" s="1097"/>
      <c r="AH27" s="1097"/>
      <c r="AI27" s="1097"/>
      <c r="AJ27" s="1097"/>
      <c r="AK27" s="1097"/>
      <c r="AL27" s="1096">
        <f t="shared" si="20"/>
        <v>0</v>
      </c>
      <c r="AM27" s="1096">
        <f>合并调整抵消分录!Q19</f>
        <v>0</v>
      </c>
      <c r="AN27" s="1096">
        <f>合并调整抵消分录!R19</f>
        <v>0</v>
      </c>
      <c r="AO27" s="1096">
        <f t="shared" si="21"/>
        <v>0</v>
      </c>
      <c r="AP27" s="1097"/>
      <c r="AQ27" s="1097"/>
      <c r="AR27" s="1096">
        <f t="shared" si="14"/>
        <v>0</v>
      </c>
      <c r="AS27" s="1096">
        <f>合并调整抵消分录!T19</f>
        <v>0</v>
      </c>
      <c r="AT27" s="1096">
        <f>合并调整抵消分录!U19</f>
        <v>0</v>
      </c>
      <c r="AU27" s="1096">
        <f t="shared" si="22"/>
        <v>0</v>
      </c>
      <c r="AV27" s="1092"/>
      <c r="AW27" s="1098">
        <f t="shared" si="23"/>
        <v>0</v>
      </c>
    </row>
    <row r="28" s="1018" customFormat="1" customHeight="1" spans="1:49">
      <c r="A28" s="1101" t="s">
        <v>232</v>
      </c>
      <c r="B28" s="1100">
        <f>VLOOKUP(A28,快速BS新!A$6:C$212,3,0)</f>
        <v>0</v>
      </c>
      <c r="C28" s="1093">
        <f>VLOOKUP(A28,新材料BS新!$A$4:$D$191,3,0)</f>
        <v>0</v>
      </c>
      <c r="D28" s="1093">
        <f>VLOOKUP(A28,精铸BS新!$A$6:$C$86,3,0)</f>
        <v>0</v>
      </c>
      <c r="E28" s="1093">
        <f>VLOOKUP(A28,热等静压BS新!$A$6:$C$86,3,0)</f>
        <v>0</v>
      </c>
      <c r="F28" s="1095"/>
      <c r="G28" s="1093"/>
      <c r="H28" s="1096">
        <f t="shared" si="15"/>
        <v>0</v>
      </c>
      <c r="I28" s="1097">
        <f>合并调整抵消分录!E20</f>
        <v>0</v>
      </c>
      <c r="J28" s="1097">
        <f>合并调整抵消分录!F20</f>
        <v>0</v>
      </c>
      <c r="K28" s="1096">
        <f t="shared" si="16"/>
        <v>0</v>
      </c>
      <c r="L28" s="1093">
        <v>0</v>
      </c>
      <c r="M28" s="1093">
        <v>0</v>
      </c>
      <c r="N28" s="1093">
        <v>0</v>
      </c>
      <c r="O28" s="1093">
        <v>0</v>
      </c>
      <c r="P28" s="1093"/>
      <c r="Q28" s="1093"/>
      <c r="R28" s="1096">
        <f t="shared" si="24"/>
        <v>0</v>
      </c>
      <c r="S28" s="1096">
        <v>0</v>
      </c>
      <c r="T28" s="1096">
        <v>0</v>
      </c>
      <c r="U28" s="1096">
        <f t="shared" si="17"/>
        <v>0</v>
      </c>
      <c r="V28" s="1097"/>
      <c r="W28" s="1097"/>
      <c r="X28" s="1097"/>
      <c r="Y28" s="1097"/>
      <c r="Z28" s="1097">
        <f>[6]TB子公司4!M27</f>
        <v>0</v>
      </c>
      <c r="AA28" s="1097">
        <f>[6]TB子公司5!M27</f>
        <v>0</v>
      </c>
      <c r="AB28" s="1096">
        <f t="shared" si="18"/>
        <v>0</v>
      </c>
      <c r="AC28" s="1096">
        <f>合并调整抵消分录!N20</f>
        <v>0</v>
      </c>
      <c r="AD28" s="1096">
        <f>合并调整抵消分录!O20</f>
        <v>0</v>
      </c>
      <c r="AE28" s="1096">
        <f t="shared" si="19"/>
        <v>0</v>
      </c>
      <c r="AF28" s="1097"/>
      <c r="AG28" s="1097"/>
      <c r="AH28" s="1097"/>
      <c r="AI28" s="1097"/>
      <c r="AJ28" s="1097"/>
      <c r="AK28" s="1097"/>
      <c r="AL28" s="1096">
        <f t="shared" si="20"/>
        <v>0</v>
      </c>
      <c r="AM28" s="1096">
        <f>合并调整抵消分录!Q20</f>
        <v>0</v>
      </c>
      <c r="AN28" s="1096">
        <f>合并调整抵消分录!R20</f>
        <v>0</v>
      </c>
      <c r="AO28" s="1096">
        <f t="shared" si="21"/>
        <v>0</v>
      </c>
      <c r="AP28" s="1097"/>
      <c r="AQ28" s="1097"/>
      <c r="AR28" s="1096">
        <f t="shared" si="14"/>
        <v>0</v>
      </c>
      <c r="AS28" s="1096">
        <f>合并调整抵消分录!T20</f>
        <v>0</v>
      </c>
      <c r="AT28" s="1096">
        <f>合并调整抵消分录!U20</f>
        <v>0</v>
      </c>
      <c r="AU28" s="1096">
        <f t="shared" si="22"/>
        <v>0</v>
      </c>
      <c r="AV28" s="1092" t="e">
        <f>VLOOKUP(A28,合并资产负债表!$A$6:$C$87,3,0)</f>
        <v>#N/A</v>
      </c>
      <c r="AW28" s="1098" t="e">
        <f t="shared" si="23"/>
        <v>#N/A</v>
      </c>
    </row>
    <row r="29" s="1018" customFormat="1" customHeight="1" spans="1:49">
      <c r="A29" s="1101" t="s">
        <v>234</v>
      </c>
      <c r="B29" s="1100">
        <f>VLOOKUP(A29,快速BS新!A$6:C$212,3,0)+快速BS新!C25</f>
        <v>2908777.31</v>
      </c>
      <c r="C29" s="1093">
        <f>VLOOKUP(A29,新材料BS新!$A$4:$D$191,3,0)+新材料BS新!C21</f>
        <v>526300.76</v>
      </c>
      <c r="D29" s="1093">
        <f>VLOOKUP(A29,精铸BS新!$A$6:$C$86,3,0)+精铸BS新!C25</f>
        <v>30771.11</v>
      </c>
      <c r="E29" s="1093">
        <f>VLOOKUP(A29,热等静压BS新!$A$6:$C$86,3,0)+热等静压BS新!C22</f>
        <v>159221.08</v>
      </c>
      <c r="F29" s="1095"/>
      <c r="G29" s="1093"/>
      <c r="H29" s="1096">
        <f t="shared" si="15"/>
        <v>3625070.26</v>
      </c>
      <c r="I29" s="1097">
        <f>合并调整抵消分录!E21</f>
        <v>0</v>
      </c>
      <c r="J29" s="1097">
        <f>合并调整抵消分录!F21</f>
        <v>0</v>
      </c>
      <c r="K29" s="1096">
        <f t="shared" si="16"/>
        <v>3625070.26</v>
      </c>
      <c r="L29" s="1093">
        <v>99880.84</v>
      </c>
      <c r="M29" s="1093">
        <v>117873.86</v>
      </c>
      <c r="N29" s="1093">
        <v>0</v>
      </c>
      <c r="O29" s="1093">
        <v>840368.37</v>
      </c>
      <c r="P29" s="1093"/>
      <c r="Q29" s="1093"/>
      <c r="R29" s="1096">
        <f t="shared" si="24"/>
        <v>1058123.07</v>
      </c>
      <c r="S29" s="1096">
        <v>0</v>
      </c>
      <c r="T29" s="1096">
        <v>0</v>
      </c>
      <c r="U29" s="1096">
        <f t="shared" si="17"/>
        <v>1058123.07</v>
      </c>
      <c r="V29" s="1097">
        <v>10188420.74</v>
      </c>
      <c r="W29" s="1097">
        <v>74229.85</v>
      </c>
      <c r="X29" s="1097"/>
      <c r="Y29" s="1097"/>
      <c r="Z29" s="1097">
        <f>[6]TB子公司4!M28</f>
        <v>0</v>
      </c>
      <c r="AA29" s="1097">
        <f>[6]TB子公司5!M28</f>
        <v>0</v>
      </c>
      <c r="AB29" s="1096">
        <f t="shared" si="18"/>
        <v>10262650.59</v>
      </c>
      <c r="AC29" s="1096">
        <f>合并调整抵消分录!N21</f>
        <v>0</v>
      </c>
      <c r="AD29" s="1096">
        <f>合并调整抵消分录!O21</f>
        <v>0</v>
      </c>
      <c r="AE29" s="1096">
        <f t="shared" si="19"/>
        <v>10262650.59</v>
      </c>
      <c r="AF29" s="1097"/>
      <c r="AG29" s="1097"/>
      <c r="AH29" s="1097"/>
      <c r="AI29" s="1097"/>
      <c r="AJ29" s="1097"/>
      <c r="AK29" s="1097"/>
      <c r="AL29" s="1096">
        <f t="shared" si="20"/>
        <v>0</v>
      </c>
      <c r="AM29" s="1096">
        <f>合并调整抵消分录!Q21</f>
        <v>0</v>
      </c>
      <c r="AN29" s="1096">
        <f>合并调整抵消分录!R21</f>
        <v>0</v>
      </c>
      <c r="AO29" s="1096">
        <f t="shared" si="21"/>
        <v>0</v>
      </c>
      <c r="AP29" s="1097"/>
      <c r="AQ29" s="1097"/>
      <c r="AR29" s="1096">
        <f t="shared" si="14"/>
        <v>0</v>
      </c>
      <c r="AS29" s="1096">
        <f>合并调整抵消分录!T21</f>
        <v>0</v>
      </c>
      <c r="AT29" s="1096">
        <f>合并调整抵消分录!U21</f>
        <v>0</v>
      </c>
      <c r="AU29" s="1096">
        <f t="shared" si="22"/>
        <v>0</v>
      </c>
      <c r="AV29" s="1092" t="e">
        <f>VLOOKUP(A29,合并资产负债表!$A$6:$C$87,3,0)</f>
        <v>#N/A</v>
      </c>
      <c r="AW29" s="1098" t="e">
        <f t="shared" si="23"/>
        <v>#N/A</v>
      </c>
    </row>
    <row r="30" s="1018" customFormat="1" customHeight="1" spans="1:49">
      <c r="A30" s="1102" t="s">
        <v>714</v>
      </c>
      <c r="B30" s="1103">
        <f>SUM(B9:B29)</f>
        <v>112097447.23</v>
      </c>
      <c r="C30" s="1096">
        <f t="shared" ref="C30:U30" si="25">SUM(C9:C29)</f>
        <v>232850329.76</v>
      </c>
      <c r="D30" s="1096">
        <f t="shared" si="25"/>
        <v>19007840.52</v>
      </c>
      <c r="E30" s="1104">
        <f t="shared" si="25"/>
        <v>25203112.39</v>
      </c>
      <c r="F30" s="1104">
        <f t="shared" si="25"/>
        <v>0</v>
      </c>
      <c r="G30" s="1096">
        <f t="shared" si="25"/>
        <v>0</v>
      </c>
      <c r="H30" s="1096">
        <f t="shared" si="25"/>
        <v>389158729.9</v>
      </c>
      <c r="I30" s="1097">
        <f t="shared" si="25"/>
        <v>0</v>
      </c>
      <c r="J30" s="1097">
        <f t="shared" si="25"/>
        <v>83744410.92</v>
      </c>
      <c r="K30" s="1096">
        <f t="shared" si="25"/>
        <v>305414318.98</v>
      </c>
      <c r="L30" s="1096">
        <v>97239761.7</v>
      </c>
      <c r="M30" s="1096">
        <v>185533523.52</v>
      </c>
      <c r="N30" s="1096">
        <v>16711630.49</v>
      </c>
      <c r="O30" s="1096">
        <v>22555610.7</v>
      </c>
      <c r="P30" s="1096">
        <f t="shared" si="25"/>
        <v>0</v>
      </c>
      <c r="Q30" s="1096">
        <f t="shared" si="25"/>
        <v>0</v>
      </c>
      <c r="R30" s="1096">
        <f t="shared" si="25"/>
        <v>322040526.41</v>
      </c>
      <c r="S30" s="1096">
        <v>0</v>
      </c>
      <c r="T30" s="1096">
        <v>63459551.26</v>
      </c>
      <c r="U30" s="1096">
        <f t="shared" si="25"/>
        <v>258580975.15</v>
      </c>
      <c r="V30" s="1097">
        <v>139065361.5</v>
      </c>
      <c r="W30" s="1097">
        <v>12708074.72</v>
      </c>
      <c r="X30" s="1097">
        <v>11222589.89</v>
      </c>
      <c r="Y30" s="1097"/>
      <c r="Z30" s="1097">
        <f t="shared" ref="Z30:AE30" si="26">SUM(Z9:Z29)</f>
        <v>0</v>
      </c>
      <c r="AA30" s="1097">
        <f t="shared" si="26"/>
        <v>0</v>
      </c>
      <c r="AB30" s="1096">
        <f t="shared" si="26"/>
        <v>162996026.11</v>
      </c>
      <c r="AC30" s="1096">
        <f t="shared" si="26"/>
        <v>0</v>
      </c>
      <c r="AD30" s="1096">
        <f t="shared" si="26"/>
        <v>6436846.25</v>
      </c>
      <c r="AE30" s="1096">
        <f t="shared" si="26"/>
        <v>156559179.86</v>
      </c>
      <c r="AF30" s="1097"/>
      <c r="AG30" s="1097"/>
      <c r="AH30" s="1097"/>
      <c r="AI30" s="1097"/>
      <c r="AJ30" s="1097"/>
      <c r="AK30" s="1097"/>
      <c r="AL30" s="1096">
        <f>SUM(AL9:AL29)</f>
        <v>0</v>
      </c>
      <c r="AM30" s="1096">
        <f>SUM(AM9:AM29)</f>
        <v>0</v>
      </c>
      <c r="AN30" s="1096">
        <f>SUM(AN9:AN29)</f>
        <v>0</v>
      </c>
      <c r="AO30" s="1096">
        <f t="shared" ref="AO30:AU30" si="27">SUM(AO9:AO29)</f>
        <v>0</v>
      </c>
      <c r="AP30" s="1096"/>
      <c r="AQ30" s="1096"/>
      <c r="AR30" s="1096">
        <f t="shared" si="27"/>
        <v>0</v>
      </c>
      <c r="AS30" s="1096">
        <f t="shared" si="27"/>
        <v>0</v>
      </c>
      <c r="AT30" s="1096">
        <f t="shared" si="27"/>
        <v>0</v>
      </c>
      <c r="AU30" s="1096">
        <f t="shared" si="27"/>
        <v>0</v>
      </c>
      <c r="AV30" s="1092">
        <f>VLOOKUP(A30,合并资产负债表!$A$6:$C$87,3,0)</f>
        <v>168612488.88</v>
      </c>
      <c r="AW30" s="1098">
        <f t="shared" si="23"/>
        <v>136801830.1</v>
      </c>
    </row>
    <row r="31" s="1018" customFormat="1" customHeight="1" spans="1:49">
      <c r="A31" s="1091" t="s">
        <v>715</v>
      </c>
      <c r="B31" s="1105"/>
      <c r="C31" s="1097"/>
      <c r="D31" s="1097"/>
      <c r="E31" s="1106"/>
      <c r="F31" s="1106"/>
      <c r="G31" s="1097"/>
      <c r="H31" s="1096"/>
      <c r="I31" s="1097"/>
      <c r="J31" s="1097"/>
      <c r="K31" s="1096"/>
      <c r="L31" s="1097"/>
      <c r="M31" s="1097"/>
      <c r="N31" s="1097"/>
      <c r="O31" s="1097"/>
      <c r="P31" s="1097"/>
      <c r="Q31" s="1097"/>
      <c r="R31" s="1096"/>
      <c r="S31" s="1096"/>
      <c r="T31" s="1096"/>
      <c r="U31" s="1096"/>
      <c r="V31" s="1097"/>
      <c r="W31" s="1097"/>
      <c r="X31" s="1097"/>
      <c r="Y31" s="1097"/>
      <c r="Z31" s="1097"/>
      <c r="AA31" s="1097"/>
      <c r="AB31" s="1096"/>
      <c r="AC31" s="1096"/>
      <c r="AD31" s="1096"/>
      <c r="AE31" s="1096"/>
      <c r="AF31" s="1097"/>
      <c r="AG31" s="1097"/>
      <c r="AH31" s="1097"/>
      <c r="AI31" s="1097"/>
      <c r="AJ31" s="1097"/>
      <c r="AK31" s="1097"/>
      <c r="AL31" s="1096"/>
      <c r="AM31" s="1096"/>
      <c r="AN31" s="1096"/>
      <c r="AO31" s="1096"/>
      <c r="AP31" s="1097"/>
      <c r="AQ31" s="1097"/>
      <c r="AR31" s="1096"/>
      <c r="AS31" s="1096"/>
      <c r="AT31" s="1096"/>
      <c r="AU31" s="1096"/>
      <c r="AV31" s="1092"/>
      <c r="AW31" s="1098">
        <f t="shared" si="23"/>
        <v>0</v>
      </c>
    </row>
    <row r="32" s="1018" customFormat="1" customHeight="1" spans="1:49">
      <c r="A32" s="1091" t="s">
        <v>716</v>
      </c>
      <c r="B32" s="1092"/>
      <c r="C32" s="1093"/>
      <c r="D32" s="1093"/>
      <c r="E32" s="1095"/>
      <c r="F32" s="1095"/>
      <c r="G32" s="1093"/>
      <c r="H32" s="1096">
        <f t="shared" ref="H32:H41" si="28">SUM(B32:G32)</f>
        <v>0</v>
      </c>
      <c r="I32" s="1097">
        <f>合并调整抵消分录!E22</f>
        <v>0</v>
      </c>
      <c r="J32" s="1097">
        <f>合并调整抵消分录!F22</f>
        <v>0</v>
      </c>
      <c r="K32" s="1096">
        <f t="shared" ref="K32:K40" si="29">H32+I32-J32</f>
        <v>0</v>
      </c>
      <c r="L32" s="1093"/>
      <c r="M32" s="1093"/>
      <c r="N32" s="1093"/>
      <c r="O32" s="1097"/>
      <c r="P32" s="1093"/>
      <c r="Q32" s="1093"/>
      <c r="R32" s="1096">
        <f t="shared" ref="R32:R41" si="30">SUM(L32:Q32)</f>
        <v>0</v>
      </c>
      <c r="S32" s="1096">
        <v>0</v>
      </c>
      <c r="T32" s="1096">
        <v>0</v>
      </c>
      <c r="U32" s="1096">
        <f t="shared" ref="U32:U40" si="31">R32+S32-T32</f>
        <v>0</v>
      </c>
      <c r="V32" s="1097"/>
      <c r="W32" s="1097"/>
      <c r="X32" s="1097"/>
      <c r="Y32" s="1097"/>
      <c r="Z32" s="1097">
        <f>[6]TB子公司4!M31</f>
        <v>0</v>
      </c>
      <c r="AA32" s="1097">
        <f>[6]TB子公司5!M31</f>
        <v>0</v>
      </c>
      <c r="AB32" s="1096">
        <f t="shared" ref="AB32:AB41" si="32">SUM(V32:AA32)</f>
        <v>0</v>
      </c>
      <c r="AC32" s="1096">
        <f>合并调整抵消分录!N22</f>
        <v>0</v>
      </c>
      <c r="AD32" s="1096">
        <f>合并调整抵消分录!O22</f>
        <v>0</v>
      </c>
      <c r="AE32" s="1096">
        <f t="shared" ref="AE32:AE40" si="33">AB32+AC32-AD32</f>
        <v>0</v>
      </c>
      <c r="AF32" s="1097"/>
      <c r="AG32" s="1097"/>
      <c r="AH32" s="1097"/>
      <c r="AI32" s="1097"/>
      <c r="AJ32" s="1097"/>
      <c r="AK32" s="1097"/>
      <c r="AL32" s="1096">
        <f t="shared" ref="AL32:AL41" si="34">SUM(AF32:AK32)</f>
        <v>0</v>
      </c>
      <c r="AM32" s="1096">
        <f>合并调整抵消分录!Q22</f>
        <v>0</v>
      </c>
      <c r="AN32" s="1096">
        <f>合并调整抵消分录!R22</f>
        <v>0</v>
      </c>
      <c r="AO32" s="1096">
        <f t="shared" ref="AO32:AO40" si="35">AL32+AM32-AN32</f>
        <v>0</v>
      </c>
      <c r="AP32" s="1097"/>
      <c r="AQ32" s="1097"/>
      <c r="AR32" s="1096">
        <f t="shared" ref="AR32:AR41" si="36">SUM(AP32:AQ32)</f>
        <v>0</v>
      </c>
      <c r="AS32" s="1096">
        <f>合并调整抵消分录!T22</f>
        <v>0</v>
      </c>
      <c r="AT32" s="1096">
        <f>合并调整抵消分录!U22</f>
        <v>0</v>
      </c>
      <c r="AU32" s="1096">
        <f t="shared" ref="AU32:AU40" si="37">AR32+AS32-AT32</f>
        <v>0</v>
      </c>
      <c r="AV32" s="1092"/>
      <c r="AW32" s="1098">
        <f t="shared" si="23"/>
        <v>0</v>
      </c>
    </row>
    <row r="33" s="1018" customFormat="1" customHeight="1" spans="1:49">
      <c r="A33" s="1091" t="s">
        <v>148</v>
      </c>
      <c r="B33" s="1092"/>
      <c r="C33" s="1093"/>
      <c r="D33" s="1093"/>
      <c r="E33" s="1094"/>
      <c r="F33" s="1095"/>
      <c r="G33" s="1093"/>
      <c r="H33" s="1096">
        <f t="shared" si="28"/>
        <v>0</v>
      </c>
      <c r="I33" s="1097">
        <f>合并调整抵消分录!E23</f>
        <v>0</v>
      </c>
      <c r="J33" s="1097">
        <f>合并调整抵消分录!F23</f>
        <v>0</v>
      </c>
      <c r="K33" s="1096">
        <f t="shared" si="29"/>
        <v>0</v>
      </c>
      <c r="L33" s="1093"/>
      <c r="M33" s="1093"/>
      <c r="N33" s="1093"/>
      <c r="O33" s="1097"/>
      <c r="P33" s="1093"/>
      <c r="Q33" s="1093"/>
      <c r="R33" s="1096">
        <f t="shared" si="30"/>
        <v>0</v>
      </c>
      <c r="S33" s="1096">
        <v>0</v>
      </c>
      <c r="T33" s="1096">
        <v>0</v>
      </c>
      <c r="U33" s="1096">
        <f t="shared" si="31"/>
        <v>0</v>
      </c>
      <c r="V33" s="1097"/>
      <c r="W33" s="1097"/>
      <c r="X33" s="1097"/>
      <c r="Y33" s="1097"/>
      <c r="Z33" s="1097">
        <f>[6]TB子公司4!M32</f>
        <v>0</v>
      </c>
      <c r="AA33" s="1097">
        <f>[6]TB子公司5!M32</f>
        <v>0</v>
      </c>
      <c r="AB33" s="1096">
        <f t="shared" si="32"/>
        <v>0</v>
      </c>
      <c r="AC33" s="1096">
        <f>合并调整抵消分录!N23</f>
        <v>0</v>
      </c>
      <c r="AD33" s="1096">
        <f>合并调整抵消分录!O23</f>
        <v>0</v>
      </c>
      <c r="AE33" s="1096">
        <f t="shared" si="33"/>
        <v>0</v>
      </c>
      <c r="AF33" s="1097"/>
      <c r="AG33" s="1097"/>
      <c r="AH33" s="1097"/>
      <c r="AI33" s="1097"/>
      <c r="AJ33" s="1097"/>
      <c r="AK33" s="1097"/>
      <c r="AL33" s="1096">
        <f t="shared" si="34"/>
        <v>0</v>
      </c>
      <c r="AM33" s="1096">
        <f>合并调整抵消分录!Q23</f>
        <v>0</v>
      </c>
      <c r="AN33" s="1096">
        <f>合并调整抵消分录!R23</f>
        <v>0</v>
      </c>
      <c r="AO33" s="1096">
        <f t="shared" si="35"/>
        <v>0</v>
      </c>
      <c r="AP33" s="1097"/>
      <c r="AQ33" s="1097"/>
      <c r="AR33" s="1096">
        <f t="shared" si="36"/>
        <v>0</v>
      </c>
      <c r="AS33" s="1096">
        <f>合并调整抵消分录!T23</f>
        <v>0</v>
      </c>
      <c r="AT33" s="1096">
        <f>合并调整抵消分录!U23</f>
        <v>0</v>
      </c>
      <c r="AU33" s="1096">
        <f t="shared" si="37"/>
        <v>0</v>
      </c>
      <c r="AV33" s="1092">
        <f>VLOOKUP(A33,合并资产负债表!$A$6:$C$87,3,0)</f>
        <v>0</v>
      </c>
      <c r="AW33" s="1098">
        <f t="shared" si="23"/>
        <v>0</v>
      </c>
    </row>
    <row r="34" s="1018" customFormat="1" customHeight="1" spans="1:49">
      <c r="A34" s="1091" t="s">
        <v>150</v>
      </c>
      <c r="B34" s="1092"/>
      <c r="C34" s="1093"/>
      <c r="D34" s="1093"/>
      <c r="E34" s="1094"/>
      <c r="F34" s="1095"/>
      <c r="G34" s="1093"/>
      <c r="H34" s="1096">
        <f t="shared" si="28"/>
        <v>0</v>
      </c>
      <c r="I34" s="1097">
        <f>合并调整抵消分录!E24</f>
        <v>0</v>
      </c>
      <c r="J34" s="1097">
        <f>合并调整抵消分录!F24</f>
        <v>0</v>
      </c>
      <c r="K34" s="1096">
        <f t="shared" si="29"/>
        <v>0</v>
      </c>
      <c r="L34" s="1093"/>
      <c r="M34" s="1093"/>
      <c r="N34" s="1093"/>
      <c r="O34" s="1097"/>
      <c r="P34" s="1093"/>
      <c r="Q34" s="1093"/>
      <c r="R34" s="1096">
        <f t="shared" si="30"/>
        <v>0</v>
      </c>
      <c r="S34" s="1096">
        <v>0</v>
      </c>
      <c r="T34" s="1096">
        <v>0</v>
      </c>
      <c r="U34" s="1096">
        <f t="shared" si="31"/>
        <v>0</v>
      </c>
      <c r="V34" s="1097"/>
      <c r="W34" s="1097"/>
      <c r="X34" s="1097"/>
      <c r="Y34" s="1097"/>
      <c r="Z34" s="1097">
        <f>[6]TB子公司4!M33</f>
        <v>0</v>
      </c>
      <c r="AA34" s="1097">
        <f>[6]TB子公司5!M33</f>
        <v>0</v>
      </c>
      <c r="AB34" s="1096">
        <f t="shared" si="32"/>
        <v>0</v>
      </c>
      <c r="AC34" s="1096">
        <f>合并调整抵消分录!N24</f>
        <v>0</v>
      </c>
      <c r="AD34" s="1096">
        <f>合并调整抵消分录!O24</f>
        <v>0</v>
      </c>
      <c r="AE34" s="1096">
        <f t="shared" si="33"/>
        <v>0</v>
      </c>
      <c r="AF34" s="1097"/>
      <c r="AG34" s="1097"/>
      <c r="AH34" s="1097"/>
      <c r="AI34" s="1097"/>
      <c r="AJ34" s="1097"/>
      <c r="AK34" s="1097"/>
      <c r="AL34" s="1096">
        <f t="shared" si="34"/>
        <v>0</v>
      </c>
      <c r="AM34" s="1096">
        <f>合并调整抵消分录!Q24</f>
        <v>0</v>
      </c>
      <c r="AN34" s="1096">
        <f>合并调整抵消分录!R24</f>
        <v>0</v>
      </c>
      <c r="AO34" s="1096">
        <f t="shared" si="35"/>
        <v>0</v>
      </c>
      <c r="AP34" s="1097"/>
      <c r="AQ34" s="1097"/>
      <c r="AR34" s="1096">
        <f t="shared" si="36"/>
        <v>0</v>
      </c>
      <c r="AS34" s="1096">
        <f>合并调整抵消分录!T24</f>
        <v>0</v>
      </c>
      <c r="AT34" s="1096">
        <f>合并调整抵消分录!U24</f>
        <v>0</v>
      </c>
      <c r="AU34" s="1096">
        <f t="shared" si="37"/>
        <v>0</v>
      </c>
      <c r="AV34" s="1092">
        <f>VLOOKUP(A34,合并资产负债表!$A$6:$C$87,3,0)</f>
        <v>0</v>
      </c>
      <c r="AW34" s="1098">
        <f t="shared" si="23"/>
        <v>0</v>
      </c>
    </row>
    <row r="35" s="1018" customFormat="1" customHeight="1" spans="1:49">
      <c r="A35" s="1101" t="s">
        <v>246</v>
      </c>
      <c r="B35" s="1100">
        <f>VLOOKUP(A35,快速BS新!A$6:C$212,3,0)</f>
        <v>0</v>
      </c>
      <c r="C35" s="1093">
        <f>VLOOKUP(A35,新材料BS新!$A$4:$D$191,3,0)</f>
        <v>0</v>
      </c>
      <c r="D35" s="1093">
        <f>VLOOKUP(A35,精铸BS新!$A$6:$C$86,3,0)</f>
        <v>0</v>
      </c>
      <c r="E35" s="1093">
        <f>VLOOKUP(A35,热等静压BS新!$A$6:$C$86,3,0)</f>
        <v>0</v>
      </c>
      <c r="F35" s="1095"/>
      <c r="G35" s="1093"/>
      <c r="H35" s="1096">
        <f t="shared" si="28"/>
        <v>0</v>
      </c>
      <c r="I35" s="1097">
        <f>合并调整抵消分录!E25</f>
        <v>0</v>
      </c>
      <c r="J35" s="1097">
        <f>合并调整抵消分录!F25</f>
        <v>0</v>
      </c>
      <c r="K35" s="1096">
        <f t="shared" si="29"/>
        <v>0</v>
      </c>
      <c r="L35" s="1093">
        <v>0</v>
      </c>
      <c r="M35" s="1093">
        <v>0</v>
      </c>
      <c r="N35" s="1093">
        <v>0</v>
      </c>
      <c r="O35" s="1096">
        <v>0</v>
      </c>
      <c r="P35" s="1096">
        <f>[6]TB子公司4!I34</f>
        <v>0</v>
      </c>
      <c r="Q35" s="1096">
        <f>[6]TB子公司5!I34</f>
        <v>0</v>
      </c>
      <c r="R35" s="1096">
        <f t="shared" si="30"/>
        <v>0</v>
      </c>
      <c r="S35" s="1096">
        <v>0</v>
      </c>
      <c r="T35" s="1096">
        <v>0</v>
      </c>
      <c r="U35" s="1096">
        <f t="shared" si="31"/>
        <v>0</v>
      </c>
      <c r="V35" s="1097">
        <v>0</v>
      </c>
      <c r="W35" s="1097">
        <v>0</v>
      </c>
      <c r="X35" s="1097">
        <v>0</v>
      </c>
      <c r="Y35" s="1097"/>
      <c r="Z35" s="1097">
        <f>[6]TB子公司4!M34</f>
        <v>0</v>
      </c>
      <c r="AA35" s="1097">
        <f>[6]TB子公司5!M34</f>
        <v>0</v>
      </c>
      <c r="AB35" s="1096">
        <f t="shared" si="32"/>
        <v>0</v>
      </c>
      <c r="AC35" s="1096">
        <f>合并调整抵消分录!N25</f>
        <v>0</v>
      </c>
      <c r="AD35" s="1096">
        <f>合并调整抵消分录!O25</f>
        <v>0</v>
      </c>
      <c r="AE35" s="1096">
        <f t="shared" si="33"/>
        <v>0</v>
      </c>
      <c r="AF35" s="1097"/>
      <c r="AG35" s="1097"/>
      <c r="AH35" s="1097"/>
      <c r="AI35" s="1097"/>
      <c r="AJ35" s="1097"/>
      <c r="AK35" s="1097"/>
      <c r="AL35" s="1096">
        <f t="shared" si="34"/>
        <v>0</v>
      </c>
      <c r="AM35" s="1096">
        <f>合并调整抵消分录!Q25</f>
        <v>0</v>
      </c>
      <c r="AN35" s="1096">
        <f>合并调整抵消分录!R25</f>
        <v>0</v>
      </c>
      <c r="AO35" s="1096">
        <f t="shared" si="35"/>
        <v>0</v>
      </c>
      <c r="AP35" s="1097"/>
      <c r="AQ35" s="1097"/>
      <c r="AR35" s="1096">
        <f t="shared" si="36"/>
        <v>0</v>
      </c>
      <c r="AS35" s="1096">
        <f>合并调整抵消分录!T25</f>
        <v>0</v>
      </c>
      <c r="AT35" s="1096">
        <f>合并调整抵消分录!U25</f>
        <v>0</v>
      </c>
      <c r="AU35" s="1096">
        <f t="shared" si="37"/>
        <v>0</v>
      </c>
      <c r="AV35" s="1092" t="e">
        <f>VLOOKUP(A35,合并资产负债表!$A$6:$C$87,3,0)</f>
        <v>#N/A</v>
      </c>
      <c r="AW35" s="1098" t="e">
        <f t="shared" si="23"/>
        <v>#N/A</v>
      </c>
    </row>
    <row r="36" s="1018" customFormat="1" customHeight="1" spans="1:49">
      <c r="A36" s="1101" t="s">
        <v>248</v>
      </c>
      <c r="B36" s="1100">
        <f>VLOOKUP(A36,快速BS新!A$6:C$212,3,0)</f>
        <v>260428991.81</v>
      </c>
      <c r="C36" s="1093">
        <f>VLOOKUP(A36,新材料BS新!$A$4:$D$191,3,0)</f>
        <v>0</v>
      </c>
      <c r="D36" s="1093">
        <f>VLOOKUP(A36,精铸BS新!$A$6:$C$86,3,0)</f>
        <v>0</v>
      </c>
      <c r="E36" s="1093">
        <f>VLOOKUP(A36,热等静压BS新!$A$6:$C$86,3,0)</f>
        <v>0</v>
      </c>
      <c r="F36" s="1095"/>
      <c r="G36" s="1093"/>
      <c r="H36" s="1096">
        <f t="shared" si="28"/>
        <v>260428991.81</v>
      </c>
      <c r="I36" s="1097">
        <f>合并调整抵消分录!E26</f>
        <v>-14518785.99</v>
      </c>
      <c r="J36" s="1097">
        <f>合并调整抵消分录!F26</f>
        <v>245910205.82</v>
      </c>
      <c r="K36" s="1096">
        <f t="shared" si="29"/>
        <v>0</v>
      </c>
      <c r="L36" s="1096">
        <v>260428991.81</v>
      </c>
      <c r="M36" s="1096">
        <v>0</v>
      </c>
      <c r="N36" s="1096">
        <v>0</v>
      </c>
      <c r="O36" s="1096">
        <v>0</v>
      </c>
      <c r="P36" s="1096">
        <f>[6]TB子公司4!I35</f>
        <v>0</v>
      </c>
      <c r="Q36" s="1096">
        <f>[6]TB子公司5!I35</f>
        <v>0</v>
      </c>
      <c r="R36" s="1096">
        <f t="shared" si="30"/>
        <v>260428991.81</v>
      </c>
      <c r="S36" s="1096">
        <v>-9951097.65</v>
      </c>
      <c r="T36" s="1096">
        <v>250477894.16</v>
      </c>
      <c r="U36" s="1096">
        <f t="shared" si="31"/>
        <v>0</v>
      </c>
      <c r="V36" s="1097">
        <v>32000000</v>
      </c>
      <c r="W36" s="1097">
        <v>0</v>
      </c>
      <c r="X36" s="1097">
        <v>0</v>
      </c>
      <c r="Y36" s="1097"/>
      <c r="Z36" s="1097">
        <f>[6]TB子公司4!M35</f>
        <v>0</v>
      </c>
      <c r="AA36" s="1097">
        <f>[6]TB子公司5!M35</f>
        <v>0</v>
      </c>
      <c r="AB36" s="1096">
        <f t="shared" si="32"/>
        <v>32000000</v>
      </c>
      <c r="AC36" s="1096">
        <f>合并调整抵消分录!N26</f>
        <v>1626803.34</v>
      </c>
      <c r="AD36" s="1096">
        <f>合并调整抵消分录!O26</f>
        <v>35385058.25</v>
      </c>
      <c r="AE36" s="1096">
        <f t="shared" si="33"/>
        <v>-1758254.91</v>
      </c>
      <c r="AF36" s="1097"/>
      <c r="AG36" s="1097"/>
      <c r="AH36" s="1097"/>
      <c r="AI36" s="1097"/>
      <c r="AJ36" s="1097"/>
      <c r="AK36" s="1097"/>
      <c r="AL36" s="1096">
        <f t="shared" si="34"/>
        <v>0</v>
      </c>
      <c r="AM36" s="1096">
        <f>合并调整抵消分录!Q26</f>
        <v>0</v>
      </c>
      <c r="AN36" s="1096">
        <f>合并调整抵消分录!R26</f>
        <v>0</v>
      </c>
      <c r="AO36" s="1096">
        <f t="shared" si="35"/>
        <v>0</v>
      </c>
      <c r="AP36" s="1097"/>
      <c r="AQ36" s="1097"/>
      <c r="AR36" s="1096">
        <f t="shared" si="36"/>
        <v>0</v>
      </c>
      <c r="AS36" s="1096">
        <f>合并调整抵消分录!T26</f>
        <v>0</v>
      </c>
      <c r="AT36" s="1096">
        <f>合并调整抵消分录!U26</f>
        <v>0</v>
      </c>
      <c r="AU36" s="1096">
        <f t="shared" si="37"/>
        <v>0</v>
      </c>
      <c r="AV36" s="1092" t="e">
        <f>VLOOKUP(A36,合并资产负债表!$A$6:$C$87,3,0)</f>
        <v>#N/A</v>
      </c>
      <c r="AW36" s="1098" t="e">
        <f t="shared" si="23"/>
        <v>#N/A</v>
      </c>
    </row>
    <row r="37" s="1018" customFormat="1" customHeight="1" spans="1:49">
      <c r="A37" s="1107" t="s">
        <v>717</v>
      </c>
      <c r="B37" s="1092"/>
      <c r="C37" s="1093"/>
      <c r="D37" s="1093"/>
      <c r="E37" s="1094"/>
      <c r="F37" s="1095"/>
      <c r="G37" s="1093"/>
      <c r="H37" s="1096">
        <f t="shared" si="28"/>
        <v>0</v>
      </c>
      <c r="I37" s="1097"/>
      <c r="J37" s="1097"/>
      <c r="K37" s="1096">
        <f t="shared" si="29"/>
        <v>0</v>
      </c>
      <c r="L37" s="1096"/>
      <c r="M37" s="1096"/>
      <c r="N37" s="1096"/>
      <c r="O37" s="1096"/>
      <c r="P37" s="1096"/>
      <c r="Q37" s="1096"/>
      <c r="R37" s="1096">
        <f t="shared" si="30"/>
        <v>0</v>
      </c>
      <c r="S37" s="1096"/>
      <c r="T37" s="1096"/>
      <c r="U37" s="1096">
        <f t="shared" si="31"/>
        <v>0</v>
      </c>
      <c r="V37" s="1097"/>
      <c r="W37" s="1097"/>
      <c r="X37" s="1097"/>
      <c r="Y37" s="1097"/>
      <c r="Z37" s="1097"/>
      <c r="AA37" s="1097"/>
      <c r="AB37" s="1096"/>
      <c r="AC37" s="1096"/>
      <c r="AD37" s="1096"/>
      <c r="AE37" s="1096"/>
      <c r="AF37" s="1097"/>
      <c r="AG37" s="1097"/>
      <c r="AH37" s="1097"/>
      <c r="AI37" s="1097"/>
      <c r="AJ37" s="1097"/>
      <c r="AK37" s="1097"/>
      <c r="AL37" s="1096"/>
      <c r="AM37" s="1096"/>
      <c r="AN37" s="1096"/>
      <c r="AO37" s="1096"/>
      <c r="AP37" s="1097"/>
      <c r="AQ37" s="1097"/>
      <c r="AR37" s="1096"/>
      <c r="AS37" s="1096"/>
      <c r="AT37" s="1096"/>
      <c r="AU37" s="1096"/>
      <c r="AV37" s="1092"/>
      <c r="AW37" s="1098"/>
    </row>
    <row r="38" s="1018" customFormat="1" customHeight="1" spans="1:49">
      <c r="A38" s="1101" t="s">
        <v>249</v>
      </c>
      <c r="B38" s="1100">
        <f>VLOOKUP(A38,快速BS新!A$6:C$212,3,0)</f>
        <v>3000000</v>
      </c>
      <c r="C38" s="1093">
        <f>VLOOKUP(A38,新材料BS新!$A$4:$D$191,3,0)</f>
        <v>0</v>
      </c>
      <c r="D38" s="1093">
        <f>VLOOKUP(A38,精铸BS新!$A$6:$C$86,3,0)</f>
        <v>0</v>
      </c>
      <c r="E38" s="1093">
        <f>VLOOKUP(A38,热等静压BS新!$A$6:$C$86,3,0)</f>
        <v>0</v>
      </c>
      <c r="F38" s="1095"/>
      <c r="G38" s="1093"/>
      <c r="H38" s="1096">
        <f t="shared" si="28"/>
        <v>3000000</v>
      </c>
      <c r="I38" s="1097"/>
      <c r="J38" s="1097"/>
      <c r="K38" s="1096">
        <f t="shared" si="29"/>
        <v>3000000</v>
      </c>
      <c r="L38" s="1096">
        <v>17507065.67</v>
      </c>
      <c r="M38" s="1096">
        <v>0</v>
      </c>
      <c r="N38" s="1096">
        <v>0</v>
      </c>
      <c r="O38" s="1096">
        <v>0</v>
      </c>
      <c r="P38" s="1096"/>
      <c r="Q38" s="1096"/>
      <c r="R38" s="1096">
        <f t="shared" si="30"/>
        <v>17507065.67</v>
      </c>
      <c r="S38" s="1096"/>
      <c r="T38" s="1096"/>
      <c r="U38" s="1096">
        <f t="shared" si="31"/>
        <v>17507065.67</v>
      </c>
      <c r="V38" s="1097"/>
      <c r="W38" s="1097"/>
      <c r="X38" s="1097"/>
      <c r="Y38" s="1097"/>
      <c r="Z38" s="1097"/>
      <c r="AA38" s="1097"/>
      <c r="AB38" s="1096"/>
      <c r="AC38" s="1096"/>
      <c r="AD38" s="1096"/>
      <c r="AE38" s="1096"/>
      <c r="AF38" s="1097"/>
      <c r="AG38" s="1097"/>
      <c r="AH38" s="1097"/>
      <c r="AI38" s="1097"/>
      <c r="AJ38" s="1097"/>
      <c r="AK38" s="1097"/>
      <c r="AL38" s="1096"/>
      <c r="AM38" s="1096"/>
      <c r="AN38" s="1096"/>
      <c r="AO38" s="1096"/>
      <c r="AP38" s="1097"/>
      <c r="AQ38" s="1097"/>
      <c r="AR38" s="1096"/>
      <c r="AS38" s="1096"/>
      <c r="AT38" s="1096"/>
      <c r="AU38" s="1096"/>
      <c r="AV38" s="1092"/>
      <c r="AW38" s="1098"/>
    </row>
    <row r="39" s="1018" customFormat="1" customHeight="1" spans="1:49">
      <c r="A39" s="1101" t="s">
        <v>250</v>
      </c>
      <c r="B39" s="1100">
        <f>VLOOKUP(A39,快速BS新!A$6:C$212,3,0)</f>
        <v>0</v>
      </c>
      <c r="C39" s="1093">
        <f>VLOOKUP(A39,新材料BS新!$A$4:$D$191,3,0)</f>
        <v>0</v>
      </c>
      <c r="D39" s="1093">
        <f>VLOOKUP(A39,精铸BS新!$A$6:$C$86,3,0)</f>
        <v>0</v>
      </c>
      <c r="E39" s="1093">
        <f>VLOOKUP(A39,热等静压BS新!$A$6:$C$86,3,0)</f>
        <v>0</v>
      </c>
      <c r="F39" s="1095"/>
      <c r="G39" s="1093"/>
      <c r="H39" s="1096">
        <f t="shared" si="28"/>
        <v>0</v>
      </c>
      <c r="I39" s="1097">
        <f>合并调整抵消分录!E27</f>
        <v>0</v>
      </c>
      <c r="J39" s="1097">
        <f>合并调整抵消分录!F27</f>
        <v>0</v>
      </c>
      <c r="K39" s="1096">
        <f t="shared" si="29"/>
        <v>0</v>
      </c>
      <c r="L39" s="1096">
        <v>0</v>
      </c>
      <c r="M39" s="1096">
        <v>0</v>
      </c>
      <c r="N39" s="1096">
        <v>0</v>
      </c>
      <c r="O39" s="1096">
        <v>0</v>
      </c>
      <c r="P39" s="1096">
        <f>[6]TB子公司4!I36</f>
        <v>0</v>
      </c>
      <c r="Q39" s="1096">
        <f>[6]TB子公司5!I36</f>
        <v>0</v>
      </c>
      <c r="R39" s="1096">
        <f t="shared" si="30"/>
        <v>0</v>
      </c>
      <c r="S39" s="1096">
        <v>0</v>
      </c>
      <c r="T39" s="1096">
        <v>0</v>
      </c>
      <c r="U39" s="1096">
        <f t="shared" si="31"/>
        <v>0</v>
      </c>
      <c r="V39" s="1097">
        <v>0</v>
      </c>
      <c r="W39" s="1097">
        <v>0</v>
      </c>
      <c r="X39" s="1097">
        <v>0</v>
      </c>
      <c r="Y39" s="1097"/>
      <c r="Z39" s="1097">
        <f>[6]TB子公司4!M36</f>
        <v>0</v>
      </c>
      <c r="AA39" s="1097">
        <f>[6]TB子公司5!M36</f>
        <v>0</v>
      </c>
      <c r="AB39" s="1096">
        <f t="shared" si="32"/>
        <v>0</v>
      </c>
      <c r="AC39" s="1096">
        <f>合并调整抵消分录!N27</f>
        <v>0</v>
      </c>
      <c r="AD39" s="1096">
        <f>合并调整抵消分录!O27</f>
        <v>0</v>
      </c>
      <c r="AE39" s="1096">
        <f t="shared" si="33"/>
        <v>0</v>
      </c>
      <c r="AF39" s="1097"/>
      <c r="AG39" s="1097"/>
      <c r="AH39" s="1097"/>
      <c r="AI39" s="1097"/>
      <c r="AJ39" s="1097"/>
      <c r="AK39" s="1097"/>
      <c r="AL39" s="1096">
        <f t="shared" si="34"/>
        <v>0</v>
      </c>
      <c r="AM39" s="1096">
        <f>合并调整抵消分录!Q27</f>
        <v>0</v>
      </c>
      <c r="AN39" s="1096">
        <f>合并调整抵消分录!R27</f>
        <v>0</v>
      </c>
      <c r="AO39" s="1096">
        <f t="shared" si="35"/>
        <v>0</v>
      </c>
      <c r="AP39" s="1097"/>
      <c r="AQ39" s="1097"/>
      <c r="AR39" s="1096">
        <f t="shared" si="36"/>
        <v>0</v>
      </c>
      <c r="AS39" s="1096">
        <f>合并调整抵消分录!T27</f>
        <v>0</v>
      </c>
      <c r="AT39" s="1096">
        <f>合并调整抵消分录!U27</f>
        <v>0</v>
      </c>
      <c r="AU39" s="1096">
        <f t="shared" si="37"/>
        <v>0</v>
      </c>
      <c r="AV39" s="1092" t="e">
        <f>VLOOKUP(A39,合并资产负债表!$A$6:$C$87,3,0)</f>
        <v>#N/A</v>
      </c>
      <c r="AW39" s="1098" t="e">
        <f t="shared" si="23"/>
        <v>#N/A</v>
      </c>
    </row>
    <row r="40" s="1018" customFormat="1" customHeight="1" spans="1:49">
      <c r="A40" s="1101" t="s">
        <v>251</v>
      </c>
      <c r="B40" s="1100">
        <f>VLOOKUP(A40,快速BS新!A$6:C$212,3,0)</f>
        <v>144270006.82</v>
      </c>
      <c r="C40" s="1093">
        <f>VLOOKUP(A40,新材料BS新!$A$4:$D$191,3,0)</f>
        <v>195516076.06</v>
      </c>
      <c r="D40" s="1093">
        <f>VLOOKUP(A40,精铸BS新!$A$6:$C$86,3,0)</f>
        <v>10718249.4</v>
      </c>
      <c r="E40" s="1093">
        <f>VLOOKUP(A40,热等静压BS新!$A$6:$C$86,3,0)</f>
        <v>13257298.15</v>
      </c>
      <c r="F40" s="1095"/>
      <c r="G40" s="1093"/>
      <c r="H40" s="1096">
        <f t="shared" si="28"/>
        <v>363761630.43</v>
      </c>
      <c r="I40" s="1097">
        <f>合并调整抵消分录!E28</f>
        <v>0</v>
      </c>
      <c r="J40" s="1097">
        <f>合并调整抵消分录!F28</f>
        <v>0</v>
      </c>
      <c r="K40" s="1096">
        <f t="shared" si="29"/>
        <v>363761630.43</v>
      </c>
      <c r="L40" s="1097">
        <v>131108887.61</v>
      </c>
      <c r="M40" s="1097">
        <v>189788473.5</v>
      </c>
      <c r="N40" s="1097">
        <v>9940107.81</v>
      </c>
      <c r="O40" s="1097">
        <v>13249687.53</v>
      </c>
      <c r="P40" s="1093"/>
      <c r="Q40" s="1093"/>
      <c r="R40" s="1096">
        <f t="shared" si="30"/>
        <v>344087156.45</v>
      </c>
      <c r="S40" s="1096">
        <v>0</v>
      </c>
      <c r="T40" s="1096">
        <v>0</v>
      </c>
      <c r="U40" s="1096">
        <f t="shared" si="31"/>
        <v>344087156.45</v>
      </c>
      <c r="V40" s="1097">
        <v>116406904.06</v>
      </c>
      <c r="W40" s="1097">
        <v>12609489.12</v>
      </c>
      <c r="X40" s="1097">
        <v>9718700.09</v>
      </c>
      <c r="Y40" s="1097"/>
      <c r="Z40" s="1097">
        <f>[6]TB子公司4!M37</f>
        <v>0</v>
      </c>
      <c r="AA40" s="1097">
        <f>[6]TB子公司5!M37</f>
        <v>0</v>
      </c>
      <c r="AB40" s="1096">
        <f t="shared" si="32"/>
        <v>138735093.27</v>
      </c>
      <c r="AC40" s="1096">
        <f>合并调整抵消分录!N28</f>
        <v>0</v>
      </c>
      <c r="AD40" s="1096">
        <f>合并调整抵消分录!O28</f>
        <v>0</v>
      </c>
      <c r="AE40" s="1096">
        <f t="shared" si="33"/>
        <v>138735093.27</v>
      </c>
      <c r="AF40" s="1097"/>
      <c r="AG40" s="1097"/>
      <c r="AH40" s="1097"/>
      <c r="AI40" s="1097"/>
      <c r="AJ40" s="1097"/>
      <c r="AK40" s="1097"/>
      <c r="AL40" s="1096">
        <f t="shared" si="34"/>
        <v>0</v>
      </c>
      <c r="AM40" s="1096">
        <f>合并调整抵消分录!Q28</f>
        <v>0</v>
      </c>
      <c r="AN40" s="1096">
        <f>合并调整抵消分录!R28</f>
        <v>0</v>
      </c>
      <c r="AO40" s="1096">
        <f t="shared" si="35"/>
        <v>0</v>
      </c>
      <c r="AP40" s="1097"/>
      <c r="AQ40" s="1097"/>
      <c r="AR40" s="1096">
        <f t="shared" si="36"/>
        <v>0</v>
      </c>
      <c r="AS40" s="1096">
        <f>合并调整抵消分录!T28</f>
        <v>0</v>
      </c>
      <c r="AT40" s="1096">
        <f>合并调整抵消分录!U28</f>
        <v>0</v>
      </c>
      <c r="AU40" s="1096">
        <f t="shared" si="37"/>
        <v>0</v>
      </c>
      <c r="AV40" s="1092" t="e">
        <f>VLOOKUP(A40,合并资产负债表!$A$6:$C$87,3,0)</f>
        <v>#N/A</v>
      </c>
      <c r="AW40" s="1098" t="e">
        <f t="shared" si="23"/>
        <v>#N/A</v>
      </c>
    </row>
    <row r="41" s="1018" customFormat="1" customHeight="1" spans="1:49">
      <c r="A41" s="1101" t="s">
        <v>253</v>
      </c>
      <c r="B41" s="1100">
        <f>VLOOKUP(A41,快速BS新!A$6:C$212,3,0)</f>
        <v>76500619.78</v>
      </c>
      <c r="C41" s="1093">
        <f>VLOOKUP(A41,新材料BS新!$A$4:$D$191,3,0)</f>
        <v>72041900.18</v>
      </c>
      <c r="D41" s="1093">
        <f>VLOOKUP(A41,精铸BS新!$A$6:$C$86,3,0)</f>
        <v>7759467.57</v>
      </c>
      <c r="E41" s="1093">
        <f>VLOOKUP(A41,热等静压BS新!$A$6:$C$86,3,0)</f>
        <v>12207474.42</v>
      </c>
      <c r="F41" s="1095"/>
      <c r="G41" s="1093"/>
      <c r="H41" s="1096">
        <f t="shared" si="28"/>
        <v>168509461.95</v>
      </c>
      <c r="I41" s="1097">
        <f>合并调整抵消分录!E29</f>
        <v>0</v>
      </c>
      <c r="J41" s="1097">
        <f>合并调整抵消分录!F29</f>
        <v>0</v>
      </c>
      <c r="K41" s="1096">
        <f>H41-I41+J41</f>
        <v>168509461.95</v>
      </c>
      <c r="L41" s="1097">
        <v>69959453.44</v>
      </c>
      <c r="M41" s="1097">
        <v>54713218.28</v>
      </c>
      <c r="N41" s="1097">
        <v>7258587.81</v>
      </c>
      <c r="O41" s="1097">
        <v>11071925.15</v>
      </c>
      <c r="P41" s="1093"/>
      <c r="Q41" s="1093"/>
      <c r="R41" s="1096">
        <f t="shared" si="30"/>
        <v>143003184.68</v>
      </c>
      <c r="S41" s="1096">
        <v>0</v>
      </c>
      <c r="T41" s="1096">
        <v>0</v>
      </c>
      <c r="U41" s="1096">
        <f>R41-S41+T41</f>
        <v>143003184.68</v>
      </c>
      <c r="V41" s="1097">
        <v>44249258.6</v>
      </c>
      <c r="W41" s="1097">
        <v>5464669.2</v>
      </c>
      <c r="X41" s="1097">
        <v>3790504.48</v>
      </c>
      <c r="Y41" s="1097"/>
      <c r="Z41" s="1097">
        <f>[6]TB子公司4!M38</f>
        <v>0</v>
      </c>
      <c r="AA41" s="1097">
        <f>[6]TB子公司5!M38</f>
        <v>0</v>
      </c>
      <c r="AB41" s="1096">
        <f t="shared" si="32"/>
        <v>53504432.28</v>
      </c>
      <c r="AC41" s="1096">
        <f>合并调整抵消分录!N29</f>
        <v>0</v>
      </c>
      <c r="AD41" s="1096">
        <f>合并调整抵消分录!O29</f>
        <v>0</v>
      </c>
      <c r="AE41" s="1096">
        <f>AB41-AC41+AD41</f>
        <v>53504432.28</v>
      </c>
      <c r="AF41" s="1097"/>
      <c r="AG41" s="1097"/>
      <c r="AH41" s="1097"/>
      <c r="AI41" s="1097"/>
      <c r="AJ41" s="1097"/>
      <c r="AK41" s="1097"/>
      <c r="AL41" s="1096">
        <f t="shared" si="34"/>
        <v>0</v>
      </c>
      <c r="AM41" s="1096">
        <f>合并调整抵消分录!Q29</f>
        <v>0</v>
      </c>
      <c r="AN41" s="1096">
        <f>合并调整抵消分录!R29</f>
        <v>0</v>
      </c>
      <c r="AO41" s="1096">
        <f>AL41-AM41+AN41</f>
        <v>0</v>
      </c>
      <c r="AP41" s="1097"/>
      <c r="AQ41" s="1097"/>
      <c r="AR41" s="1096">
        <f t="shared" si="36"/>
        <v>0</v>
      </c>
      <c r="AS41" s="1096">
        <f>合并调整抵消分录!T29</f>
        <v>0</v>
      </c>
      <c r="AT41" s="1096">
        <f>合并调整抵消分录!U29</f>
        <v>0</v>
      </c>
      <c r="AU41" s="1096">
        <f>AR41-AS41+AT41</f>
        <v>0</v>
      </c>
      <c r="AV41" s="1092" t="e">
        <f>VLOOKUP(A41,合并资产负债表!$A$6:$C$87,3,0)</f>
        <v>#N/A</v>
      </c>
      <c r="AW41" s="1098" t="e">
        <f t="shared" si="23"/>
        <v>#N/A</v>
      </c>
    </row>
    <row r="42" s="1018" customFormat="1" customHeight="1" spans="1:49">
      <c r="A42" s="1101" t="s">
        <v>255</v>
      </c>
      <c r="B42" s="1100">
        <f>B40-B41</f>
        <v>67769387.04</v>
      </c>
      <c r="C42" s="1100">
        <f>C40-C41</f>
        <v>123474175.88</v>
      </c>
      <c r="D42" s="1100">
        <f>D40-D41</f>
        <v>2958781.83</v>
      </c>
      <c r="E42" s="1100">
        <f>E40-E41</f>
        <v>1049823.73</v>
      </c>
      <c r="F42" s="1104">
        <f t="shared" ref="B42:AU42" si="38">F40-F41</f>
        <v>0</v>
      </c>
      <c r="G42" s="1096">
        <f t="shared" si="38"/>
        <v>0</v>
      </c>
      <c r="H42" s="1096">
        <f t="shared" si="38"/>
        <v>195252168.48</v>
      </c>
      <c r="I42" s="1097">
        <f t="shared" si="38"/>
        <v>0</v>
      </c>
      <c r="J42" s="1097">
        <f t="shared" si="38"/>
        <v>0</v>
      </c>
      <c r="K42" s="1096">
        <f t="shared" si="38"/>
        <v>195252168.48</v>
      </c>
      <c r="L42" s="1096">
        <v>61149434.17</v>
      </c>
      <c r="M42" s="1096">
        <v>135075255.22</v>
      </c>
      <c r="N42" s="1096">
        <v>2681520</v>
      </c>
      <c r="O42" s="1096">
        <v>2177762.38</v>
      </c>
      <c r="P42" s="1096">
        <f t="shared" si="38"/>
        <v>0</v>
      </c>
      <c r="Q42" s="1096">
        <f t="shared" si="38"/>
        <v>0</v>
      </c>
      <c r="R42" s="1096">
        <f t="shared" si="38"/>
        <v>201083971.77</v>
      </c>
      <c r="S42" s="1096">
        <v>0</v>
      </c>
      <c r="T42" s="1096">
        <v>0</v>
      </c>
      <c r="U42" s="1096">
        <f t="shared" si="38"/>
        <v>201083971.77</v>
      </c>
      <c r="V42" s="1096">
        <v>72157645.46</v>
      </c>
      <c r="W42" s="1096">
        <v>7144819.92</v>
      </c>
      <c r="X42" s="1096">
        <v>5928195.61</v>
      </c>
      <c r="Y42" s="1096">
        <f t="shared" si="38"/>
        <v>0</v>
      </c>
      <c r="Z42" s="1096">
        <f t="shared" si="38"/>
        <v>0</v>
      </c>
      <c r="AA42" s="1096">
        <f t="shared" si="38"/>
        <v>0</v>
      </c>
      <c r="AB42" s="1096">
        <f t="shared" si="38"/>
        <v>85230660.99</v>
      </c>
      <c r="AC42" s="1096">
        <f t="shared" si="38"/>
        <v>0</v>
      </c>
      <c r="AD42" s="1096">
        <f t="shared" si="38"/>
        <v>0</v>
      </c>
      <c r="AE42" s="1096">
        <f t="shared" si="38"/>
        <v>85230660.99</v>
      </c>
      <c r="AF42" s="1096">
        <f t="shared" si="38"/>
        <v>0</v>
      </c>
      <c r="AG42" s="1096">
        <f t="shared" si="38"/>
        <v>0</v>
      </c>
      <c r="AH42" s="1096">
        <f t="shared" si="38"/>
        <v>0</v>
      </c>
      <c r="AI42" s="1096">
        <f t="shared" si="38"/>
        <v>0</v>
      </c>
      <c r="AJ42" s="1096">
        <f t="shared" si="38"/>
        <v>0</v>
      </c>
      <c r="AK42" s="1096">
        <f t="shared" si="38"/>
        <v>0</v>
      </c>
      <c r="AL42" s="1096">
        <f t="shared" si="38"/>
        <v>0</v>
      </c>
      <c r="AM42" s="1096">
        <f t="shared" si="38"/>
        <v>0</v>
      </c>
      <c r="AN42" s="1096">
        <f t="shared" si="38"/>
        <v>0</v>
      </c>
      <c r="AO42" s="1096">
        <f t="shared" si="38"/>
        <v>0</v>
      </c>
      <c r="AP42" s="1096"/>
      <c r="AQ42" s="1096"/>
      <c r="AR42" s="1096">
        <f t="shared" si="38"/>
        <v>0</v>
      </c>
      <c r="AS42" s="1096">
        <f t="shared" si="38"/>
        <v>0</v>
      </c>
      <c r="AT42" s="1096">
        <f t="shared" si="38"/>
        <v>0</v>
      </c>
      <c r="AU42" s="1096">
        <f t="shared" si="38"/>
        <v>0</v>
      </c>
      <c r="AV42" s="1092" t="e">
        <f>VLOOKUP(A42,合并资产负债表!$A$6:$C$87,3,0)</f>
        <v>#N/A</v>
      </c>
      <c r="AW42" s="1098" t="e">
        <f t="shared" si="23"/>
        <v>#N/A</v>
      </c>
    </row>
    <row r="43" s="1018" customFormat="1" customHeight="1" spans="1:49">
      <c r="A43" s="1091" t="s">
        <v>718</v>
      </c>
      <c r="B43" s="1092"/>
      <c r="C43" s="1093"/>
      <c r="D43" s="1093"/>
      <c r="E43" s="1095"/>
      <c r="F43" s="1095"/>
      <c r="G43" s="1093"/>
      <c r="H43" s="1096">
        <f>SUM(B43:G43)</f>
        <v>0</v>
      </c>
      <c r="I43" s="1097">
        <f>合并调整抵消分录!E30</f>
        <v>0</v>
      </c>
      <c r="J43" s="1097">
        <f>合并调整抵消分录!F30</f>
        <v>0</v>
      </c>
      <c r="K43" s="1096">
        <f>H43+I43-J43</f>
        <v>0</v>
      </c>
      <c r="L43" s="1093"/>
      <c r="M43" s="1093"/>
      <c r="N43" s="1093"/>
      <c r="O43" s="1093"/>
      <c r="P43" s="1093"/>
      <c r="Q43" s="1093"/>
      <c r="R43" s="1096">
        <f>SUM(L43:Q43)</f>
        <v>0</v>
      </c>
      <c r="S43" s="1096">
        <v>0</v>
      </c>
      <c r="T43" s="1096">
        <v>0</v>
      </c>
      <c r="U43" s="1096">
        <f>R43+S43-T43</f>
        <v>0</v>
      </c>
      <c r="V43" s="1097"/>
      <c r="W43" s="1097"/>
      <c r="X43" s="1097"/>
      <c r="Y43" s="1097">
        <f>'[7]VT德国-人民币'!$M$40</f>
        <v>0</v>
      </c>
      <c r="Z43" s="1097">
        <f>[6]TB子公司4!M40</f>
        <v>0</v>
      </c>
      <c r="AA43" s="1097">
        <f>[6]TB子公司5!M40</f>
        <v>0</v>
      </c>
      <c r="AB43" s="1096">
        <f>SUM(V43:AA43)</f>
        <v>0</v>
      </c>
      <c r="AC43" s="1096">
        <f>合并调整抵消分录!N30</f>
        <v>0</v>
      </c>
      <c r="AD43" s="1096">
        <f>合并调整抵消分录!O30</f>
        <v>0</v>
      </c>
      <c r="AE43" s="1096">
        <f>AB43+AC43-AD43</f>
        <v>0</v>
      </c>
      <c r="AF43" s="1097">
        <f>[8]无锡威唐TB!$Q$40</f>
        <v>0</v>
      </c>
      <c r="AG43" s="1097">
        <f>[9]芜湖威唐TB!$Q$40</f>
        <v>0</v>
      </c>
      <c r="AH43" s="1097">
        <f>[10]威唐沃伦TB!$Q$40</f>
        <v>0</v>
      </c>
      <c r="AI43" s="1097">
        <f>'[7]VT德国-人民币'!$Q$40</f>
        <v>0</v>
      </c>
      <c r="AJ43" s="1097">
        <f>[6]TB子公司4!Q40</f>
        <v>0</v>
      </c>
      <c r="AK43" s="1097">
        <f>[6]TB子公司5!Q40</f>
        <v>0</v>
      </c>
      <c r="AL43" s="1096">
        <f>SUM(AF43:AK43)</f>
        <v>0</v>
      </c>
      <c r="AM43" s="1096">
        <f>合并调整抵消分录!Q30</f>
        <v>0</v>
      </c>
      <c r="AN43" s="1096">
        <f>合并调整抵消分录!R30</f>
        <v>0</v>
      </c>
      <c r="AO43" s="1096">
        <f>AL43+AM43-AN43</f>
        <v>0</v>
      </c>
      <c r="AP43" s="1097"/>
      <c r="AQ43" s="1097"/>
      <c r="AR43" s="1096">
        <f>SUM(AP43:AQ43)</f>
        <v>0</v>
      </c>
      <c r="AS43" s="1096">
        <f>合并调整抵消分录!T30</f>
        <v>0</v>
      </c>
      <c r="AT43" s="1096">
        <f>合并调整抵消分录!U30</f>
        <v>0</v>
      </c>
      <c r="AU43" s="1096">
        <f>AR43+AS43-AT43</f>
        <v>0</v>
      </c>
      <c r="AV43" s="1092"/>
      <c r="AW43" s="1098">
        <f t="shared" si="23"/>
        <v>0</v>
      </c>
    </row>
    <row r="44" s="1018" customFormat="1" customHeight="1" spans="1:49">
      <c r="A44" s="1091" t="s">
        <v>719</v>
      </c>
      <c r="B44" s="1103">
        <f>B42-B43</f>
        <v>67769387.04</v>
      </c>
      <c r="C44" s="1096">
        <f t="shared" ref="B44:AU44" si="39">C42-C43</f>
        <v>123474175.88</v>
      </c>
      <c r="D44" s="1096">
        <f t="shared" si="39"/>
        <v>2958781.83</v>
      </c>
      <c r="E44" s="1108">
        <f t="shared" si="39"/>
        <v>1049823.73</v>
      </c>
      <c r="F44" s="1104">
        <f t="shared" si="39"/>
        <v>0</v>
      </c>
      <c r="G44" s="1096">
        <f t="shared" si="39"/>
        <v>0</v>
      </c>
      <c r="H44" s="1096">
        <f t="shared" si="39"/>
        <v>195252168.48</v>
      </c>
      <c r="I44" s="1097">
        <f t="shared" si="39"/>
        <v>0</v>
      </c>
      <c r="J44" s="1097">
        <f t="shared" si="39"/>
        <v>0</v>
      </c>
      <c r="K44" s="1096">
        <f t="shared" si="39"/>
        <v>195252168.48</v>
      </c>
      <c r="L44" s="1096">
        <v>61149434.17</v>
      </c>
      <c r="M44" s="1096">
        <v>135075255.22</v>
      </c>
      <c r="N44" s="1096">
        <v>2681520</v>
      </c>
      <c r="O44" s="1096">
        <v>2177762.38</v>
      </c>
      <c r="P44" s="1096">
        <f t="shared" si="39"/>
        <v>0</v>
      </c>
      <c r="Q44" s="1096">
        <f t="shared" si="39"/>
        <v>0</v>
      </c>
      <c r="R44" s="1096">
        <f t="shared" si="39"/>
        <v>201083971.77</v>
      </c>
      <c r="S44" s="1096">
        <v>0</v>
      </c>
      <c r="T44" s="1096">
        <v>0</v>
      </c>
      <c r="U44" s="1096">
        <f t="shared" si="39"/>
        <v>201083971.77</v>
      </c>
      <c r="V44" s="1096">
        <v>72157645.46</v>
      </c>
      <c r="W44" s="1096">
        <v>7144819.92</v>
      </c>
      <c r="X44" s="1096">
        <v>5928195.61</v>
      </c>
      <c r="Y44" s="1096">
        <f t="shared" si="39"/>
        <v>0</v>
      </c>
      <c r="Z44" s="1096">
        <f t="shared" si="39"/>
        <v>0</v>
      </c>
      <c r="AA44" s="1096">
        <f t="shared" si="39"/>
        <v>0</v>
      </c>
      <c r="AB44" s="1096">
        <f t="shared" si="39"/>
        <v>85230660.99</v>
      </c>
      <c r="AC44" s="1096">
        <f t="shared" si="39"/>
        <v>0</v>
      </c>
      <c r="AD44" s="1096">
        <f t="shared" si="39"/>
        <v>0</v>
      </c>
      <c r="AE44" s="1096">
        <f t="shared" si="39"/>
        <v>85230660.99</v>
      </c>
      <c r="AF44" s="1096">
        <f t="shared" si="39"/>
        <v>0</v>
      </c>
      <c r="AG44" s="1096">
        <f t="shared" si="39"/>
        <v>0</v>
      </c>
      <c r="AH44" s="1096">
        <f t="shared" si="39"/>
        <v>0</v>
      </c>
      <c r="AI44" s="1096">
        <f t="shared" si="39"/>
        <v>0</v>
      </c>
      <c r="AJ44" s="1096">
        <f t="shared" si="39"/>
        <v>0</v>
      </c>
      <c r="AK44" s="1096">
        <f t="shared" si="39"/>
        <v>0</v>
      </c>
      <c r="AL44" s="1096">
        <f t="shared" si="39"/>
        <v>0</v>
      </c>
      <c r="AM44" s="1096">
        <f t="shared" si="39"/>
        <v>0</v>
      </c>
      <c r="AN44" s="1096">
        <f t="shared" si="39"/>
        <v>0</v>
      </c>
      <c r="AO44" s="1096">
        <f t="shared" si="39"/>
        <v>0</v>
      </c>
      <c r="AP44" s="1096"/>
      <c r="AQ44" s="1096"/>
      <c r="AR44" s="1096">
        <f t="shared" si="39"/>
        <v>0</v>
      </c>
      <c r="AS44" s="1096">
        <f t="shared" si="39"/>
        <v>0</v>
      </c>
      <c r="AT44" s="1096">
        <f t="shared" si="39"/>
        <v>0</v>
      </c>
      <c r="AU44" s="1096">
        <f t="shared" si="39"/>
        <v>0</v>
      </c>
      <c r="AV44" s="1092" t="e">
        <f>AV42</f>
        <v>#N/A</v>
      </c>
      <c r="AW44" s="1098" t="e">
        <f t="shared" si="23"/>
        <v>#N/A</v>
      </c>
    </row>
    <row r="45" s="1018" customFormat="1" customHeight="1" spans="1:49">
      <c r="A45" s="391" t="s">
        <v>257</v>
      </c>
      <c r="B45" s="1100">
        <f>VLOOKUP(A45,快速BS新!A$6:C$212,3,0)</f>
        <v>31434621.22</v>
      </c>
      <c r="C45" s="1093">
        <f>VLOOKUP(A45,新材料BS新!$A$4:$D$191,3,0)</f>
        <v>11228638.4</v>
      </c>
      <c r="D45" s="1093">
        <f>VLOOKUP(A45,精铸BS新!$A$6:$C$86,3,0)</f>
        <v>0</v>
      </c>
      <c r="E45" s="1093">
        <f>VLOOKUP(A45,热等静压BS新!$A$6:$C$86,3,0)</f>
        <v>0</v>
      </c>
      <c r="F45" s="1095"/>
      <c r="G45" s="1093"/>
      <c r="H45" s="1096">
        <f t="shared" ref="H45:H55" si="40">SUM(B45:G45)</f>
        <v>42663259.62</v>
      </c>
      <c r="I45" s="1097">
        <f>合并调整抵消分录!E31</f>
        <v>0</v>
      </c>
      <c r="J45" s="1097">
        <f>合并调整抵消分录!F31</f>
        <v>0</v>
      </c>
      <c r="K45" s="1096">
        <f t="shared" ref="K45:K55" si="41">H45+I45-J45</f>
        <v>42663259.62</v>
      </c>
      <c r="L45" s="1093">
        <v>3109954.07</v>
      </c>
      <c r="M45" s="1093">
        <v>8203362.59</v>
      </c>
      <c r="N45" s="1093">
        <v>0</v>
      </c>
      <c r="O45" s="1093">
        <v>0</v>
      </c>
      <c r="P45" s="1093"/>
      <c r="Q45" s="1093"/>
      <c r="R45" s="1096">
        <f t="shared" ref="R45:R55" si="42">SUM(L45:Q45)</f>
        <v>11313316.66</v>
      </c>
      <c r="S45" s="1096">
        <v>0</v>
      </c>
      <c r="T45" s="1096">
        <v>0</v>
      </c>
      <c r="U45" s="1096">
        <f t="shared" ref="U45:U55" si="43">R45+S45-T45</f>
        <v>11313316.66</v>
      </c>
      <c r="V45" s="1097">
        <v>78526306.75</v>
      </c>
      <c r="W45" s="1097"/>
      <c r="X45" s="1097"/>
      <c r="Y45" s="1097"/>
      <c r="Z45" s="1097"/>
      <c r="AA45" s="1097"/>
      <c r="AB45" s="1096">
        <f t="shared" ref="AB45:AB55" si="44">SUM(V45:AA45)</f>
        <v>78526306.75</v>
      </c>
      <c r="AC45" s="1096">
        <f>合并调整抵消分录!N31</f>
        <v>0</v>
      </c>
      <c r="AD45" s="1096">
        <f>合并调整抵消分录!O31</f>
        <v>0</v>
      </c>
      <c r="AE45" s="1096">
        <f t="shared" ref="AE45:AE55" si="45">AB45+AC45-AD45</f>
        <v>78526306.75</v>
      </c>
      <c r="AF45" s="1097"/>
      <c r="AG45" s="1097"/>
      <c r="AH45" s="1097"/>
      <c r="AI45" s="1097"/>
      <c r="AJ45" s="1097"/>
      <c r="AK45" s="1097"/>
      <c r="AL45" s="1096">
        <f t="shared" ref="AL45:AL55" si="46">SUM(AF45:AK45)</f>
        <v>0</v>
      </c>
      <c r="AM45" s="1096">
        <f>合并调整抵消分录!Q31</f>
        <v>0</v>
      </c>
      <c r="AN45" s="1096">
        <f>合并调整抵消分录!R31</f>
        <v>0</v>
      </c>
      <c r="AO45" s="1096">
        <f t="shared" ref="AO45:AO55" si="47">AL45+AM45-AN45</f>
        <v>0</v>
      </c>
      <c r="AP45" s="1097"/>
      <c r="AQ45" s="1097"/>
      <c r="AR45" s="1096">
        <f t="shared" ref="AR45:AR55" si="48">SUM(AP45:AQ45)</f>
        <v>0</v>
      </c>
      <c r="AS45" s="1096">
        <f>合并调整抵消分录!T31</f>
        <v>0</v>
      </c>
      <c r="AT45" s="1096">
        <f>合并调整抵消分录!U31</f>
        <v>0</v>
      </c>
      <c r="AU45" s="1096">
        <f t="shared" ref="AU45:AU55" si="49">AR45+AS45-AT45</f>
        <v>0</v>
      </c>
      <c r="AV45" s="1092" t="e">
        <f>VLOOKUP(A45,合并资产负债表!$A$6:$C$87,3,0)</f>
        <v>#N/A</v>
      </c>
      <c r="AW45" s="1098" t="e">
        <f t="shared" si="23"/>
        <v>#N/A</v>
      </c>
    </row>
    <row r="46" s="1018" customFormat="1" customHeight="1" spans="1:49">
      <c r="A46" s="1091" t="s">
        <v>168</v>
      </c>
      <c r="B46" s="1092">
        <f>VLOOKUP(A46,快速BS!A$6:D$212,4,0)</f>
        <v>0</v>
      </c>
      <c r="C46" s="1093">
        <f>VLOOKUP(A46,新材料BS!$A$6:$D$328,4,0)</f>
        <v>0</v>
      </c>
      <c r="D46" s="1093">
        <f>VLOOKUP(A46,精铸BS!$A$6:$C$86,3,0)</f>
        <v>0</v>
      </c>
      <c r="E46" s="1094">
        <f>VLOOKUP(A46,热等静压BS!$A$6:$C$86,3,0)</f>
        <v>0</v>
      </c>
      <c r="F46" s="1095"/>
      <c r="G46" s="1093"/>
      <c r="H46" s="1096">
        <f t="shared" si="40"/>
        <v>0</v>
      </c>
      <c r="I46" s="1097">
        <f>合并调整抵消分录!E32</f>
        <v>0</v>
      </c>
      <c r="J46" s="1097">
        <f>合并调整抵消分录!F32</f>
        <v>0</v>
      </c>
      <c r="K46" s="1096">
        <f t="shared" si="41"/>
        <v>0</v>
      </c>
      <c r="L46" s="1093">
        <v>0</v>
      </c>
      <c r="M46" s="1093">
        <v>0</v>
      </c>
      <c r="N46" s="1093">
        <v>0</v>
      </c>
      <c r="O46" s="1093">
        <v>0</v>
      </c>
      <c r="P46" s="1093"/>
      <c r="Q46" s="1093"/>
      <c r="R46" s="1096">
        <f t="shared" si="42"/>
        <v>0</v>
      </c>
      <c r="S46" s="1096">
        <v>0</v>
      </c>
      <c r="T46" s="1096">
        <v>0</v>
      </c>
      <c r="U46" s="1096">
        <f t="shared" si="43"/>
        <v>0</v>
      </c>
      <c r="V46" s="1097"/>
      <c r="W46" s="1097"/>
      <c r="X46" s="1097"/>
      <c r="Y46" s="1097"/>
      <c r="Z46" s="1097"/>
      <c r="AA46" s="1097"/>
      <c r="AB46" s="1096">
        <f t="shared" si="44"/>
        <v>0</v>
      </c>
      <c r="AC46" s="1096">
        <f>合并调整抵消分录!N32</f>
        <v>0</v>
      </c>
      <c r="AD46" s="1096">
        <f>合并调整抵消分录!O32</f>
        <v>0</v>
      </c>
      <c r="AE46" s="1096">
        <f t="shared" si="45"/>
        <v>0</v>
      </c>
      <c r="AF46" s="1097"/>
      <c r="AG46" s="1097"/>
      <c r="AH46" s="1097"/>
      <c r="AI46" s="1097"/>
      <c r="AJ46" s="1097"/>
      <c r="AK46" s="1097"/>
      <c r="AL46" s="1096">
        <f t="shared" si="46"/>
        <v>0</v>
      </c>
      <c r="AM46" s="1096">
        <f>合并调整抵消分录!Q32</f>
        <v>0</v>
      </c>
      <c r="AN46" s="1096">
        <f>合并调整抵消分录!R32</f>
        <v>0</v>
      </c>
      <c r="AO46" s="1096">
        <f t="shared" si="47"/>
        <v>0</v>
      </c>
      <c r="AP46" s="1097"/>
      <c r="AQ46" s="1097"/>
      <c r="AR46" s="1096">
        <f t="shared" si="48"/>
        <v>0</v>
      </c>
      <c r="AS46" s="1096">
        <f>合并调整抵消分录!T32</f>
        <v>0</v>
      </c>
      <c r="AT46" s="1096">
        <f>合并调整抵消分录!U32</f>
        <v>0</v>
      </c>
      <c r="AU46" s="1096">
        <f t="shared" si="49"/>
        <v>0</v>
      </c>
      <c r="AV46" s="1092">
        <f>VLOOKUP(A46,合并资产负债表!$A$6:$C$87,3,0)</f>
        <v>0</v>
      </c>
      <c r="AW46" s="1098">
        <f t="shared" si="23"/>
        <v>0</v>
      </c>
    </row>
    <row r="47" s="1018" customFormat="1" customHeight="1" spans="1:49">
      <c r="A47" s="391" t="s">
        <v>259</v>
      </c>
      <c r="B47" s="1100">
        <f>VLOOKUP(A47,快速BS新!A$6:C$212,3,0)</f>
        <v>0</v>
      </c>
      <c r="C47" s="1093">
        <f>VLOOKUP(A47,新材料BS新!$A$4:$D$191,3,0)</f>
        <v>0</v>
      </c>
      <c r="D47" s="1093">
        <f>VLOOKUP(A47,精铸BS新!$A$6:$C$86,3,0)</f>
        <v>0</v>
      </c>
      <c r="E47" s="1093">
        <f>VLOOKUP(A47,热等静压BS新!$A$6:$C$86,3,0)</f>
        <v>0</v>
      </c>
      <c r="F47" s="1095"/>
      <c r="G47" s="1093"/>
      <c r="H47" s="1096">
        <f t="shared" si="40"/>
        <v>0</v>
      </c>
      <c r="I47" s="1097">
        <f>合并调整抵消分录!E33</f>
        <v>0</v>
      </c>
      <c r="J47" s="1097">
        <f>合并调整抵消分录!F33</f>
        <v>0</v>
      </c>
      <c r="K47" s="1096">
        <f t="shared" si="41"/>
        <v>0</v>
      </c>
      <c r="L47" s="1093">
        <v>0</v>
      </c>
      <c r="M47" s="1093">
        <v>0</v>
      </c>
      <c r="N47" s="1093">
        <v>0</v>
      </c>
      <c r="O47" s="1093">
        <v>0</v>
      </c>
      <c r="P47" s="1093"/>
      <c r="Q47" s="1093"/>
      <c r="R47" s="1096">
        <f t="shared" si="42"/>
        <v>0</v>
      </c>
      <c r="S47" s="1096">
        <v>0</v>
      </c>
      <c r="T47" s="1096">
        <v>0</v>
      </c>
      <c r="U47" s="1096">
        <f t="shared" si="43"/>
        <v>0</v>
      </c>
      <c r="V47" s="1097"/>
      <c r="W47" s="1097"/>
      <c r="X47" s="1097"/>
      <c r="Y47" s="1097"/>
      <c r="Z47" s="1097"/>
      <c r="AA47" s="1097"/>
      <c r="AB47" s="1096">
        <f t="shared" si="44"/>
        <v>0</v>
      </c>
      <c r="AC47" s="1096">
        <f>合并调整抵消分录!N33</f>
        <v>0</v>
      </c>
      <c r="AD47" s="1096">
        <f>合并调整抵消分录!O33</f>
        <v>0</v>
      </c>
      <c r="AE47" s="1096">
        <f t="shared" si="45"/>
        <v>0</v>
      </c>
      <c r="AF47" s="1097"/>
      <c r="AG47" s="1097"/>
      <c r="AH47" s="1097"/>
      <c r="AI47" s="1097"/>
      <c r="AJ47" s="1097"/>
      <c r="AK47" s="1097"/>
      <c r="AL47" s="1096">
        <f t="shared" si="46"/>
        <v>0</v>
      </c>
      <c r="AM47" s="1096">
        <f>合并调整抵消分录!Q33</f>
        <v>0</v>
      </c>
      <c r="AN47" s="1096">
        <f>合并调整抵消分录!R33</f>
        <v>0</v>
      </c>
      <c r="AO47" s="1096">
        <f t="shared" si="47"/>
        <v>0</v>
      </c>
      <c r="AP47" s="1097"/>
      <c r="AQ47" s="1097"/>
      <c r="AR47" s="1096">
        <f t="shared" si="48"/>
        <v>0</v>
      </c>
      <c r="AS47" s="1096">
        <f>合并调整抵消分录!T33</f>
        <v>0</v>
      </c>
      <c r="AT47" s="1096">
        <f>合并调整抵消分录!U33</f>
        <v>0</v>
      </c>
      <c r="AU47" s="1096">
        <f t="shared" si="49"/>
        <v>0</v>
      </c>
      <c r="AV47" s="1092" t="e">
        <f>VLOOKUP(A47,合并资产负债表!$A$6:$C$87,3,0)</f>
        <v>#N/A</v>
      </c>
      <c r="AW47" s="1098" t="e">
        <f t="shared" si="23"/>
        <v>#N/A</v>
      </c>
    </row>
    <row r="48" s="1018" customFormat="1" customHeight="1" spans="1:49">
      <c r="A48" s="1091" t="s">
        <v>172</v>
      </c>
      <c r="B48" s="1092">
        <f>VLOOKUP(A48,快速BS!A$6:D$212,4,0)</f>
        <v>0</v>
      </c>
      <c r="C48" s="1093">
        <f>VLOOKUP(A48,新材料BS!$A$6:$D$328,4,0)</f>
        <v>0</v>
      </c>
      <c r="D48" s="1093">
        <f>VLOOKUP(A48,精铸BS!$A$6:$C$86,3,0)</f>
        <v>0</v>
      </c>
      <c r="E48" s="1094">
        <f>VLOOKUP(A48,热等静压BS!$A$6:$C$86,3,0)</f>
        <v>0</v>
      </c>
      <c r="F48" s="1095"/>
      <c r="G48" s="1093"/>
      <c r="H48" s="1096">
        <f t="shared" si="40"/>
        <v>0</v>
      </c>
      <c r="I48" s="1097">
        <f>合并调整抵消分录!E34</f>
        <v>0</v>
      </c>
      <c r="J48" s="1097">
        <f>合并调整抵消分录!F34</f>
        <v>0</v>
      </c>
      <c r="K48" s="1096">
        <f t="shared" si="41"/>
        <v>0</v>
      </c>
      <c r="L48" s="1093">
        <v>0</v>
      </c>
      <c r="M48" s="1093">
        <v>0</v>
      </c>
      <c r="N48" s="1093">
        <v>0</v>
      </c>
      <c r="O48" s="1093">
        <v>0</v>
      </c>
      <c r="P48" s="1093"/>
      <c r="Q48" s="1093"/>
      <c r="R48" s="1096">
        <f t="shared" si="42"/>
        <v>0</v>
      </c>
      <c r="S48" s="1096">
        <v>0</v>
      </c>
      <c r="T48" s="1096">
        <v>0</v>
      </c>
      <c r="U48" s="1096">
        <f t="shared" si="43"/>
        <v>0</v>
      </c>
      <c r="V48" s="1097"/>
      <c r="W48" s="1097"/>
      <c r="X48" s="1097"/>
      <c r="Y48" s="1097"/>
      <c r="Z48" s="1097"/>
      <c r="AA48" s="1097"/>
      <c r="AB48" s="1096">
        <f t="shared" si="44"/>
        <v>0</v>
      </c>
      <c r="AC48" s="1096">
        <f>合并调整抵消分录!N34</f>
        <v>0</v>
      </c>
      <c r="AD48" s="1096">
        <f>合并调整抵消分录!O34</f>
        <v>0</v>
      </c>
      <c r="AE48" s="1096">
        <f t="shared" si="45"/>
        <v>0</v>
      </c>
      <c r="AF48" s="1097"/>
      <c r="AG48" s="1097"/>
      <c r="AH48" s="1097"/>
      <c r="AI48" s="1097"/>
      <c r="AJ48" s="1097"/>
      <c r="AK48" s="1097"/>
      <c r="AL48" s="1096">
        <f t="shared" si="46"/>
        <v>0</v>
      </c>
      <c r="AM48" s="1096">
        <f>合并调整抵消分录!Q34</f>
        <v>0</v>
      </c>
      <c r="AN48" s="1096">
        <f>合并调整抵消分录!R34</f>
        <v>0</v>
      </c>
      <c r="AO48" s="1096">
        <f t="shared" si="47"/>
        <v>0</v>
      </c>
      <c r="AP48" s="1097"/>
      <c r="AQ48" s="1097"/>
      <c r="AR48" s="1096">
        <f t="shared" si="48"/>
        <v>0</v>
      </c>
      <c r="AS48" s="1096">
        <f>合并调整抵消分录!T34</f>
        <v>0</v>
      </c>
      <c r="AT48" s="1096">
        <f>合并调整抵消分录!U34</f>
        <v>0</v>
      </c>
      <c r="AU48" s="1096">
        <f t="shared" si="49"/>
        <v>0</v>
      </c>
      <c r="AV48" s="1092">
        <f>VLOOKUP(A48,合并资产负债表!$A$6:$C$87,3,0)</f>
        <v>0</v>
      </c>
      <c r="AW48" s="1098">
        <f t="shared" si="23"/>
        <v>0</v>
      </c>
    </row>
    <row r="49" s="1018" customFormat="1" customHeight="1" spans="1:49">
      <c r="A49" s="1091" t="s">
        <v>174</v>
      </c>
      <c r="B49" s="1092">
        <f>VLOOKUP(A49,快速BS!A$6:D$212,4,0)</f>
        <v>0</v>
      </c>
      <c r="C49" s="1093">
        <f>VLOOKUP(A49,新材料BS!$A$6:$D$328,4,0)</f>
        <v>0</v>
      </c>
      <c r="D49" s="1093">
        <f>VLOOKUP(A49,精铸BS!$A$6:$C$86,3,0)</f>
        <v>0</v>
      </c>
      <c r="E49" s="1094">
        <f>VLOOKUP(A49,热等静压BS!$A$6:$C$86,3,0)</f>
        <v>0</v>
      </c>
      <c r="F49" s="1095"/>
      <c r="G49" s="1093"/>
      <c r="H49" s="1096">
        <f t="shared" si="40"/>
        <v>0</v>
      </c>
      <c r="I49" s="1097">
        <f>合并调整抵消分录!E35</f>
        <v>0</v>
      </c>
      <c r="J49" s="1097">
        <f>合并调整抵消分录!F35</f>
        <v>0</v>
      </c>
      <c r="K49" s="1096">
        <f t="shared" si="41"/>
        <v>0</v>
      </c>
      <c r="L49" s="1093">
        <v>0</v>
      </c>
      <c r="M49" s="1093">
        <v>0</v>
      </c>
      <c r="N49" s="1093">
        <v>0</v>
      </c>
      <c r="O49" s="1093">
        <v>0</v>
      </c>
      <c r="P49" s="1093"/>
      <c r="Q49" s="1093"/>
      <c r="R49" s="1096">
        <f t="shared" si="42"/>
        <v>0</v>
      </c>
      <c r="S49" s="1096">
        <v>0</v>
      </c>
      <c r="T49" s="1096">
        <v>0</v>
      </c>
      <c r="U49" s="1096">
        <f t="shared" si="43"/>
        <v>0</v>
      </c>
      <c r="V49" s="1097"/>
      <c r="W49" s="1097"/>
      <c r="X49" s="1097"/>
      <c r="Y49" s="1097"/>
      <c r="Z49" s="1097"/>
      <c r="AA49" s="1097"/>
      <c r="AB49" s="1096">
        <f t="shared" si="44"/>
        <v>0</v>
      </c>
      <c r="AC49" s="1096">
        <f>合并调整抵消分录!N35</f>
        <v>0</v>
      </c>
      <c r="AD49" s="1096">
        <f>合并调整抵消分录!O35</f>
        <v>0</v>
      </c>
      <c r="AE49" s="1096">
        <f t="shared" si="45"/>
        <v>0</v>
      </c>
      <c r="AF49" s="1097"/>
      <c r="AG49" s="1097"/>
      <c r="AH49" s="1097"/>
      <c r="AI49" s="1097"/>
      <c r="AJ49" s="1097"/>
      <c r="AK49" s="1097"/>
      <c r="AL49" s="1096">
        <f t="shared" si="46"/>
        <v>0</v>
      </c>
      <c r="AM49" s="1096">
        <f>合并调整抵消分录!Q35</f>
        <v>0</v>
      </c>
      <c r="AN49" s="1096">
        <f>合并调整抵消分录!R35</f>
        <v>0</v>
      </c>
      <c r="AO49" s="1096">
        <f t="shared" si="47"/>
        <v>0</v>
      </c>
      <c r="AP49" s="1097"/>
      <c r="AQ49" s="1097"/>
      <c r="AR49" s="1096">
        <f t="shared" si="48"/>
        <v>0</v>
      </c>
      <c r="AS49" s="1096">
        <f>合并调整抵消分录!T35</f>
        <v>0</v>
      </c>
      <c r="AT49" s="1096">
        <f>合并调整抵消分录!U35</f>
        <v>0</v>
      </c>
      <c r="AU49" s="1096">
        <f t="shared" si="49"/>
        <v>0</v>
      </c>
      <c r="AV49" s="1092">
        <f>VLOOKUP(A49,合并资产负债表!$A$6:$C$87,3,0)</f>
        <v>0</v>
      </c>
      <c r="AW49" s="1098">
        <f t="shared" si="23"/>
        <v>0</v>
      </c>
    </row>
    <row r="50" s="1018" customFormat="1" customHeight="1" spans="1:49">
      <c r="A50" s="1101" t="s">
        <v>265</v>
      </c>
      <c r="B50" s="1100">
        <f>VLOOKUP(A50,快速BS新!A$6:C$212,3,0)</f>
        <v>11601524.18</v>
      </c>
      <c r="C50" s="1093">
        <f>VLOOKUP(A50,新材料BS新!$A$4:$D$191,3,0)</f>
        <v>1410354.02</v>
      </c>
      <c r="D50" s="1093">
        <f>VLOOKUP(A50,精铸BS新!$A$6:$C$86,3,0)</f>
        <v>0</v>
      </c>
      <c r="E50" s="1093">
        <f>VLOOKUP(A50,热等静压BS新!$A$6:$C$86,3,0)</f>
        <v>0</v>
      </c>
      <c r="F50" s="1095"/>
      <c r="G50" s="1093"/>
      <c r="H50" s="1096">
        <f t="shared" si="40"/>
        <v>13011878.2</v>
      </c>
      <c r="I50" s="1097">
        <f>合并调整抵消分录!E36</f>
        <v>0</v>
      </c>
      <c r="J50" s="1097">
        <f>合并调整抵消分录!F36</f>
        <v>0</v>
      </c>
      <c r="K50" s="1096">
        <f t="shared" si="41"/>
        <v>13011878.2</v>
      </c>
      <c r="L50" s="1093">
        <v>11984001</v>
      </c>
      <c r="M50" s="1093">
        <v>1139469.23</v>
      </c>
      <c r="N50" s="1093">
        <v>0</v>
      </c>
      <c r="O50" s="1093">
        <v>0</v>
      </c>
      <c r="P50" s="1093"/>
      <c r="Q50" s="1093"/>
      <c r="R50" s="1096">
        <f t="shared" si="42"/>
        <v>13123470.23</v>
      </c>
      <c r="S50" s="1096">
        <v>0</v>
      </c>
      <c r="T50" s="1096">
        <v>0</v>
      </c>
      <c r="U50" s="1096">
        <f t="shared" si="43"/>
        <v>13123470.23</v>
      </c>
      <c r="V50" s="1097">
        <v>13333090.6</v>
      </c>
      <c r="W50" s="1097">
        <v>0</v>
      </c>
      <c r="X50" s="1097">
        <v>0</v>
      </c>
      <c r="Y50" s="1097"/>
      <c r="Z50" s="1097"/>
      <c r="AA50" s="1097"/>
      <c r="AB50" s="1096">
        <f t="shared" si="44"/>
        <v>13333090.6</v>
      </c>
      <c r="AC50" s="1096">
        <f>合并调整抵消分录!N36</f>
        <v>0</v>
      </c>
      <c r="AD50" s="1096">
        <f>合并调整抵消分录!O36</f>
        <v>0</v>
      </c>
      <c r="AE50" s="1096">
        <f t="shared" si="45"/>
        <v>13333090.6</v>
      </c>
      <c r="AF50" s="1097"/>
      <c r="AG50" s="1097"/>
      <c r="AH50" s="1097"/>
      <c r="AI50" s="1097"/>
      <c r="AJ50" s="1097"/>
      <c r="AK50" s="1097"/>
      <c r="AL50" s="1096">
        <f t="shared" si="46"/>
        <v>0</v>
      </c>
      <c r="AM50" s="1096">
        <f>合并调整抵消分录!Q36</f>
        <v>0</v>
      </c>
      <c r="AN50" s="1096">
        <f>合并调整抵消分录!R36</f>
        <v>0</v>
      </c>
      <c r="AO50" s="1096">
        <f t="shared" si="47"/>
        <v>0</v>
      </c>
      <c r="AP50" s="1097"/>
      <c r="AQ50" s="1097"/>
      <c r="AR50" s="1096">
        <f t="shared" si="48"/>
        <v>0</v>
      </c>
      <c r="AS50" s="1096">
        <f>合并调整抵消分录!T36</f>
        <v>0</v>
      </c>
      <c r="AT50" s="1096">
        <f>合并调整抵消分录!U36</f>
        <v>0</v>
      </c>
      <c r="AU50" s="1096">
        <f t="shared" si="49"/>
        <v>0</v>
      </c>
      <c r="AV50" s="1092" t="e">
        <f>VLOOKUP(A50,合并资产负债表!$A$6:$C$87,3,0)</f>
        <v>#N/A</v>
      </c>
      <c r="AW50" s="1098" t="e">
        <f t="shared" si="23"/>
        <v>#N/A</v>
      </c>
    </row>
    <row r="51" s="1018" customFormat="1" customHeight="1" spans="1:49">
      <c r="A51" s="1101" t="s">
        <v>267</v>
      </c>
      <c r="B51" s="1100">
        <f>VLOOKUP(A51,快速BS新!A$6:C$212,3,0)</f>
        <v>0</v>
      </c>
      <c r="C51" s="1093">
        <f>VLOOKUP(A51,新材料BS新!$A$4:$D$191,3,0)</f>
        <v>0</v>
      </c>
      <c r="D51" s="1093">
        <f>VLOOKUP(A51,精铸BS新!$A$6:$C$86,3,0)</f>
        <v>0</v>
      </c>
      <c r="E51" s="1093">
        <f>VLOOKUP(A51,热等静压BS新!$A$6:$C$86,3,0)</f>
        <v>0</v>
      </c>
      <c r="F51" s="1095"/>
      <c r="G51" s="1093"/>
      <c r="H51" s="1096">
        <f t="shared" si="40"/>
        <v>0</v>
      </c>
      <c r="I51" s="1097">
        <f>合并调整抵消分录!E37</f>
        <v>0</v>
      </c>
      <c r="J51" s="1097">
        <f>合并调整抵消分录!F37</f>
        <v>0</v>
      </c>
      <c r="K51" s="1096">
        <f t="shared" si="41"/>
        <v>0</v>
      </c>
      <c r="L51" s="1093">
        <v>0</v>
      </c>
      <c r="M51" s="1093">
        <v>0</v>
      </c>
      <c r="N51" s="1093">
        <v>0</v>
      </c>
      <c r="O51" s="1093">
        <v>0</v>
      </c>
      <c r="P51" s="1093"/>
      <c r="Q51" s="1093"/>
      <c r="R51" s="1096">
        <f t="shared" si="42"/>
        <v>0</v>
      </c>
      <c r="S51" s="1096">
        <v>0</v>
      </c>
      <c r="T51" s="1096">
        <v>0</v>
      </c>
      <c r="U51" s="1096">
        <f t="shared" si="43"/>
        <v>0</v>
      </c>
      <c r="V51" s="1097">
        <v>0</v>
      </c>
      <c r="W51" s="1097">
        <v>0</v>
      </c>
      <c r="X51" s="1097">
        <v>0</v>
      </c>
      <c r="Y51" s="1097"/>
      <c r="Z51" s="1097"/>
      <c r="AA51" s="1097"/>
      <c r="AB51" s="1096">
        <f t="shared" si="44"/>
        <v>0</v>
      </c>
      <c r="AC51" s="1096">
        <f>合并调整抵消分录!N37</f>
        <v>0</v>
      </c>
      <c r="AD51" s="1096">
        <f>合并调整抵消分录!O37</f>
        <v>0</v>
      </c>
      <c r="AE51" s="1096">
        <f t="shared" si="45"/>
        <v>0</v>
      </c>
      <c r="AF51" s="1097"/>
      <c r="AG51" s="1097"/>
      <c r="AH51" s="1097"/>
      <c r="AI51" s="1097"/>
      <c r="AJ51" s="1097"/>
      <c r="AK51" s="1097"/>
      <c r="AL51" s="1096">
        <f t="shared" si="46"/>
        <v>0</v>
      </c>
      <c r="AM51" s="1096">
        <f>合并调整抵消分录!Q37</f>
        <v>0</v>
      </c>
      <c r="AN51" s="1096">
        <f>合并调整抵消分录!R37</f>
        <v>0</v>
      </c>
      <c r="AO51" s="1096">
        <f t="shared" si="47"/>
        <v>0</v>
      </c>
      <c r="AP51" s="1097"/>
      <c r="AQ51" s="1097"/>
      <c r="AR51" s="1096">
        <f t="shared" si="48"/>
        <v>0</v>
      </c>
      <c r="AS51" s="1096">
        <f>合并调整抵消分录!T37</f>
        <v>0</v>
      </c>
      <c r="AT51" s="1096">
        <f>合并调整抵消分录!U37</f>
        <v>0</v>
      </c>
      <c r="AU51" s="1096">
        <f t="shared" si="49"/>
        <v>0</v>
      </c>
      <c r="AV51" s="1092" t="e">
        <f>VLOOKUP(A51,合并资产负债表!$A$6:$C$87,3,0)</f>
        <v>#N/A</v>
      </c>
      <c r="AW51" s="1098" t="e">
        <f t="shared" si="23"/>
        <v>#N/A</v>
      </c>
    </row>
    <row r="52" s="1018" customFormat="1" customHeight="1" spans="1:49">
      <c r="A52" s="1101" t="s">
        <v>268</v>
      </c>
      <c r="B52" s="1100">
        <f>VLOOKUP(A52,快速BS新!A$6:C$212,3,0)</f>
        <v>0</v>
      </c>
      <c r="C52" s="1093">
        <f>VLOOKUP(A52,新材料BS新!$A$4:$D$191,3,0)</f>
        <v>0</v>
      </c>
      <c r="D52" s="1093">
        <f>VLOOKUP(A52,精铸BS新!$A$6:$C$86,3,0)</f>
        <v>0</v>
      </c>
      <c r="E52" s="1093">
        <f>VLOOKUP(A52,热等静压BS新!$A$6:$C$86,3,0)</f>
        <v>0</v>
      </c>
      <c r="F52" s="1095"/>
      <c r="G52" s="1093"/>
      <c r="H52" s="1096">
        <f t="shared" si="40"/>
        <v>0</v>
      </c>
      <c r="I52" s="1097">
        <f>合并调整抵消分录!E38</f>
        <v>6070777.76</v>
      </c>
      <c r="J52" s="1097">
        <f>合并调整抵消分录!F38</f>
        <v>2027402.26</v>
      </c>
      <c r="K52" s="1096">
        <f t="shared" si="41"/>
        <v>4043375.5</v>
      </c>
      <c r="L52" s="1093">
        <v>0</v>
      </c>
      <c r="M52" s="1093">
        <v>0</v>
      </c>
      <c r="N52" s="1093">
        <v>0</v>
      </c>
      <c r="O52" s="1093">
        <v>0</v>
      </c>
      <c r="P52" s="1093"/>
      <c r="Q52" s="1093"/>
      <c r="R52" s="1096">
        <f t="shared" si="42"/>
        <v>0</v>
      </c>
      <c r="S52" s="1096">
        <v>6070777.76</v>
      </c>
      <c r="T52" s="1096">
        <v>1259075.86</v>
      </c>
      <c r="U52" s="1096">
        <f t="shared" si="43"/>
        <v>4811701.9</v>
      </c>
      <c r="V52" s="1097">
        <v>0</v>
      </c>
      <c r="W52" s="1097">
        <v>0</v>
      </c>
      <c r="X52" s="1097">
        <v>0</v>
      </c>
      <c r="Y52" s="1097"/>
      <c r="Z52" s="1097"/>
      <c r="AA52" s="1097"/>
      <c r="AB52" s="1096">
        <f t="shared" si="44"/>
        <v>0</v>
      </c>
      <c r="AC52" s="1096">
        <f>合并调整抵消分录!N38</f>
        <v>6070777.76</v>
      </c>
      <c r="AD52" s="1096">
        <f>合并调整抵消分录!O38</f>
        <v>0</v>
      </c>
      <c r="AE52" s="1096">
        <f t="shared" si="45"/>
        <v>6070777.76</v>
      </c>
      <c r="AF52" s="1097"/>
      <c r="AG52" s="1097"/>
      <c r="AH52" s="1097"/>
      <c r="AI52" s="1097"/>
      <c r="AJ52" s="1097"/>
      <c r="AK52" s="1097"/>
      <c r="AL52" s="1096">
        <f t="shared" si="46"/>
        <v>0</v>
      </c>
      <c r="AM52" s="1096">
        <f>合并调整抵消分录!Q38</f>
        <v>0</v>
      </c>
      <c r="AN52" s="1096">
        <f>合并调整抵消分录!R38</f>
        <v>0</v>
      </c>
      <c r="AO52" s="1096">
        <f t="shared" si="47"/>
        <v>0</v>
      </c>
      <c r="AP52" s="1097"/>
      <c r="AQ52" s="1097"/>
      <c r="AR52" s="1096">
        <f t="shared" si="48"/>
        <v>0</v>
      </c>
      <c r="AS52" s="1096">
        <f>合并调整抵消分录!T38</f>
        <v>0</v>
      </c>
      <c r="AT52" s="1096">
        <f>合并调整抵消分录!U38</f>
        <v>0</v>
      </c>
      <c r="AU52" s="1096">
        <f t="shared" si="49"/>
        <v>0</v>
      </c>
      <c r="AV52" s="1092" t="e">
        <f>VLOOKUP(A52,合并资产负债表!$A$6:$C$87,3,0)</f>
        <v>#N/A</v>
      </c>
      <c r="AW52" s="1098" t="e">
        <f t="shared" si="23"/>
        <v>#N/A</v>
      </c>
    </row>
    <row r="53" s="1018" customFormat="1" customHeight="1" spans="1:49">
      <c r="A53" s="1091" t="s">
        <v>269</v>
      </c>
      <c r="B53" s="1100">
        <f>VLOOKUP(A53,快速BS新!A$6:C$212,3,0)</f>
        <v>2442357.91</v>
      </c>
      <c r="C53" s="1093">
        <f>VLOOKUP(A53,新材料BS新!$A$4:$D$191,3,0)</f>
        <v>516811.09</v>
      </c>
      <c r="D53" s="1093">
        <f>VLOOKUP(A53,精铸BS新!$A$6:$C$86,3,0)</f>
        <v>0</v>
      </c>
      <c r="E53" s="1093">
        <f>VLOOKUP(A53,热等静压BS新!$A$6:$C$86,3,0)</f>
        <v>300945.95</v>
      </c>
      <c r="F53" s="1095"/>
      <c r="G53" s="1093"/>
      <c r="H53" s="1096">
        <f t="shared" si="40"/>
        <v>3260114.95</v>
      </c>
      <c r="I53" s="1097">
        <f>合并调整抵消分录!E39</f>
        <v>0</v>
      </c>
      <c r="J53" s="1097">
        <f>合并调整抵消分录!F39</f>
        <v>0</v>
      </c>
      <c r="K53" s="1096">
        <f t="shared" si="41"/>
        <v>3260114.95</v>
      </c>
      <c r="L53" s="1093">
        <v>3654561.23</v>
      </c>
      <c r="M53" s="1093">
        <v>654922.6</v>
      </c>
      <c r="N53" s="1093">
        <v>0</v>
      </c>
      <c r="O53" s="1093">
        <v>532167.82</v>
      </c>
      <c r="P53" s="1093"/>
      <c r="Q53" s="1093"/>
      <c r="R53" s="1096">
        <f t="shared" si="42"/>
        <v>4841651.65</v>
      </c>
      <c r="S53" s="1096">
        <v>0</v>
      </c>
      <c r="T53" s="1096">
        <v>0</v>
      </c>
      <c r="U53" s="1096">
        <f t="shared" si="43"/>
        <v>4841651.65</v>
      </c>
      <c r="V53" s="1097">
        <v>0</v>
      </c>
      <c r="W53" s="1097">
        <v>33898.66</v>
      </c>
      <c r="X53" s="1097">
        <v>274315.54</v>
      </c>
      <c r="Y53" s="1097"/>
      <c r="Z53" s="1097"/>
      <c r="AA53" s="1097"/>
      <c r="AB53" s="1096">
        <f t="shared" si="44"/>
        <v>308214.2</v>
      </c>
      <c r="AC53" s="1096">
        <f>合并调整抵消分录!N39</f>
        <v>0</v>
      </c>
      <c r="AD53" s="1096">
        <f>合并调整抵消分录!O39</f>
        <v>0</v>
      </c>
      <c r="AE53" s="1096">
        <f t="shared" si="45"/>
        <v>308214.2</v>
      </c>
      <c r="AF53" s="1097"/>
      <c r="AG53" s="1097"/>
      <c r="AH53" s="1097"/>
      <c r="AI53" s="1097"/>
      <c r="AJ53" s="1097"/>
      <c r="AK53" s="1097"/>
      <c r="AL53" s="1096">
        <f t="shared" si="46"/>
        <v>0</v>
      </c>
      <c r="AM53" s="1096">
        <f>合并调整抵消分录!Q39</f>
        <v>0</v>
      </c>
      <c r="AN53" s="1096">
        <f>合并调整抵消分录!R39</f>
        <v>0</v>
      </c>
      <c r="AO53" s="1096">
        <f t="shared" si="47"/>
        <v>0</v>
      </c>
      <c r="AP53" s="1097"/>
      <c r="AQ53" s="1097"/>
      <c r="AR53" s="1096">
        <f t="shared" si="48"/>
        <v>0</v>
      </c>
      <c r="AS53" s="1096">
        <f>合并调整抵消分录!T39</f>
        <v>0</v>
      </c>
      <c r="AT53" s="1096">
        <f>合并调整抵消分录!U39</f>
        <v>0</v>
      </c>
      <c r="AU53" s="1096">
        <f t="shared" si="49"/>
        <v>0</v>
      </c>
      <c r="AV53" s="1092" t="e">
        <f>VLOOKUP(A53,合并资产负债表!$A$6:$C$87,3,0)</f>
        <v>#N/A</v>
      </c>
      <c r="AW53" s="1098" t="e">
        <f t="shared" si="23"/>
        <v>#N/A</v>
      </c>
    </row>
    <row r="54" s="1018" customFormat="1" customHeight="1" spans="1:49">
      <c r="A54" s="1091" t="s">
        <v>270</v>
      </c>
      <c r="B54" s="1100">
        <f>VLOOKUP(A54,快速BS新!A$6:C$212,3,0)</f>
        <v>0</v>
      </c>
      <c r="C54" s="1093">
        <f>VLOOKUP(A54,新材料BS新!$A$4:$D$191,3,0)</f>
        <v>0</v>
      </c>
      <c r="D54" s="1093">
        <f>VLOOKUP(A54,精铸BS新!$A$6:$C$86,3,0)</f>
        <v>0</v>
      </c>
      <c r="E54" s="1093">
        <f>VLOOKUP(A54,热等静压BS新!$A$6:$C$86,3,0)</f>
        <v>10042.63</v>
      </c>
      <c r="F54" s="1095"/>
      <c r="G54" s="1093"/>
      <c r="H54" s="1096">
        <f t="shared" si="40"/>
        <v>10042.63</v>
      </c>
      <c r="I54" s="1097">
        <f>合并调整抵消分录!E40</f>
        <v>0</v>
      </c>
      <c r="J54" s="1097">
        <f>合并调整抵消分录!F40</f>
        <v>0</v>
      </c>
      <c r="K54" s="1096">
        <f t="shared" si="41"/>
        <v>10042.63</v>
      </c>
      <c r="L54" s="1093">
        <v>0</v>
      </c>
      <c r="M54" s="1093">
        <v>102931.58</v>
      </c>
      <c r="N54" s="1093">
        <v>0</v>
      </c>
      <c r="O54" s="1093">
        <v>0</v>
      </c>
      <c r="P54" s="1093"/>
      <c r="Q54" s="1093"/>
      <c r="R54" s="1096">
        <f t="shared" si="42"/>
        <v>102931.58</v>
      </c>
      <c r="S54" s="1096">
        <v>0</v>
      </c>
      <c r="T54" s="1096">
        <v>0</v>
      </c>
      <c r="U54" s="1096">
        <f t="shared" si="43"/>
        <v>102931.58</v>
      </c>
      <c r="V54" s="1097">
        <v>0</v>
      </c>
      <c r="W54" s="1097">
        <v>85808.95</v>
      </c>
      <c r="X54" s="1097">
        <v>0</v>
      </c>
      <c r="Y54" s="1097"/>
      <c r="Z54" s="1097"/>
      <c r="AA54" s="1097"/>
      <c r="AB54" s="1096">
        <f t="shared" si="44"/>
        <v>85808.95</v>
      </c>
      <c r="AC54" s="1096">
        <f>合并调整抵消分录!N40</f>
        <v>0</v>
      </c>
      <c r="AD54" s="1096">
        <f>合并调整抵消分录!O40</f>
        <v>0</v>
      </c>
      <c r="AE54" s="1096">
        <f t="shared" si="45"/>
        <v>85808.95</v>
      </c>
      <c r="AF54" s="1097"/>
      <c r="AG54" s="1097"/>
      <c r="AH54" s="1097"/>
      <c r="AI54" s="1097"/>
      <c r="AJ54" s="1097"/>
      <c r="AK54" s="1097"/>
      <c r="AL54" s="1096">
        <f t="shared" si="46"/>
        <v>0</v>
      </c>
      <c r="AM54" s="1096">
        <f>合并调整抵消分录!Q40</f>
        <v>0</v>
      </c>
      <c r="AN54" s="1096">
        <f>合并调整抵消分录!R40</f>
        <v>0</v>
      </c>
      <c r="AO54" s="1096">
        <f t="shared" si="47"/>
        <v>0</v>
      </c>
      <c r="AP54" s="1097"/>
      <c r="AQ54" s="1097"/>
      <c r="AR54" s="1096">
        <f t="shared" si="48"/>
        <v>0</v>
      </c>
      <c r="AS54" s="1096">
        <f>合并调整抵消分录!T40</f>
        <v>0</v>
      </c>
      <c r="AT54" s="1096">
        <f>合并调整抵消分录!U40</f>
        <v>0</v>
      </c>
      <c r="AU54" s="1096">
        <f t="shared" si="49"/>
        <v>0</v>
      </c>
      <c r="AV54" s="1092" t="e">
        <f>VLOOKUP(A54,合并资产负债表!$A$6:$C$87,3,0)</f>
        <v>#N/A</v>
      </c>
      <c r="AW54" s="1098" t="e">
        <f t="shared" si="23"/>
        <v>#N/A</v>
      </c>
    </row>
    <row r="55" s="1018" customFormat="1" customHeight="1" spans="1:49">
      <c r="A55" s="1091" t="s">
        <v>271</v>
      </c>
      <c r="B55" s="1100">
        <f>VLOOKUP(A55,快速BS新!A$6:C$212,3,0)</f>
        <v>0</v>
      </c>
      <c r="C55" s="1093">
        <f>VLOOKUP(A55,新材料BS新!$A$4:$D$191,3,0)</f>
        <v>0</v>
      </c>
      <c r="D55" s="1093">
        <f>VLOOKUP(A55,精铸BS新!$A$6:$C$86,3,0)</f>
        <v>0</v>
      </c>
      <c r="E55" s="1093">
        <f>VLOOKUP(A55,热等静压BS新!$A$6:$C$86,3,0)</f>
        <v>0</v>
      </c>
      <c r="F55" s="1095"/>
      <c r="G55" s="1093"/>
      <c r="H55" s="1096">
        <f t="shared" si="40"/>
        <v>0</v>
      </c>
      <c r="I55" s="1097">
        <f>合并调整抵消分录!E41</f>
        <v>0</v>
      </c>
      <c r="J55" s="1097">
        <f>合并调整抵消分录!F41</f>
        <v>0</v>
      </c>
      <c r="K55" s="1096">
        <f t="shared" si="41"/>
        <v>0</v>
      </c>
      <c r="L55" s="1093">
        <v>0</v>
      </c>
      <c r="M55" s="1093">
        <v>0</v>
      </c>
      <c r="N55" s="1093">
        <v>0</v>
      </c>
      <c r="O55" s="1093">
        <v>0</v>
      </c>
      <c r="P55" s="1093"/>
      <c r="Q55" s="1093"/>
      <c r="R55" s="1096">
        <f t="shared" si="42"/>
        <v>0</v>
      </c>
      <c r="S55" s="1096">
        <v>0</v>
      </c>
      <c r="T55" s="1096">
        <v>0</v>
      </c>
      <c r="U55" s="1096">
        <f t="shared" si="43"/>
        <v>0</v>
      </c>
      <c r="V55" s="1097">
        <v>309667.73</v>
      </c>
      <c r="W55" s="1097">
        <v>1181400.95</v>
      </c>
      <c r="X55" s="1097">
        <v>0</v>
      </c>
      <c r="Y55" s="1097"/>
      <c r="Z55" s="1097"/>
      <c r="AA55" s="1097"/>
      <c r="AB55" s="1096">
        <f t="shared" si="44"/>
        <v>1491068.68</v>
      </c>
      <c r="AC55" s="1096">
        <f>合并调整抵消分录!N41</f>
        <v>0</v>
      </c>
      <c r="AD55" s="1096">
        <f>合并调整抵消分录!O41</f>
        <v>0</v>
      </c>
      <c r="AE55" s="1096">
        <f t="shared" si="45"/>
        <v>1491068.68</v>
      </c>
      <c r="AF55" s="1097"/>
      <c r="AG55" s="1097"/>
      <c r="AH55" s="1097"/>
      <c r="AI55" s="1097"/>
      <c r="AJ55" s="1097"/>
      <c r="AK55" s="1097"/>
      <c r="AL55" s="1096">
        <f t="shared" si="46"/>
        <v>0</v>
      </c>
      <c r="AM55" s="1096">
        <f>合并调整抵消分录!Q41</f>
        <v>0</v>
      </c>
      <c r="AN55" s="1096">
        <f>合并调整抵消分录!R41</f>
        <v>0</v>
      </c>
      <c r="AO55" s="1096">
        <f t="shared" si="47"/>
        <v>0</v>
      </c>
      <c r="AP55" s="1097"/>
      <c r="AQ55" s="1097"/>
      <c r="AR55" s="1096">
        <f t="shared" si="48"/>
        <v>0</v>
      </c>
      <c r="AS55" s="1096">
        <f>合并调整抵消分录!T41</f>
        <v>0</v>
      </c>
      <c r="AT55" s="1096">
        <f>合并调整抵消分录!U41</f>
        <v>0</v>
      </c>
      <c r="AU55" s="1096">
        <f t="shared" si="49"/>
        <v>0</v>
      </c>
      <c r="AV55" s="1092" t="e">
        <f>VLOOKUP(A55,合并资产负债表!$A$6:$C$87,3,0)</f>
        <v>#N/A</v>
      </c>
      <c r="AW55" s="1098" t="e">
        <f t="shared" si="23"/>
        <v>#N/A</v>
      </c>
    </row>
    <row r="56" s="1018" customFormat="1" customHeight="1" spans="1:49">
      <c r="A56" s="1102" t="s">
        <v>720</v>
      </c>
      <c r="B56" s="1103">
        <f>SUM(B32:B39,B44:B55)</f>
        <v>376676882.16</v>
      </c>
      <c r="C56" s="1096">
        <f t="shared" ref="B56:AU56" si="50">SUM(C32:C39,C44:C55)</f>
        <v>136629979.39</v>
      </c>
      <c r="D56" s="1096">
        <f t="shared" si="50"/>
        <v>2958781.83</v>
      </c>
      <c r="E56" s="1104">
        <f t="shared" si="50"/>
        <v>1360812.31</v>
      </c>
      <c r="F56" s="1104">
        <f t="shared" si="50"/>
        <v>0</v>
      </c>
      <c r="G56" s="1096">
        <f t="shared" si="50"/>
        <v>0</v>
      </c>
      <c r="H56" s="1096">
        <f t="shared" si="50"/>
        <v>517626455.69</v>
      </c>
      <c r="I56" s="1097">
        <f t="shared" si="50"/>
        <v>-8448008.23</v>
      </c>
      <c r="J56" s="1097">
        <f t="shared" si="50"/>
        <v>247937608.08</v>
      </c>
      <c r="K56" s="1096">
        <f t="shared" si="50"/>
        <v>261240839.38</v>
      </c>
      <c r="L56" s="1096">
        <v>357834007.95</v>
      </c>
      <c r="M56" s="1096">
        <v>145175941.22</v>
      </c>
      <c r="N56" s="1096">
        <v>2681520</v>
      </c>
      <c r="O56" s="1096">
        <v>2709930.2</v>
      </c>
      <c r="P56" s="1096">
        <f t="shared" si="50"/>
        <v>0</v>
      </c>
      <c r="Q56" s="1096">
        <f t="shared" si="50"/>
        <v>0</v>
      </c>
      <c r="R56" s="1096">
        <f t="shared" si="50"/>
        <v>508401399.37</v>
      </c>
      <c r="S56" s="1096">
        <v>-3880319.89</v>
      </c>
      <c r="T56" s="1096">
        <v>251736970.02</v>
      </c>
      <c r="U56" s="1096">
        <f t="shared" si="50"/>
        <v>252784109.46</v>
      </c>
      <c r="V56" s="1096">
        <v>196326710.54</v>
      </c>
      <c r="W56" s="1096">
        <v>8445928.48</v>
      </c>
      <c r="X56" s="1096">
        <v>6202511.15</v>
      </c>
      <c r="Y56" s="1096">
        <f t="shared" si="50"/>
        <v>0</v>
      </c>
      <c r="Z56" s="1096">
        <f t="shared" si="50"/>
        <v>0</v>
      </c>
      <c r="AA56" s="1096">
        <f t="shared" si="50"/>
        <v>0</v>
      </c>
      <c r="AB56" s="1096">
        <f t="shared" si="50"/>
        <v>210975150.17</v>
      </c>
      <c r="AC56" s="1096">
        <f t="shared" si="50"/>
        <v>7697581.1</v>
      </c>
      <c r="AD56" s="1096">
        <f t="shared" si="50"/>
        <v>35385058.25</v>
      </c>
      <c r="AE56" s="1096">
        <f t="shared" si="50"/>
        <v>183287673.02</v>
      </c>
      <c r="AF56" s="1096">
        <f t="shared" si="50"/>
        <v>0</v>
      </c>
      <c r="AG56" s="1096">
        <f t="shared" si="50"/>
        <v>0</v>
      </c>
      <c r="AH56" s="1096">
        <f t="shared" si="50"/>
        <v>0</v>
      </c>
      <c r="AI56" s="1096">
        <f t="shared" si="50"/>
        <v>0</v>
      </c>
      <c r="AJ56" s="1096">
        <f t="shared" si="50"/>
        <v>0</v>
      </c>
      <c r="AK56" s="1096">
        <f t="shared" si="50"/>
        <v>0</v>
      </c>
      <c r="AL56" s="1096">
        <f t="shared" si="50"/>
        <v>0</v>
      </c>
      <c r="AM56" s="1096">
        <f t="shared" si="50"/>
        <v>0</v>
      </c>
      <c r="AN56" s="1096">
        <f t="shared" si="50"/>
        <v>0</v>
      </c>
      <c r="AO56" s="1096">
        <f t="shared" si="50"/>
        <v>0</v>
      </c>
      <c r="AP56" s="1096">
        <f t="shared" si="50"/>
        <v>0</v>
      </c>
      <c r="AQ56" s="1096">
        <f t="shared" si="50"/>
        <v>0</v>
      </c>
      <c r="AR56" s="1096">
        <f t="shared" si="50"/>
        <v>0</v>
      </c>
      <c r="AS56" s="1096">
        <f t="shared" si="50"/>
        <v>0</v>
      </c>
      <c r="AT56" s="1096">
        <f t="shared" si="50"/>
        <v>0</v>
      </c>
      <c r="AU56" s="1096">
        <f t="shared" si="50"/>
        <v>0</v>
      </c>
      <c r="AV56" s="1092">
        <f>VLOOKUP(A56,合并资产负债表!$A$6:$C$87,3,0)</f>
        <v>190655886.62</v>
      </c>
      <c r="AW56" s="1098">
        <f t="shared" si="23"/>
        <v>70584952.7599999</v>
      </c>
    </row>
    <row r="57" s="1018" customFormat="1" customHeight="1" spans="1:49">
      <c r="A57" s="1102" t="s">
        <v>188</v>
      </c>
      <c r="B57" s="1103">
        <f t="shared" ref="B57:AU57" si="51">B30+B56</f>
        <v>488774329.39</v>
      </c>
      <c r="C57" s="1096">
        <f t="shared" si="51"/>
        <v>369480309.15</v>
      </c>
      <c r="D57" s="1096">
        <f t="shared" si="51"/>
        <v>21966622.35</v>
      </c>
      <c r="E57" s="1104">
        <f t="shared" si="51"/>
        <v>26563924.7</v>
      </c>
      <c r="F57" s="1104">
        <f t="shared" si="51"/>
        <v>0</v>
      </c>
      <c r="G57" s="1096">
        <f t="shared" si="51"/>
        <v>0</v>
      </c>
      <c r="H57" s="1096">
        <f t="shared" si="51"/>
        <v>906785185.59</v>
      </c>
      <c r="I57" s="1097">
        <f t="shared" si="51"/>
        <v>-8448008.23</v>
      </c>
      <c r="J57" s="1097">
        <f t="shared" si="51"/>
        <v>331682019</v>
      </c>
      <c r="K57" s="1096">
        <f t="shared" si="51"/>
        <v>566655158.36</v>
      </c>
      <c r="L57" s="1096">
        <v>455073769.65</v>
      </c>
      <c r="M57" s="1096">
        <v>330709464.74</v>
      </c>
      <c r="N57" s="1096">
        <v>19393150.49</v>
      </c>
      <c r="O57" s="1096">
        <v>25265540.9</v>
      </c>
      <c r="P57" s="1096">
        <f t="shared" si="51"/>
        <v>0</v>
      </c>
      <c r="Q57" s="1096">
        <f t="shared" si="51"/>
        <v>0</v>
      </c>
      <c r="R57" s="1096">
        <f t="shared" si="51"/>
        <v>830441925.78</v>
      </c>
      <c r="S57" s="1096">
        <v>-3880319.89</v>
      </c>
      <c r="T57" s="1096">
        <v>315196521.28</v>
      </c>
      <c r="U57" s="1096">
        <f t="shared" si="51"/>
        <v>511365084.61</v>
      </c>
      <c r="V57" s="1096">
        <v>335392072.04</v>
      </c>
      <c r="W57" s="1096">
        <v>21154003.2</v>
      </c>
      <c r="X57" s="1096">
        <v>17425101.04</v>
      </c>
      <c r="Y57" s="1096">
        <f t="shared" si="51"/>
        <v>0</v>
      </c>
      <c r="Z57" s="1096">
        <f t="shared" si="51"/>
        <v>0</v>
      </c>
      <c r="AA57" s="1096">
        <f t="shared" si="51"/>
        <v>0</v>
      </c>
      <c r="AB57" s="1096">
        <f t="shared" si="51"/>
        <v>373971176.28</v>
      </c>
      <c r="AC57" s="1096">
        <f t="shared" si="51"/>
        <v>7697581.1</v>
      </c>
      <c r="AD57" s="1096">
        <f t="shared" si="51"/>
        <v>41821904.5</v>
      </c>
      <c r="AE57" s="1096">
        <f t="shared" si="51"/>
        <v>339846852.88</v>
      </c>
      <c r="AF57" s="1096">
        <f t="shared" si="51"/>
        <v>0</v>
      </c>
      <c r="AG57" s="1096">
        <f t="shared" si="51"/>
        <v>0</v>
      </c>
      <c r="AH57" s="1096">
        <f t="shared" si="51"/>
        <v>0</v>
      </c>
      <c r="AI57" s="1096">
        <f t="shared" si="51"/>
        <v>0</v>
      </c>
      <c r="AJ57" s="1096">
        <f t="shared" si="51"/>
        <v>0</v>
      </c>
      <c r="AK57" s="1096">
        <f t="shared" si="51"/>
        <v>0</v>
      </c>
      <c r="AL57" s="1096">
        <f t="shared" si="51"/>
        <v>0</v>
      </c>
      <c r="AM57" s="1096">
        <f t="shared" si="51"/>
        <v>0</v>
      </c>
      <c r="AN57" s="1096">
        <f t="shared" si="51"/>
        <v>0</v>
      </c>
      <c r="AO57" s="1096">
        <f t="shared" si="51"/>
        <v>0</v>
      </c>
      <c r="AP57" s="1096">
        <f t="shared" si="51"/>
        <v>0</v>
      </c>
      <c r="AQ57" s="1096">
        <f t="shared" si="51"/>
        <v>0</v>
      </c>
      <c r="AR57" s="1096">
        <f t="shared" si="51"/>
        <v>0</v>
      </c>
      <c r="AS57" s="1096">
        <f t="shared" si="51"/>
        <v>0</v>
      </c>
      <c r="AT57" s="1096">
        <f t="shared" si="51"/>
        <v>0</v>
      </c>
      <c r="AU57" s="1096">
        <f t="shared" si="51"/>
        <v>0</v>
      </c>
      <c r="AV57" s="1092">
        <f>VLOOKUP(A57,合并资产负债表!$A$6:$C$87,3,0)</f>
        <v>359268375.5</v>
      </c>
      <c r="AW57" s="1098">
        <f t="shared" si="23"/>
        <v>207386782.86</v>
      </c>
    </row>
    <row r="58" customHeight="1" spans="1:49">
      <c r="A58"/>
      <c r="B58" s="1109">
        <f>B57-快速BS新!C54</f>
        <v>0</v>
      </c>
      <c r="C58" s="833">
        <f>C57-新材料BS新!C50</f>
        <v>0</v>
      </c>
      <c r="D58" s="833">
        <f>D57-精铸BS新!C54</f>
        <v>0</v>
      </c>
      <c r="E58" s="1110">
        <f>E57-热等静压BS新!C51</f>
        <v>0</v>
      </c>
      <c r="F58" s="1110"/>
      <c r="G58"/>
      <c r="H58" s="822">
        <f>H57-H118</f>
        <v>0</v>
      </c>
      <c r="I58" s="833"/>
      <c r="J58"/>
      <c r="K58" s="822">
        <f>K57-K118</f>
        <v>0.00326788425445557</v>
      </c>
      <c r="L58"/>
      <c r="M58"/>
      <c r="N58"/>
      <c r="O58"/>
      <c r="P58"/>
      <c r="Q58"/>
      <c r="R58" s="1111">
        <f>R57-R118</f>
        <v>0</v>
      </c>
      <c r="S58"/>
      <c r="T58"/>
      <c r="U58">
        <f>U57-U118</f>
        <v>0.00219595432281494</v>
      </c>
      <c r="V58" s="820"/>
      <c r="W58" s="820"/>
      <c r="X58" s="820"/>
      <c r="Y58" s="820"/>
      <c r="Z58" s="820"/>
      <c r="AA58" s="820"/>
      <c r="AB58"/>
      <c r="AC58"/>
      <c r="AD58"/>
      <c r="AE58"/>
      <c r="AF58" s="820"/>
      <c r="AG58" s="820"/>
      <c r="AH58" s="820"/>
      <c r="AI58" s="820"/>
      <c r="AJ58" s="820"/>
      <c r="AK58" s="820"/>
      <c r="AL58"/>
      <c r="AM58"/>
      <c r="AN58"/>
      <c r="AO58"/>
      <c r="AP58" s="820"/>
      <c r="AQ58" s="820"/>
      <c r="AR58"/>
      <c r="AS58"/>
      <c r="AT58"/>
      <c r="AU58"/>
      <c r="AV58" s="1092"/>
      <c r="AW58" s="1098">
        <f t="shared" si="23"/>
        <v>0.00326788425445557</v>
      </c>
    </row>
    <row r="59" ht="24.95" customHeight="1" spans="1:49">
      <c r="A59" s="1033" t="s">
        <v>721</v>
      </c>
      <c r="B59" s="1034"/>
      <c r="C59" s="1035"/>
      <c r="D59" s="1035"/>
      <c r="E59" s="1036"/>
      <c r="F59" s="1036"/>
      <c r="G59" s="1033"/>
      <c r="H59" s="1033"/>
      <c r="I59" s="1033"/>
      <c r="J59" s="1033"/>
      <c r="K59" s="1033"/>
      <c r="L59" s="1033"/>
      <c r="M59" s="1033"/>
      <c r="N59" s="1033"/>
      <c r="O59" s="1033"/>
      <c r="P59" s="1033"/>
      <c r="Q59" s="1033"/>
      <c r="R59" s="1033"/>
      <c r="S59" s="1033"/>
      <c r="T59" s="1033"/>
      <c r="U59" s="1033"/>
      <c r="V59" s="1033"/>
      <c r="W59" s="1033"/>
      <c r="X59" s="1033"/>
      <c r="Y59" s="1033"/>
      <c r="Z59" s="1033"/>
      <c r="AA59" s="1033"/>
      <c r="AB59" s="1033"/>
      <c r="AC59" s="1033"/>
      <c r="AD59" s="1033"/>
      <c r="AE59" s="1033"/>
      <c r="AF59" s="1033"/>
      <c r="AG59" s="1033"/>
      <c r="AH59" s="1033"/>
      <c r="AI59" s="1033"/>
      <c r="AJ59" s="1033"/>
      <c r="AK59" s="1033"/>
      <c r="AL59" s="1033"/>
      <c r="AM59" s="1033"/>
      <c r="AN59" s="1033"/>
      <c r="AO59" s="1033"/>
      <c r="AP59" s="1033"/>
      <c r="AQ59" s="1033"/>
      <c r="AR59" s="1033"/>
      <c r="AS59" s="1033"/>
      <c r="AT59" s="1033"/>
      <c r="AU59" s="1033"/>
      <c r="AV59" s="1092"/>
      <c r="AW59" s="1098">
        <f t="shared" si="23"/>
        <v>0</v>
      </c>
    </row>
    <row r="60" s="1018" customFormat="1" customHeight="1" spans="1:49">
      <c r="A60" s="1037" t="str">
        <f>A5</f>
        <v>编制单位：飞而康快速制造科技有限责任公司</v>
      </c>
      <c r="B60" s="1038"/>
      <c r="C60" s="1039"/>
      <c r="D60" s="1039"/>
      <c r="E60" s="1040"/>
      <c r="F60" s="1040"/>
      <c r="G60" s="1041"/>
      <c r="H60" s="1041"/>
      <c r="I60" s="1041"/>
      <c r="J60" s="1041"/>
      <c r="K60" s="1041"/>
      <c r="L60" s="1041"/>
      <c r="M60" s="1041"/>
      <c r="N60" s="1041"/>
      <c r="O60" s="1041"/>
      <c r="P60" s="1041"/>
      <c r="Q60" s="1041"/>
      <c r="R60" s="1041"/>
      <c r="S60" s="1041"/>
      <c r="T60" s="1041"/>
      <c r="U60" s="1041"/>
      <c r="V60" s="1045"/>
      <c r="W60" s="1045"/>
      <c r="X60" s="1045"/>
      <c r="Y60" s="1045"/>
      <c r="Z60" s="1045"/>
      <c r="AA60" s="1045"/>
      <c r="AB60" s="1041"/>
      <c r="AC60" s="1041"/>
      <c r="AD60" s="1041"/>
      <c r="AE60" s="1041"/>
      <c r="AF60" s="1045"/>
      <c r="AG60" s="1045"/>
      <c r="AH60" s="1045"/>
      <c r="AI60" s="1045"/>
      <c r="AJ60" s="1045"/>
      <c r="AK60" s="1045"/>
      <c r="AL60" s="1041"/>
      <c r="AM60" s="1041"/>
      <c r="AN60" s="1041"/>
      <c r="AO60" s="1112" t="str">
        <f>AO5</f>
        <v>金额：人民币元</v>
      </c>
      <c r="AP60" s="1045"/>
      <c r="AQ60" s="1045"/>
      <c r="AR60" s="1041"/>
      <c r="AS60" s="1041"/>
      <c r="AT60" s="1041"/>
      <c r="AU60" s="1112" t="str">
        <f>AU5</f>
        <v>金额：人民币元</v>
      </c>
      <c r="AV60" s="1092"/>
      <c r="AW60" s="1098">
        <f t="shared" si="23"/>
        <v>0</v>
      </c>
    </row>
    <row r="61" s="1018" customFormat="1" customHeight="1" spans="1:49">
      <c r="A61" s="1049" t="s">
        <v>284</v>
      </c>
      <c r="B61" s="1060">
        <f>B6</f>
        <v>45991</v>
      </c>
      <c r="C61" s="1061"/>
      <c r="D61" s="1061"/>
      <c r="E61" s="1061"/>
      <c r="F61" s="1061"/>
      <c r="G61" s="1061"/>
      <c r="H61" s="1062"/>
      <c r="I61" s="1063" t="s">
        <v>699</v>
      </c>
      <c r="J61" s="1063"/>
      <c r="K61" s="1071">
        <f>B61</f>
        <v>45991</v>
      </c>
      <c r="L61" s="1060">
        <f>L6</f>
        <v>45657</v>
      </c>
      <c r="M61" s="1061"/>
      <c r="N61" s="1061"/>
      <c r="O61" s="1061"/>
      <c r="P61" s="1061"/>
      <c r="Q61" s="1061"/>
      <c r="R61" s="1062"/>
      <c r="S61" s="1063" t="s">
        <v>699</v>
      </c>
      <c r="T61" s="1063"/>
      <c r="U61" s="1071">
        <f>L61</f>
        <v>45657</v>
      </c>
      <c r="V61" s="1060">
        <f>V6</f>
        <v>45291</v>
      </c>
      <c r="W61" s="1061"/>
      <c r="X61" s="1061"/>
      <c r="Y61" s="1061"/>
      <c r="Z61" s="1061"/>
      <c r="AA61" s="1061"/>
      <c r="AB61" s="1062"/>
      <c r="AC61" s="1063" t="s">
        <v>699</v>
      </c>
      <c r="AD61" s="1063"/>
      <c r="AE61" s="1071">
        <f>V61</f>
        <v>45291</v>
      </c>
      <c r="AF61" s="1060">
        <f>AF6</f>
        <v>0</v>
      </c>
      <c r="AG61" s="1061"/>
      <c r="AH61" s="1061"/>
      <c r="AI61" s="1061"/>
      <c r="AJ61" s="1061"/>
      <c r="AK61" s="1061"/>
      <c r="AL61" s="1062"/>
      <c r="AM61" s="1083" t="s">
        <v>700</v>
      </c>
      <c r="AN61" s="1063"/>
      <c r="AO61" s="1071">
        <f>AF61</f>
        <v>0</v>
      </c>
      <c r="AP61" s="1060">
        <f>AP6</f>
        <v>41639</v>
      </c>
      <c r="AQ61" s="1061"/>
      <c r="AR61" s="1062"/>
      <c r="AS61" s="1069" t="s">
        <v>700</v>
      </c>
      <c r="AT61" s="1070"/>
      <c r="AU61" s="1071">
        <f>AP61</f>
        <v>41639</v>
      </c>
      <c r="AV61" s="1092"/>
      <c r="AW61" s="1098">
        <f t="shared" si="23"/>
        <v>45991</v>
      </c>
    </row>
    <row r="62" s="1018" customFormat="1" customHeight="1" spans="1:49">
      <c r="A62" s="1073"/>
      <c r="B62" s="1113" t="str">
        <f>B7</f>
        <v>母公司</v>
      </c>
      <c r="C62" s="1114" t="str">
        <f t="shared" ref="C62:H62" si="52">C7</f>
        <v>飞而康新材料</v>
      </c>
      <c r="D62" s="1114" t="str">
        <f t="shared" si="52"/>
        <v>飞而康精铸</v>
      </c>
      <c r="E62" s="1115" t="str">
        <f t="shared" si="52"/>
        <v>飞而康热等静压</v>
      </c>
      <c r="F62" s="1115">
        <f t="shared" si="52"/>
        <v>0</v>
      </c>
      <c r="G62" s="1083">
        <f t="shared" si="52"/>
        <v>0</v>
      </c>
      <c r="H62" s="1083" t="str">
        <f t="shared" si="52"/>
        <v>汇总数</v>
      </c>
      <c r="I62" s="1083" t="s">
        <v>702</v>
      </c>
      <c r="J62" s="1083" t="s">
        <v>703</v>
      </c>
      <c r="K62" s="1063" t="s">
        <v>722</v>
      </c>
      <c r="L62" s="1083" t="str">
        <f>L7</f>
        <v>母公司</v>
      </c>
      <c r="M62" s="1083" t="str">
        <f t="shared" ref="M62:R62" si="53">M7</f>
        <v>飞而康新材料</v>
      </c>
      <c r="N62" s="1083" t="str">
        <f t="shared" si="53"/>
        <v>飞而康精铸</v>
      </c>
      <c r="O62" s="1083" t="str">
        <f t="shared" si="53"/>
        <v>飞而康热等静压</v>
      </c>
      <c r="P62" s="1083">
        <f t="shared" si="53"/>
        <v>0</v>
      </c>
      <c r="Q62" s="1083">
        <f t="shared" si="53"/>
        <v>0</v>
      </c>
      <c r="R62" s="1083" t="str">
        <f t="shared" si="53"/>
        <v>汇总数</v>
      </c>
      <c r="S62" s="1083" t="s">
        <v>702</v>
      </c>
      <c r="T62" s="1083" t="s">
        <v>703</v>
      </c>
      <c r="U62" s="1063" t="s">
        <v>722</v>
      </c>
      <c r="V62" s="1116" t="str">
        <f>V7</f>
        <v>母公司</v>
      </c>
      <c r="W62" s="1116" t="str">
        <f t="shared" ref="W62:AB62" si="54">W7</f>
        <v>飞而康新材料</v>
      </c>
      <c r="X62" s="1116" t="str">
        <f t="shared" si="54"/>
        <v>飞而康精铸</v>
      </c>
      <c r="Y62" s="1116" t="str">
        <f t="shared" si="54"/>
        <v>飞而康热等静压</v>
      </c>
      <c r="Z62" s="1116">
        <f t="shared" si="54"/>
        <v>0</v>
      </c>
      <c r="AA62" s="1116">
        <f t="shared" si="54"/>
        <v>0</v>
      </c>
      <c r="AB62" s="1083" t="str">
        <f t="shared" si="54"/>
        <v>汇总数</v>
      </c>
      <c r="AC62" s="1083" t="s">
        <v>702</v>
      </c>
      <c r="AD62" s="1083" t="s">
        <v>703</v>
      </c>
      <c r="AE62" s="1063" t="s">
        <v>722</v>
      </c>
      <c r="AF62" s="1116" t="str">
        <f>AF7</f>
        <v>母公司</v>
      </c>
      <c r="AG62" s="1116" t="str">
        <f t="shared" ref="AG62:AL62" si="55">AG7</f>
        <v>飞而康新材料</v>
      </c>
      <c r="AH62" s="1116" t="str">
        <f t="shared" si="55"/>
        <v>飞而康精铸</v>
      </c>
      <c r="AI62" s="1116" t="str">
        <f t="shared" si="55"/>
        <v>飞而康热等静压</v>
      </c>
      <c r="AJ62" s="1116">
        <f t="shared" si="55"/>
        <v>0</v>
      </c>
      <c r="AK62" s="1116">
        <f t="shared" si="55"/>
        <v>0</v>
      </c>
      <c r="AL62" s="1083" t="str">
        <f t="shared" si="55"/>
        <v>汇总数</v>
      </c>
      <c r="AM62" s="1083" t="s">
        <v>702</v>
      </c>
      <c r="AN62" s="1083" t="s">
        <v>703</v>
      </c>
      <c r="AO62" s="1063" t="s">
        <v>722</v>
      </c>
      <c r="AP62" s="1116" t="str">
        <f>AP7</f>
        <v>母公司</v>
      </c>
      <c r="AQ62" s="1116" t="str">
        <f>AQ7</f>
        <v>飞而康新材料</v>
      </c>
      <c r="AR62" s="1083" t="str">
        <f>AR7</f>
        <v>汇总数</v>
      </c>
      <c r="AS62" s="1083" t="s">
        <v>702</v>
      </c>
      <c r="AT62" s="1083" t="s">
        <v>703</v>
      </c>
      <c r="AU62" s="1063" t="s">
        <v>722</v>
      </c>
      <c r="AV62" s="1092"/>
      <c r="AW62" s="1098" t="e">
        <f t="shared" si="23"/>
        <v>#VALUE!</v>
      </c>
    </row>
    <row r="63" s="1018" customFormat="1" customHeight="1" spans="1:49">
      <c r="A63" s="1086" t="s">
        <v>723</v>
      </c>
      <c r="B63" s="1087"/>
      <c r="C63" s="1088"/>
      <c r="D63" s="1088"/>
      <c r="E63" s="1089"/>
      <c r="F63" s="1089"/>
      <c r="G63" s="1117"/>
      <c r="H63" s="1117"/>
      <c r="I63" s="1117"/>
      <c r="J63" s="1117"/>
      <c r="K63" s="1117"/>
      <c r="L63" s="1117"/>
      <c r="M63" s="1117"/>
      <c r="N63" s="1117"/>
      <c r="O63" s="1087"/>
      <c r="P63" s="1117"/>
      <c r="Q63" s="1117"/>
      <c r="R63" s="1117"/>
      <c r="S63" s="1117"/>
      <c r="T63" s="1117"/>
      <c r="U63" s="1117"/>
      <c r="V63" s="1118"/>
      <c r="W63" s="1118"/>
      <c r="X63" s="1118"/>
      <c r="Y63" s="1118"/>
      <c r="Z63" s="1118"/>
      <c r="AA63" s="1118"/>
      <c r="AB63" s="1117"/>
      <c r="AC63" s="1117"/>
      <c r="AD63" s="1117"/>
      <c r="AE63" s="1117"/>
      <c r="AF63" s="1118"/>
      <c r="AG63" s="1118"/>
      <c r="AH63" s="1090"/>
      <c r="AI63" s="1118"/>
      <c r="AJ63" s="1118"/>
      <c r="AK63" s="1118"/>
      <c r="AL63" s="1117"/>
      <c r="AM63" s="1117"/>
      <c r="AN63" s="1117"/>
      <c r="AO63" s="1117"/>
      <c r="AP63" s="1118"/>
      <c r="AQ63" s="1118"/>
      <c r="AR63" s="1117"/>
      <c r="AS63" s="1117"/>
      <c r="AT63" s="1117"/>
      <c r="AU63" s="1117"/>
      <c r="AV63" s="1092"/>
      <c r="AW63" s="1098">
        <f t="shared" si="23"/>
        <v>0</v>
      </c>
    </row>
    <row r="64" s="1018" customFormat="1" customHeight="1" spans="1:49">
      <c r="A64" s="391" t="s">
        <v>200</v>
      </c>
      <c r="B64" s="1100">
        <f>VLOOKUP(A64,快速BS新!A$6:C$212,3,0)</f>
        <v>81680000</v>
      </c>
      <c r="C64" s="1093">
        <f>VLOOKUP(A64,新材料BS新!$A$4:$D$191,3,0)</f>
        <v>28000000</v>
      </c>
      <c r="D64" s="1093">
        <f>VLOOKUP(A64,精铸BS新!$A$6:$C$86,3,0)</f>
        <v>6872069.19</v>
      </c>
      <c r="E64" s="1093">
        <f>VLOOKUP(A64,热等静压BS新!$A$6:$C$86,3,0)</f>
        <v>0</v>
      </c>
      <c r="F64" s="1095"/>
      <c r="G64" s="1093"/>
      <c r="H64" s="1096">
        <f t="shared" ref="H64:H87" si="56">SUM(B64:G64)</f>
        <v>116552069.19</v>
      </c>
      <c r="I64" s="1096">
        <f>合并调整抵消分录!E42</f>
        <v>0</v>
      </c>
      <c r="J64" s="1096">
        <f>合并调整抵消分录!F42</f>
        <v>0</v>
      </c>
      <c r="K64" s="1096">
        <f>H64-I64+J64</f>
        <v>116552069.19</v>
      </c>
      <c r="L64" s="1097">
        <v>71680000</v>
      </c>
      <c r="M64" s="1097">
        <v>25000000</v>
      </c>
      <c r="N64" s="1097">
        <v>6000000</v>
      </c>
      <c r="O64" s="1087">
        <v>0</v>
      </c>
      <c r="P64" s="1093"/>
      <c r="Q64" s="1093"/>
      <c r="R64" s="1096">
        <f t="shared" ref="R64:R87" si="57">SUM(L64:Q64)</f>
        <v>102680000</v>
      </c>
      <c r="S64" s="1096">
        <v>0</v>
      </c>
      <c r="T64" s="1096">
        <v>0</v>
      </c>
      <c r="U64" s="1096">
        <f>R64-S64+T64</f>
        <v>102680000</v>
      </c>
      <c r="V64" s="1097">
        <v>40000000</v>
      </c>
      <c r="W64" s="1097">
        <v>0</v>
      </c>
      <c r="X64" s="1097">
        <v>0</v>
      </c>
      <c r="Y64" s="1097"/>
      <c r="Z64" s="1097"/>
      <c r="AA64" s="1097"/>
      <c r="AB64" s="1096">
        <f t="shared" ref="AB64:AB87" si="58">SUM(V64:AA64)</f>
        <v>40000000</v>
      </c>
      <c r="AC64" s="1096">
        <f>合并调整抵消分录!N42</f>
        <v>0</v>
      </c>
      <c r="AD64" s="1096">
        <f>合并调整抵消分录!O42</f>
        <v>0</v>
      </c>
      <c r="AE64" s="1096">
        <f>AB64-AC64+AD64</f>
        <v>40000000</v>
      </c>
      <c r="AF64" s="1097"/>
      <c r="AG64" s="1097"/>
      <c r="AH64" s="1090"/>
      <c r="AI64" s="1097"/>
      <c r="AJ64" s="1097"/>
      <c r="AK64" s="1097"/>
      <c r="AL64" s="1096">
        <f t="shared" ref="AL64:AL87" si="59">SUM(AF64:AK64)</f>
        <v>0</v>
      </c>
      <c r="AM64" s="1096">
        <f>合并调整抵消分录!Q42</f>
        <v>0</v>
      </c>
      <c r="AN64" s="1096">
        <f>合并调整抵消分录!R42</f>
        <v>0</v>
      </c>
      <c r="AO64" s="1096">
        <f>AL64-AM64+AN64</f>
        <v>0</v>
      </c>
      <c r="AP64" s="1097"/>
      <c r="AQ64" s="1097"/>
      <c r="AR64" s="1096">
        <f t="shared" ref="AR64:AR87" si="60">SUM(AP64:AQ64)</f>
        <v>0</v>
      </c>
      <c r="AS64" s="1096">
        <f>合并调整抵消分录!T42</f>
        <v>0</v>
      </c>
      <c r="AT64" s="1096">
        <f>合并调整抵消分录!U42</f>
        <v>0</v>
      </c>
      <c r="AU64" s="1096">
        <f>AR64-AS64+AT64</f>
        <v>0</v>
      </c>
      <c r="AV64" s="1092" t="e">
        <f>VLOOKUP(A64,合并资产负债表!$A$6:$C$87,3,0)</f>
        <v>#N/A</v>
      </c>
      <c r="AW64" s="1098" t="e">
        <f t="shared" si="23"/>
        <v>#N/A</v>
      </c>
    </row>
    <row r="65" s="1018" customFormat="1" customHeight="1" spans="1:49">
      <c r="A65" s="1091" t="s">
        <v>724</v>
      </c>
      <c r="B65" s="1092"/>
      <c r="C65" s="1093"/>
      <c r="D65" s="1093"/>
      <c r="E65" s="1094"/>
      <c r="F65" s="1095"/>
      <c r="G65" s="1093"/>
      <c r="H65" s="1096">
        <f t="shared" si="56"/>
        <v>0</v>
      </c>
      <c r="I65" s="1096">
        <f>合并调整抵消分录!E43</f>
        <v>0</v>
      </c>
      <c r="J65" s="1096">
        <f>合并调整抵消分录!F43</f>
        <v>0</v>
      </c>
      <c r="K65" s="1096">
        <f t="shared" ref="K65:K87" si="61">H65-I65+J65</f>
        <v>0</v>
      </c>
      <c r="L65" s="1097"/>
      <c r="M65" s="1097"/>
      <c r="N65" s="1097"/>
      <c r="O65" s="1087"/>
      <c r="P65" s="1093"/>
      <c r="Q65" s="1093"/>
      <c r="R65" s="1096">
        <f t="shared" si="57"/>
        <v>0</v>
      </c>
      <c r="S65" s="1096">
        <v>0</v>
      </c>
      <c r="T65" s="1096">
        <v>0</v>
      </c>
      <c r="U65" s="1096">
        <f t="shared" ref="U65:U87" si="62">R65-S65+T65</f>
        <v>0</v>
      </c>
      <c r="V65" s="1097">
        <v>0</v>
      </c>
      <c r="W65" s="1097">
        <v>0</v>
      </c>
      <c r="X65" s="1097">
        <v>0</v>
      </c>
      <c r="Y65" s="1097"/>
      <c r="Z65" s="1097"/>
      <c r="AA65" s="1097"/>
      <c r="AB65" s="1096">
        <f t="shared" si="58"/>
        <v>0</v>
      </c>
      <c r="AC65" s="1096">
        <f>合并调整抵消分录!N43</f>
        <v>0</v>
      </c>
      <c r="AD65" s="1096">
        <f>合并调整抵消分录!O43</f>
        <v>0</v>
      </c>
      <c r="AE65" s="1096">
        <f t="shared" ref="AE65:AE87" si="63">AB65-AC65+AD65</f>
        <v>0</v>
      </c>
      <c r="AF65" s="1097"/>
      <c r="AG65" s="1097"/>
      <c r="AH65" s="1090"/>
      <c r="AI65" s="1097"/>
      <c r="AJ65" s="1097"/>
      <c r="AK65" s="1097"/>
      <c r="AL65" s="1096">
        <f t="shared" si="59"/>
        <v>0</v>
      </c>
      <c r="AM65" s="1096">
        <f>合并调整抵消分录!Q43</f>
        <v>0</v>
      </c>
      <c r="AN65" s="1096">
        <f>合并调整抵消分录!R43</f>
        <v>0</v>
      </c>
      <c r="AO65" s="1096">
        <f t="shared" ref="AO65:AO87" si="64">AL65-AM65+AN65</f>
        <v>0</v>
      </c>
      <c r="AP65" s="1097"/>
      <c r="AQ65" s="1097"/>
      <c r="AR65" s="1096">
        <f t="shared" si="60"/>
        <v>0</v>
      </c>
      <c r="AS65" s="1096">
        <f>合并调整抵消分录!T43</f>
        <v>0</v>
      </c>
      <c r="AT65" s="1096">
        <f>合并调整抵消分录!U43</f>
        <v>0</v>
      </c>
      <c r="AU65" s="1096">
        <f t="shared" ref="AU65:AU87" si="65">AR65-AS65+AT65</f>
        <v>0</v>
      </c>
      <c r="AV65" s="1092"/>
      <c r="AW65" s="1098">
        <f t="shared" si="23"/>
        <v>0</v>
      </c>
    </row>
    <row r="66" s="1018" customFormat="1" customHeight="1" spans="1:49">
      <c r="A66" s="1091" t="s">
        <v>725</v>
      </c>
      <c r="B66" s="1092"/>
      <c r="C66" s="1093"/>
      <c r="D66" s="1093"/>
      <c r="E66" s="1094"/>
      <c r="F66" s="1095"/>
      <c r="G66" s="1093"/>
      <c r="H66" s="1096">
        <f t="shared" si="56"/>
        <v>0</v>
      </c>
      <c r="I66" s="1096">
        <f>合并调整抵消分录!E44</f>
        <v>0</v>
      </c>
      <c r="J66" s="1096">
        <f>合并调整抵消分录!F44</f>
        <v>0</v>
      </c>
      <c r="K66" s="1096">
        <f t="shared" si="61"/>
        <v>0</v>
      </c>
      <c r="L66" s="1097"/>
      <c r="M66" s="1097"/>
      <c r="N66" s="1097"/>
      <c r="O66" s="1087"/>
      <c r="P66" s="1093"/>
      <c r="Q66" s="1093"/>
      <c r="R66" s="1096">
        <f t="shared" si="57"/>
        <v>0</v>
      </c>
      <c r="S66" s="1096">
        <v>0</v>
      </c>
      <c r="T66" s="1096">
        <v>0</v>
      </c>
      <c r="U66" s="1096">
        <f t="shared" si="62"/>
        <v>0</v>
      </c>
      <c r="V66" s="1097">
        <v>0</v>
      </c>
      <c r="W66" s="1097">
        <v>0</v>
      </c>
      <c r="X66" s="1097">
        <v>0</v>
      </c>
      <c r="Y66" s="1097"/>
      <c r="Z66" s="1097"/>
      <c r="AA66" s="1097"/>
      <c r="AB66" s="1096">
        <f t="shared" si="58"/>
        <v>0</v>
      </c>
      <c r="AC66" s="1096">
        <f>合并调整抵消分录!N44</f>
        <v>0</v>
      </c>
      <c r="AD66" s="1096">
        <f>合并调整抵消分录!O44</f>
        <v>0</v>
      </c>
      <c r="AE66" s="1096">
        <f t="shared" si="63"/>
        <v>0</v>
      </c>
      <c r="AF66" s="1097"/>
      <c r="AG66" s="1097"/>
      <c r="AH66" s="1090"/>
      <c r="AI66" s="1097"/>
      <c r="AJ66" s="1097"/>
      <c r="AK66" s="1097"/>
      <c r="AL66" s="1096">
        <f t="shared" si="59"/>
        <v>0</v>
      </c>
      <c r="AM66" s="1096">
        <f>合并调整抵消分录!Q44</f>
        <v>0</v>
      </c>
      <c r="AN66" s="1096">
        <f>合并调整抵消分录!R44</f>
        <v>0</v>
      </c>
      <c r="AO66" s="1096">
        <f t="shared" si="64"/>
        <v>0</v>
      </c>
      <c r="AP66" s="1097"/>
      <c r="AQ66" s="1097"/>
      <c r="AR66" s="1096">
        <f t="shared" si="60"/>
        <v>0</v>
      </c>
      <c r="AS66" s="1096">
        <f>合并调整抵消分录!T44</f>
        <v>0</v>
      </c>
      <c r="AT66" s="1096">
        <f>合并调整抵消分录!U44</f>
        <v>0</v>
      </c>
      <c r="AU66" s="1096">
        <f t="shared" si="65"/>
        <v>0</v>
      </c>
      <c r="AV66" s="1092"/>
      <c r="AW66" s="1098">
        <f t="shared" si="23"/>
        <v>0</v>
      </c>
    </row>
    <row r="67" s="1018" customFormat="1" customHeight="1" spans="1:49">
      <c r="A67" s="391" t="s">
        <v>202</v>
      </c>
      <c r="B67" s="1100">
        <f>VLOOKUP(A67,快速BS新!A$6:C$212,3,0)</f>
        <v>0</v>
      </c>
      <c r="C67" s="1093">
        <f>VLOOKUP(A67,新材料BS新!$A$4:$D$191,3,0)</f>
        <v>0</v>
      </c>
      <c r="D67" s="1093">
        <f>VLOOKUP(A67,精铸BS新!$A$6:$C$86,3,0)</f>
        <v>0</v>
      </c>
      <c r="E67" s="1093">
        <f>VLOOKUP(A67,热等静压BS新!$A$6:$C$86,3,0)</f>
        <v>0</v>
      </c>
      <c r="F67" s="1095"/>
      <c r="G67" s="1093"/>
      <c r="H67" s="1096">
        <f t="shared" si="56"/>
        <v>0</v>
      </c>
      <c r="I67" s="1096">
        <f>合并调整抵消分录!E45</f>
        <v>0</v>
      </c>
      <c r="J67" s="1096">
        <f>合并调整抵消分录!F45</f>
        <v>0</v>
      </c>
      <c r="K67" s="1096">
        <f t="shared" si="61"/>
        <v>0</v>
      </c>
      <c r="L67" s="1097">
        <v>0</v>
      </c>
      <c r="M67" s="1097">
        <v>0</v>
      </c>
      <c r="N67" s="1097">
        <v>0</v>
      </c>
      <c r="O67" s="1087">
        <v>0</v>
      </c>
      <c r="P67" s="1093"/>
      <c r="Q67" s="1093"/>
      <c r="R67" s="1096">
        <f t="shared" si="57"/>
        <v>0</v>
      </c>
      <c r="S67" s="1096">
        <v>0</v>
      </c>
      <c r="T67" s="1096">
        <v>0</v>
      </c>
      <c r="U67" s="1096">
        <f t="shared" si="62"/>
        <v>0</v>
      </c>
      <c r="V67" s="1097">
        <v>0</v>
      </c>
      <c r="W67" s="1097">
        <v>0</v>
      </c>
      <c r="X67" s="1097">
        <v>0</v>
      </c>
      <c r="Y67" s="1097"/>
      <c r="Z67" s="1097"/>
      <c r="AA67" s="1097"/>
      <c r="AB67" s="1096">
        <f t="shared" si="58"/>
        <v>0</v>
      </c>
      <c r="AC67" s="1096">
        <f>合并调整抵消分录!N45</f>
        <v>0</v>
      </c>
      <c r="AD67" s="1096">
        <f>合并调整抵消分录!O45</f>
        <v>0</v>
      </c>
      <c r="AE67" s="1096">
        <f t="shared" si="63"/>
        <v>0</v>
      </c>
      <c r="AF67" s="1097"/>
      <c r="AG67" s="1097"/>
      <c r="AH67" s="1090"/>
      <c r="AI67" s="1097"/>
      <c r="AJ67" s="1097"/>
      <c r="AK67" s="1097"/>
      <c r="AL67" s="1096">
        <f t="shared" si="59"/>
        <v>0</v>
      </c>
      <c r="AM67" s="1096">
        <f>合并调整抵消分录!Q45</f>
        <v>0</v>
      </c>
      <c r="AN67" s="1096">
        <f>合并调整抵消分录!R45</f>
        <v>0</v>
      </c>
      <c r="AO67" s="1096">
        <f t="shared" si="64"/>
        <v>0</v>
      </c>
      <c r="AP67" s="1097"/>
      <c r="AQ67" s="1097"/>
      <c r="AR67" s="1096">
        <f t="shared" si="60"/>
        <v>0</v>
      </c>
      <c r="AS67" s="1096">
        <f>合并调整抵消分录!T45</f>
        <v>0</v>
      </c>
      <c r="AT67" s="1096">
        <f>合并调整抵消分录!U45</f>
        <v>0</v>
      </c>
      <c r="AU67" s="1096">
        <f t="shared" si="65"/>
        <v>0</v>
      </c>
      <c r="AV67" s="1092"/>
      <c r="AW67" s="1098">
        <f t="shared" si="23"/>
        <v>0</v>
      </c>
    </row>
    <row r="68" s="1018" customFormat="1" customHeight="1" spans="1:49">
      <c r="A68" s="1091" t="s">
        <v>726</v>
      </c>
      <c r="B68" s="1092"/>
      <c r="C68" s="1093"/>
      <c r="D68" s="1093"/>
      <c r="E68" s="1094"/>
      <c r="F68" s="1095"/>
      <c r="G68" s="1093"/>
      <c r="H68" s="1096">
        <f t="shared" si="56"/>
        <v>0</v>
      </c>
      <c r="I68" s="1096">
        <f>合并调整抵消分录!E46</f>
        <v>0</v>
      </c>
      <c r="J68" s="1096">
        <f>合并调整抵消分录!F46</f>
        <v>0</v>
      </c>
      <c r="K68" s="1096">
        <f t="shared" si="61"/>
        <v>0</v>
      </c>
      <c r="L68" s="1097"/>
      <c r="M68" s="1097"/>
      <c r="N68" s="1097"/>
      <c r="O68" s="1087"/>
      <c r="P68" s="1093"/>
      <c r="Q68" s="1093"/>
      <c r="R68" s="1096">
        <f t="shared" si="57"/>
        <v>0</v>
      </c>
      <c r="S68" s="1096">
        <v>0</v>
      </c>
      <c r="T68" s="1096">
        <v>0</v>
      </c>
      <c r="U68" s="1096">
        <f t="shared" si="62"/>
        <v>0</v>
      </c>
      <c r="V68" s="1097">
        <v>0</v>
      </c>
      <c r="W68" s="1097">
        <v>0</v>
      </c>
      <c r="X68" s="1097">
        <v>0</v>
      </c>
      <c r="Y68" s="1097"/>
      <c r="Z68" s="1097"/>
      <c r="AA68" s="1097"/>
      <c r="AB68" s="1096">
        <f t="shared" si="58"/>
        <v>0</v>
      </c>
      <c r="AC68" s="1096">
        <f>合并调整抵消分录!N46</f>
        <v>0</v>
      </c>
      <c r="AD68" s="1096">
        <f>合并调整抵消分录!O46</f>
        <v>0</v>
      </c>
      <c r="AE68" s="1096">
        <f t="shared" si="63"/>
        <v>0</v>
      </c>
      <c r="AF68" s="1097"/>
      <c r="AG68" s="1097"/>
      <c r="AH68" s="1090"/>
      <c r="AI68" s="1097"/>
      <c r="AJ68" s="1097"/>
      <c r="AK68" s="1097"/>
      <c r="AL68" s="1096">
        <f t="shared" si="59"/>
        <v>0</v>
      </c>
      <c r="AM68" s="1096">
        <f>合并调整抵消分录!Q46</f>
        <v>0</v>
      </c>
      <c r="AN68" s="1096">
        <f>合并调整抵消分录!R46</f>
        <v>0</v>
      </c>
      <c r="AO68" s="1096">
        <f t="shared" si="64"/>
        <v>0</v>
      </c>
      <c r="AP68" s="1097"/>
      <c r="AQ68" s="1097"/>
      <c r="AR68" s="1096">
        <f t="shared" si="60"/>
        <v>0</v>
      </c>
      <c r="AS68" s="1096">
        <f>合并调整抵消分录!T46</f>
        <v>0</v>
      </c>
      <c r="AT68" s="1096">
        <f>合并调整抵消分录!U46</f>
        <v>0</v>
      </c>
      <c r="AU68" s="1096">
        <f t="shared" si="65"/>
        <v>0</v>
      </c>
      <c r="AV68" s="1092"/>
      <c r="AW68" s="1098">
        <f t="shared" si="23"/>
        <v>0</v>
      </c>
    </row>
    <row r="69" s="1018" customFormat="1" customHeight="1" spans="1:49">
      <c r="A69" s="1091" t="s">
        <v>727</v>
      </c>
      <c r="B69" s="1092"/>
      <c r="C69" s="1093"/>
      <c r="D69" s="1093"/>
      <c r="E69" s="1094"/>
      <c r="F69" s="1095"/>
      <c r="G69" s="1093"/>
      <c r="H69" s="1096">
        <f t="shared" si="56"/>
        <v>0</v>
      </c>
      <c r="I69" s="1096">
        <f>合并调整抵消分录!E47</f>
        <v>0</v>
      </c>
      <c r="J69" s="1096">
        <f>合并调整抵消分录!F47</f>
        <v>0</v>
      </c>
      <c r="K69" s="1096">
        <f t="shared" si="61"/>
        <v>0</v>
      </c>
      <c r="L69" s="1097"/>
      <c r="M69" s="1097"/>
      <c r="N69" s="1097"/>
      <c r="O69" s="1087"/>
      <c r="P69" s="1093"/>
      <c r="Q69" s="1093"/>
      <c r="R69" s="1096">
        <f t="shared" si="57"/>
        <v>0</v>
      </c>
      <c r="S69" s="1096">
        <v>0</v>
      </c>
      <c r="T69" s="1096">
        <v>0</v>
      </c>
      <c r="U69" s="1096">
        <f t="shared" si="62"/>
        <v>0</v>
      </c>
      <c r="V69" s="1097">
        <v>0</v>
      </c>
      <c r="W69" s="1097">
        <v>0</v>
      </c>
      <c r="X69" s="1097">
        <v>0</v>
      </c>
      <c r="Y69" s="1097"/>
      <c r="Z69" s="1097"/>
      <c r="AA69" s="1097"/>
      <c r="AB69" s="1096">
        <f t="shared" si="58"/>
        <v>0</v>
      </c>
      <c r="AC69" s="1096">
        <f>合并调整抵消分录!N47</f>
        <v>0</v>
      </c>
      <c r="AD69" s="1096">
        <f>合并调整抵消分录!O47</f>
        <v>0</v>
      </c>
      <c r="AE69" s="1096">
        <f t="shared" si="63"/>
        <v>0</v>
      </c>
      <c r="AF69" s="1097"/>
      <c r="AG69" s="1097"/>
      <c r="AH69" s="1090"/>
      <c r="AI69" s="1097"/>
      <c r="AJ69" s="1097"/>
      <c r="AK69" s="1097"/>
      <c r="AL69" s="1096">
        <f t="shared" si="59"/>
        <v>0</v>
      </c>
      <c r="AM69" s="1096">
        <f>合并调整抵消分录!Q47</f>
        <v>0</v>
      </c>
      <c r="AN69" s="1096">
        <f>合并调整抵消分录!R47</f>
        <v>0</v>
      </c>
      <c r="AO69" s="1096">
        <f t="shared" si="64"/>
        <v>0</v>
      </c>
      <c r="AP69" s="1097"/>
      <c r="AQ69" s="1097"/>
      <c r="AR69" s="1096">
        <f t="shared" si="60"/>
        <v>0</v>
      </c>
      <c r="AS69" s="1096">
        <f>合并调整抵消分录!T47</f>
        <v>0</v>
      </c>
      <c r="AT69" s="1096">
        <f>合并调整抵消分录!U47</f>
        <v>0</v>
      </c>
      <c r="AU69" s="1096">
        <f t="shared" si="65"/>
        <v>0</v>
      </c>
      <c r="AV69" s="1092"/>
      <c r="AW69" s="1098">
        <f t="shared" si="23"/>
        <v>0</v>
      </c>
    </row>
    <row r="70" s="1018" customFormat="1" customHeight="1" spans="1:49">
      <c r="A70" s="1101" t="s">
        <v>204</v>
      </c>
      <c r="B70" s="1100">
        <f>VLOOKUP(A70,快速BS新!A$6:C$212,3,0)</f>
        <v>1128557.48</v>
      </c>
      <c r="C70" s="1093">
        <f>VLOOKUP(A70,新材料BS新!$A$4:$D$191,3,0)</f>
        <v>0</v>
      </c>
      <c r="D70" s="1093">
        <f>VLOOKUP(A70,精铸BS新!$A$6:$C$86,3,0)</f>
        <v>0</v>
      </c>
      <c r="E70" s="1093">
        <f>VLOOKUP(A70,热等静压BS新!$A$6:$C$86,3,0)</f>
        <v>0</v>
      </c>
      <c r="F70" s="1095"/>
      <c r="G70" s="1093"/>
      <c r="H70" s="1096">
        <f t="shared" si="56"/>
        <v>1128557.48</v>
      </c>
      <c r="I70" s="1096">
        <f>合并调整抵消分录!E48</f>
        <v>0</v>
      </c>
      <c r="J70" s="1096">
        <f>合并调整抵消分录!F48</f>
        <v>0</v>
      </c>
      <c r="K70" s="1096">
        <f t="shared" si="61"/>
        <v>1128557.48</v>
      </c>
      <c r="L70" s="1097">
        <v>0</v>
      </c>
      <c r="M70" s="1097">
        <v>0</v>
      </c>
      <c r="N70" s="1097">
        <v>0</v>
      </c>
      <c r="O70" s="1087">
        <v>0</v>
      </c>
      <c r="P70" s="1093"/>
      <c r="Q70" s="1093"/>
      <c r="R70" s="1096">
        <f t="shared" si="57"/>
        <v>0</v>
      </c>
      <c r="S70" s="1096">
        <v>0</v>
      </c>
      <c r="T70" s="1096">
        <v>0</v>
      </c>
      <c r="U70" s="1096">
        <f t="shared" si="62"/>
        <v>0</v>
      </c>
      <c r="V70" s="1097">
        <v>0</v>
      </c>
      <c r="W70" s="1097">
        <v>0</v>
      </c>
      <c r="X70" s="1097">
        <v>0</v>
      </c>
      <c r="Y70" s="1097"/>
      <c r="Z70" s="1097"/>
      <c r="AA70" s="1097"/>
      <c r="AB70" s="1096">
        <f t="shared" si="58"/>
        <v>0</v>
      </c>
      <c r="AC70" s="1096">
        <f>合并调整抵消分录!N48</f>
        <v>0</v>
      </c>
      <c r="AD70" s="1096">
        <f>合并调整抵消分录!O48</f>
        <v>0</v>
      </c>
      <c r="AE70" s="1096">
        <f t="shared" si="63"/>
        <v>0</v>
      </c>
      <c r="AF70" s="1097"/>
      <c r="AG70" s="1097"/>
      <c r="AH70" s="1090"/>
      <c r="AI70" s="1097"/>
      <c r="AJ70" s="1097"/>
      <c r="AK70" s="1097"/>
      <c r="AL70" s="1096">
        <f t="shared" si="59"/>
        <v>0</v>
      </c>
      <c r="AM70" s="1096">
        <f>合并调整抵消分录!Q48</f>
        <v>0</v>
      </c>
      <c r="AN70" s="1096">
        <f>合并调整抵消分录!R48</f>
        <v>0</v>
      </c>
      <c r="AO70" s="1096">
        <f t="shared" si="64"/>
        <v>0</v>
      </c>
      <c r="AP70" s="1097"/>
      <c r="AQ70" s="1097"/>
      <c r="AR70" s="1096">
        <f t="shared" si="60"/>
        <v>0</v>
      </c>
      <c r="AS70" s="1096">
        <f>合并调整抵消分录!T48</f>
        <v>0</v>
      </c>
      <c r="AT70" s="1096">
        <f>合并调整抵消分录!U48</f>
        <v>0</v>
      </c>
      <c r="AU70" s="1096">
        <f t="shared" si="65"/>
        <v>0</v>
      </c>
      <c r="AV70" s="1092" t="e">
        <f>VLOOKUP(A70,合并资产负债表!$A$6:$C$87,3,0)</f>
        <v>#N/A</v>
      </c>
      <c r="AW70" s="1098" t="e">
        <f t="shared" si="23"/>
        <v>#N/A</v>
      </c>
    </row>
    <row r="71" s="1018" customFormat="1" customHeight="1" spans="1:49">
      <c r="A71" s="1101" t="s">
        <v>206</v>
      </c>
      <c r="B71" s="1100">
        <f>VLOOKUP(A71,快速BS新!A$6:C$212,3,0)</f>
        <v>99797183.19</v>
      </c>
      <c r="C71" s="1093">
        <f>VLOOKUP(A71,新材料BS新!$A$4:$D$191,3,0)</f>
        <v>112022264.05</v>
      </c>
      <c r="D71" s="1093">
        <f>VLOOKUP(A71,精铸BS新!$A$6:$C$86,3,0)</f>
        <v>6099688.6</v>
      </c>
      <c r="E71" s="1093">
        <f>VLOOKUP(A71,热等静压BS新!$A$6:$C$86,3,0)</f>
        <v>15578154.64</v>
      </c>
      <c r="F71" s="1095"/>
      <c r="G71" s="1093"/>
      <c r="H71" s="1096">
        <f t="shared" si="56"/>
        <v>233497290.48</v>
      </c>
      <c r="I71" s="1096">
        <f>合并调整抵消分录!E49</f>
        <v>84166416.88</v>
      </c>
      <c r="J71" s="1096">
        <f>合并调整抵消分录!F49</f>
        <v>0</v>
      </c>
      <c r="K71" s="1096">
        <f t="shared" si="61"/>
        <v>149330873.6</v>
      </c>
      <c r="L71" s="1097">
        <v>103479763.64</v>
      </c>
      <c r="M71" s="1097">
        <v>69251153.36</v>
      </c>
      <c r="N71" s="1097">
        <v>3993067.4</v>
      </c>
      <c r="O71" s="1087">
        <v>14821460.13</v>
      </c>
      <c r="P71" s="1093"/>
      <c r="Q71" s="1093"/>
      <c r="R71" s="1096">
        <f t="shared" si="57"/>
        <v>191545444.53</v>
      </c>
      <c r="S71" s="1096">
        <v>63078608.77</v>
      </c>
      <c r="T71" s="1096">
        <v>0</v>
      </c>
      <c r="U71" s="1096">
        <f t="shared" si="62"/>
        <v>128466835.76</v>
      </c>
      <c r="V71" s="1097">
        <v>43708665.66</v>
      </c>
      <c r="W71" s="1097">
        <v>4618775.37</v>
      </c>
      <c r="X71" s="1097">
        <v>1299478.81</v>
      </c>
      <c r="Y71" s="1097"/>
      <c r="Z71" s="1097"/>
      <c r="AA71" s="1097"/>
      <c r="AB71" s="1096">
        <f t="shared" si="58"/>
        <v>49626919.84</v>
      </c>
      <c r="AC71" s="1096">
        <f>合并调整抵消分录!N49</f>
        <v>5028788.13</v>
      </c>
      <c r="AD71" s="1096">
        <f>合并调整抵消分录!O49</f>
        <v>0</v>
      </c>
      <c r="AE71" s="1096">
        <f t="shared" si="63"/>
        <v>44598131.71</v>
      </c>
      <c r="AF71" s="1097"/>
      <c r="AG71" s="1097"/>
      <c r="AH71" s="1090"/>
      <c r="AI71" s="1097"/>
      <c r="AJ71" s="1097"/>
      <c r="AK71" s="1097"/>
      <c r="AL71" s="1096">
        <f t="shared" si="59"/>
        <v>0</v>
      </c>
      <c r="AM71" s="1096">
        <f>合并调整抵消分录!Q49</f>
        <v>0</v>
      </c>
      <c r="AN71" s="1096">
        <f>合并调整抵消分录!R49</f>
        <v>0</v>
      </c>
      <c r="AO71" s="1096">
        <f t="shared" si="64"/>
        <v>0</v>
      </c>
      <c r="AP71" s="1097"/>
      <c r="AQ71" s="1097"/>
      <c r="AR71" s="1096">
        <f t="shared" si="60"/>
        <v>0</v>
      </c>
      <c r="AS71" s="1096">
        <f>合并调整抵消分录!T49</f>
        <v>0</v>
      </c>
      <c r="AT71" s="1096">
        <f>合并调整抵消分录!U49</f>
        <v>0</v>
      </c>
      <c r="AU71" s="1096">
        <f t="shared" si="65"/>
        <v>0</v>
      </c>
      <c r="AV71" s="1092" t="e">
        <f>VLOOKUP(A71,合并资产负债表!$A$6:$C$87,3,0)</f>
        <v>#N/A</v>
      </c>
      <c r="AW71" s="1098" t="e">
        <f t="shared" si="23"/>
        <v>#N/A</v>
      </c>
    </row>
    <row r="72" s="1018" customFormat="1" customHeight="1" spans="1:49">
      <c r="A72" s="1101" t="s">
        <v>208</v>
      </c>
      <c r="B72" s="1100">
        <f>VLOOKUP(A72,快速BS新!A$6:C$212,3,0)</f>
        <v>2852509.12</v>
      </c>
      <c r="C72" s="1093">
        <f>VLOOKUP(A72,新材料BS新!$A$4:$D$191,3,0)</f>
        <v>336613.72</v>
      </c>
      <c r="D72" s="1093">
        <f>VLOOKUP(A72,精铸BS新!$A$6:$C$86,3,0)</f>
        <v>17730</v>
      </c>
      <c r="E72" s="1093">
        <f>VLOOKUP(A72,热等静压BS新!$A$6:$C$86,3,0)</f>
        <v>303641.02</v>
      </c>
      <c r="F72" s="1095"/>
      <c r="G72" s="1093"/>
      <c r="H72" s="1096">
        <f t="shared" si="56"/>
        <v>3510493.86</v>
      </c>
      <c r="I72" s="1096">
        <f>合并调整抵消分录!E50</f>
        <v>0</v>
      </c>
      <c r="J72" s="1096">
        <f>合并调整抵消分录!F50</f>
        <v>0</v>
      </c>
      <c r="K72" s="1096">
        <f t="shared" si="61"/>
        <v>3510493.86</v>
      </c>
      <c r="L72" s="1097">
        <v>4378884.12</v>
      </c>
      <c r="M72" s="1097">
        <v>248395.32</v>
      </c>
      <c r="N72" s="1097">
        <v>11100</v>
      </c>
      <c r="O72" s="1087">
        <v>579551.02</v>
      </c>
      <c r="P72" s="1093"/>
      <c r="Q72" s="1093"/>
      <c r="R72" s="1096">
        <f t="shared" si="57"/>
        <v>5217930.46</v>
      </c>
      <c r="S72" s="1096">
        <v>0</v>
      </c>
      <c r="T72" s="1096">
        <v>0</v>
      </c>
      <c r="U72" s="1096">
        <f t="shared" si="62"/>
        <v>5217930.46</v>
      </c>
      <c r="V72" s="1097">
        <v>237853.35</v>
      </c>
      <c r="W72" s="1097">
        <v>280652</v>
      </c>
      <c r="X72" s="1097">
        <v>1482338.61</v>
      </c>
      <c r="Y72" s="1097"/>
      <c r="Z72" s="1097"/>
      <c r="AA72" s="1097"/>
      <c r="AB72" s="1096">
        <f t="shared" si="58"/>
        <v>2000843.96</v>
      </c>
      <c r="AC72" s="1096">
        <f>合并调整抵消分录!N50</f>
        <v>0</v>
      </c>
      <c r="AD72" s="1096">
        <f>合并调整抵消分录!O50</f>
        <v>0</v>
      </c>
      <c r="AE72" s="1096">
        <f t="shared" si="63"/>
        <v>2000843.96</v>
      </c>
      <c r="AF72" s="1097"/>
      <c r="AG72" s="1097"/>
      <c r="AH72" s="1090"/>
      <c r="AI72" s="1097"/>
      <c r="AJ72" s="1097"/>
      <c r="AK72" s="1097"/>
      <c r="AL72" s="1096">
        <f t="shared" si="59"/>
        <v>0</v>
      </c>
      <c r="AM72" s="1096">
        <f>合并调整抵消分录!Q50</f>
        <v>0</v>
      </c>
      <c r="AN72" s="1096">
        <f>合并调整抵消分录!R50</f>
        <v>0</v>
      </c>
      <c r="AO72" s="1096">
        <f t="shared" si="64"/>
        <v>0</v>
      </c>
      <c r="AP72" s="1097"/>
      <c r="AQ72" s="1097"/>
      <c r="AR72" s="1096">
        <f t="shared" si="60"/>
        <v>0</v>
      </c>
      <c r="AS72" s="1096">
        <f>合并调整抵消分录!T50</f>
        <v>0</v>
      </c>
      <c r="AT72" s="1096">
        <f>合并调整抵消分录!U50</f>
        <v>0</v>
      </c>
      <c r="AU72" s="1096">
        <f t="shared" si="65"/>
        <v>0</v>
      </c>
      <c r="AV72" s="1092" t="e">
        <f>VLOOKUP(A72,合并资产负债表!$A$6:$C$87,3,0)</f>
        <v>#N/A</v>
      </c>
      <c r="AW72" s="1098" t="e">
        <f t="shared" si="23"/>
        <v>#N/A</v>
      </c>
    </row>
    <row r="73" s="1018" customFormat="1" customHeight="1" spans="1:49">
      <c r="A73" s="1101" t="s">
        <v>210</v>
      </c>
      <c r="B73" s="1100">
        <f>VLOOKUP(A73,快速BS新!A$6:C$212,3,0)</f>
        <v>795634.24</v>
      </c>
      <c r="C73" s="1093">
        <f>VLOOKUP(A73,新材料BS新!$A$4:$D$191,3,0)</f>
        <v>3872910.75</v>
      </c>
      <c r="D73" s="1093">
        <f>VLOOKUP(A73,精铸BS新!$A$6:$C$86,3,0)</f>
        <v>176978.65</v>
      </c>
      <c r="E73" s="1093">
        <f>VLOOKUP(A73,热等静压BS新!$A$6:$C$86,3,0)</f>
        <v>0</v>
      </c>
      <c r="F73" s="1095"/>
      <c r="G73" s="1093"/>
      <c r="H73" s="1096">
        <f t="shared" si="56"/>
        <v>4845523.64</v>
      </c>
      <c r="I73" s="1096"/>
      <c r="J73" s="1096">
        <f>合并调整抵消分录!F168</f>
        <v>443894.34</v>
      </c>
      <c r="K73" s="1096">
        <f t="shared" si="61"/>
        <v>5289417.98</v>
      </c>
      <c r="L73" s="1097">
        <v>0</v>
      </c>
      <c r="M73" s="1097">
        <v>4281052.26</v>
      </c>
      <c r="N73" s="1097">
        <v>167155.64</v>
      </c>
      <c r="O73" s="1087">
        <v>0</v>
      </c>
      <c r="P73" s="1093"/>
      <c r="Q73" s="1093"/>
      <c r="R73" s="1096">
        <f t="shared" si="57"/>
        <v>4448207.9</v>
      </c>
      <c r="S73" s="1096"/>
      <c r="T73" s="1096">
        <v>0</v>
      </c>
      <c r="U73" s="1096">
        <f t="shared" si="62"/>
        <v>4448207.9</v>
      </c>
      <c r="V73" s="1097"/>
      <c r="W73" s="1097"/>
      <c r="X73" s="1097"/>
      <c r="Y73" s="1097"/>
      <c r="Z73" s="1097"/>
      <c r="AA73" s="1097"/>
      <c r="AB73" s="1096"/>
      <c r="AC73" s="1096"/>
      <c r="AD73" s="1096"/>
      <c r="AE73" s="1096"/>
      <c r="AF73" s="1097"/>
      <c r="AG73" s="1097"/>
      <c r="AH73" s="1090"/>
      <c r="AI73" s="1097"/>
      <c r="AJ73" s="1097"/>
      <c r="AK73" s="1097"/>
      <c r="AL73" s="1096"/>
      <c r="AM73" s="1096"/>
      <c r="AN73" s="1096"/>
      <c r="AO73" s="1096"/>
      <c r="AP73" s="1097"/>
      <c r="AQ73" s="1097"/>
      <c r="AR73" s="1096"/>
      <c r="AS73" s="1096"/>
      <c r="AT73" s="1096"/>
      <c r="AU73" s="1096"/>
      <c r="AV73" s="1092"/>
      <c r="AW73" s="1098"/>
    </row>
    <row r="74" s="1018" customFormat="1" customHeight="1" spans="1:49">
      <c r="A74" s="1091" t="s">
        <v>728</v>
      </c>
      <c r="B74" s="1092"/>
      <c r="C74" s="1093"/>
      <c r="D74" s="1093"/>
      <c r="E74" s="1094"/>
      <c r="F74" s="1095"/>
      <c r="G74" s="1093"/>
      <c r="H74" s="1096">
        <f t="shared" si="56"/>
        <v>0</v>
      </c>
      <c r="I74" s="1096">
        <f>合并调整抵消分录!E51</f>
        <v>0</v>
      </c>
      <c r="J74" s="1096">
        <f>合并调整抵消分录!F51</f>
        <v>0</v>
      </c>
      <c r="K74" s="1096">
        <f t="shared" si="61"/>
        <v>0</v>
      </c>
      <c r="L74" s="1097"/>
      <c r="M74" s="1097"/>
      <c r="N74" s="1097"/>
      <c r="O74" s="1087"/>
      <c r="P74" s="1093"/>
      <c r="Q74" s="1093"/>
      <c r="R74" s="1096">
        <f t="shared" si="57"/>
        <v>0</v>
      </c>
      <c r="S74" s="1096">
        <v>0</v>
      </c>
      <c r="T74" s="1096">
        <v>0</v>
      </c>
      <c r="U74" s="1096">
        <f t="shared" si="62"/>
        <v>0</v>
      </c>
      <c r="V74" s="1097">
        <v>0</v>
      </c>
      <c r="W74" s="1097">
        <v>0</v>
      </c>
      <c r="X74" s="1097">
        <v>0</v>
      </c>
      <c r="Y74" s="1097"/>
      <c r="Z74" s="1097"/>
      <c r="AA74" s="1097"/>
      <c r="AB74" s="1096">
        <f t="shared" si="58"/>
        <v>0</v>
      </c>
      <c r="AC74" s="1096">
        <f>合并调整抵消分录!N51</f>
        <v>0</v>
      </c>
      <c r="AD74" s="1096">
        <f>合并调整抵消分录!O51</f>
        <v>0</v>
      </c>
      <c r="AE74" s="1096">
        <f t="shared" si="63"/>
        <v>0</v>
      </c>
      <c r="AF74" s="1097"/>
      <c r="AG74" s="1097"/>
      <c r="AH74" s="1090"/>
      <c r="AI74" s="1097"/>
      <c r="AJ74" s="1097"/>
      <c r="AK74" s="1097"/>
      <c r="AL74" s="1096">
        <f t="shared" si="59"/>
        <v>0</v>
      </c>
      <c r="AM74" s="1096">
        <f>合并调整抵消分录!Q51</f>
        <v>0</v>
      </c>
      <c r="AN74" s="1096">
        <f>合并调整抵消分录!R51</f>
        <v>0</v>
      </c>
      <c r="AO74" s="1096">
        <f t="shared" si="64"/>
        <v>0</v>
      </c>
      <c r="AP74" s="1097"/>
      <c r="AQ74" s="1097"/>
      <c r="AR74" s="1096">
        <f t="shared" si="60"/>
        <v>0</v>
      </c>
      <c r="AS74" s="1096">
        <f>合并调整抵消分录!T51</f>
        <v>0</v>
      </c>
      <c r="AT74" s="1096">
        <f>合并调整抵消分录!U51</f>
        <v>0</v>
      </c>
      <c r="AU74" s="1096">
        <f t="shared" si="65"/>
        <v>0</v>
      </c>
      <c r="AV74" s="1092"/>
      <c r="AW74" s="1098">
        <f t="shared" si="23"/>
        <v>0</v>
      </c>
    </row>
    <row r="75" s="1018" customFormat="1" customHeight="1" spans="1:49">
      <c r="A75" s="1091" t="s">
        <v>729</v>
      </c>
      <c r="B75" s="1092"/>
      <c r="C75" s="1093"/>
      <c r="D75" s="1093"/>
      <c r="E75" s="1094"/>
      <c r="F75" s="1095"/>
      <c r="G75" s="1093"/>
      <c r="H75" s="1096">
        <f t="shared" si="56"/>
        <v>0</v>
      </c>
      <c r="I75" s="1096">
        <f>合并调整抵消分录!E52</f>
        <v>0</v>
      </c>
      <c r="J75" s="1096">
        <f>合并调整抵消分录!F52</f>
        <v>0</v>
      </c>
      <c r="K75" s="1096">
        <f t="shared" si="61"/>
        <v>0</v>
      </c>
      <c r="L75" s="1097"/>
      <c r="M75" s="1097"/>
      <c r="N75" s="1097"/>
      <c r="O75" s="1087"/>
      <c r="P75" s="1093"/>
      <c r="Q75" s="1093"/>
      <c r="R75" s="1096">
        <f t="shared" si="57"/>
        <v>0</v>
      </c>
      <c r="S75" s="1096">
        <v>0</v>
      </c>
      <c r="T75" s="1096">
        <v>0</v>
      </c>
      <c r="U75" s="1096">
        <f t="shared" si="62"/>
        <v>0</v>
      </c>
      <c r="V75" s="1097">
        <v>0</v>
      </c>
      <c r="W75" s="1097">
        <v>0</v>
      </c>
      <c r="X75" s="1097">
        <v>0</v>
      </c>
      <c r="Y75" s="1097"/>
      <c r="Z75" s="1097"/>
      <c r="AA75" s="1097"/>
      <c r="AB75" s="1096">
        <f t="shared" si="58"/>
        <v>0</v>
      </c>
      <c r="AC75" s="1096">
        <f>合并调整抵消分录!N52</f>
        <v>0</v>
      </c>
      <c r="AD75" s="1096">
        <f>合并调整抵消分录!O52</f>
        <v>0</v>
      </c>
      <c r="AE75" s="1096">
        <f t="shared" si="63"/>
        <v>0</v>
      </c>
      <c r="AF75" s="1097"/>
      <c r="AG75" s="1097"/>
      <c r="AH75" s="1090"/>
      <c r="AI75" s="1097"/>
      <c r="AJ75" s="1097"/>
      <c r="AK75" s="1097"/>
      <c r="AL75" s="1096">
        <f t="shared" si="59"/>
        <v>0</v>
      </c>
      <c r="AM75" s="1096">
        <f>合并调整抵消分录!Q52</f>
        <v>0</v>
      </c>
      <c r="AN75" s="1096">
        <f>合并调整抵消分录!R52</f>
        <v>0</v>
      </c>
      <c r="AO75" s="1096">
        <f t="shared" si="64"/>
        <v>0</v>
      </c>
      <c r="AP75" s="1097"/>
      <c r="AQ75" s="1097"/>
      <c r="AR75" s="1096">
        <f t="shared" si="60"/>
        <v>0</v>
      </c>
      <c r="AS75" s="1096">
        <f>合并调整抵消分录!T52</f>
        <v>0</v>
      </c>
      <c r="AT75" s="1096">
        <f>合并调整抵消分录!U52</f>
        <v>0</v>
      </c>
      <c r="AU75" s="1096">
        <f t="shared" si="65"/>
        <v>0</v>
      </c>
      <c r="AV75" s="1092"/>
      <c r="AW75" s="1098">
        <f t="shared" si="23"/>
        <v>0</v>
      </c>
    </row>
    <row r="76" s="1018" customFormat="1" customHeight="1" spans="1:49">
      <c r="A76" s="1101" t="s">
        <v>212</v>
      </c>
      <c r="B76" s="1100">
        <f>VLOOKUP(A76,快速BS新!A$6:C$212,3,0)</f>
        <v>832375.14</v>
      </c>
      <c r="C76" s="1093">
        <f>VLOOKUP(A76,新材料BS新!$A$4:$D$191,3,0)</f>
        <v>1665876.2</v>
      </c>
      <c r="D76" s="1093">
        <f>VLOOKUP(A76,精铸BS新!$A$6:$C$86,3,0)</f>
        <v>501580.68</v>
      </c>
      <c r="E76" s="1093">
        <f>VLOOKUP(A76,热等静压BS新!$A$6:$C$86,3,0)</f>
        <v>192235.89</v>
      </c>
      <c r="F76" s="1095"/>
      <c r="G76" s="1093"/>
      <c r="H76" s="1096">
        <f t="shared" si="56"/>
        <v>3192067.91</v>
      </c>
      <c r="I76" s="1096">
        <f>合并调整抵消分录!E53</f>
        <v>0</v>
      </c>
      <c r="J76" s="1096">
        <f>合并调整抵消分录!F53</f>
        <v>0</v>
      </c>
      <c r="K76" s="1096">
        <f t="shared" si="61"/>
        <v>3192067.91</v>
      </c>
      <c r="L76" s="1097">
        <v>1789823.14</v>
      </c>
      <c r="M76" s="1097">
        <v>4563905.46</v>
      </c>
      <c r="N76" s="1097">
        <v>376992.4</v>
      </c>
      <c r="O76" s="1087">
        <v>372259.01</v>
      </c>
      <c r="P76" s="1093"/>
      <c r="Q76" s="1093"/>
      <c r="R76" s="1096">
        <f t="shared" si="57"/>
        <v>7102980.01</v>
      </c>
      <c r="S76" s="1096">
        <v>0</v>
      </c>
      <c r="T76" s="1096">
        <v>0</v>
      </c>
      <c r="U76" s="1096">
        <f t="shared" si="62"/>
        <v>7102980.01</v>
      </c>
      <c r="V76" s="1097">
        <v>1347645.89</v>
      </c>
      <c r="W76" s="1097">
        <v>402231.63</v>
      </c>
      <c r="X76" s="1097">
        <v>889648.09</v>
      </c>
      <c r="Y76" s="1097"/>
      <c r="Z76" s="1097"/>
      <c r="AA76" s="1097"/>
      <c r="AB76" s="1096">
        <f t="shared" si="58"/>
        <v>2639525.61</v>
      </c>
      <c r="AC76" s="1096">
        <f>合并调整抵消分录!N53</f>
        <v>0</v>
      </c>
      <c r="AD76" s="1096">
        <f>合并调整抵消分录!O53</f>
        <v>0</v>
      </c>
      <c r="AE76" s="1096">
        <f t="shared" si="63"/>
        <v>2639525.61</v>
      </c>
      <c r="AF76" s="1097"/>
      <c r="AG76" s="1097"/>
      <c r="AH76" s="1090"/>
      <c r="AI76" s="1097"/>
      <c r="AJ76" s="1097"/>
      <c r="AK76" s="1097"/>
      <c r="AL76" s="1096">
        <f t="shared" si="59"/>
        <v>0</v>
      </c>
      <c r="AM76" s="1096">
        <f>合并调整抵消分录!Q53</f>
        <v>0</v>
      </c>
      <c r="AN76" s="1096">
        <f>合并调整抵消分录!R53</f>
        <v>0</v>
      </c>
      <c r="AO76" s="1096">
        <f t="shared" si="64"/>
        <v>0</v>
      </c>
      <c r="AP76" s="1097"/>
      <c r="AQ76" s="1097"/>
      <c r="AR76" s="1096">
        <f t="shared" si="60"/>
        <v>0</v>
      </c>
      <c r="AS76" s="1096">
        <f>合并调整抵消分录!T53</f>
        <v>0</v>
      </c>
      <c r="AT76" s="1096">
        <f>合并调整抵消分录!U53</f>
        <v>0</v>
      </c>
      <c r="AU76" s="1096">
        <f t="shared" si="65"/>
        <v>0</v>
      </c>
      <c r="AV76" s="1092" t="e">
        <f>VLOOKUP(A76,合并资产负债表!$A$6:$C$87,3,0)</f>
        <v>#N/A</v>
      </c>
      <c r="AW76" s="1098" t="e">
        <f t="shared" si="23"/>
        <v>#N/A</v>
      </c>
    </row>
    <row r="77" s="1018" customFormat="1" customHeight="1" spans="1:49">
      <c r="A77" s="1101" t="s">
        <v>214</v>
      </c>
      <c r="B77" s="1100">
        <f>VLOOKUP(A77,快速BS新!A$6:C$212,3,0)</f>
        <v>135260.06</v>
      </c>
      <c r="C77" s="1093">
        <f>VLOOKUP(A77,新材料BS新!$A$4:$D$191,3,0)</f>
        <v>625110.89</v>
      </c>
      <c r="D77" s="1093">
        <f>VLOOKUP(A77,精铸BS新!$A$6:$C$86,3,0)</f>
        <v>-22570.11</v>
      </c>
      <c r="E77" s="1093">
        <f>VLOOKUP(A77,热等静压BS新!$A$6:$C$86,3,0)</f>
        <v>297.6</v>
      </c>
      <c r="F77" s="1095">
        <f>'[11]VT北美-人民币'!$E$73</f>
        <v>0</v>
      </c>
      <c r="G77" s="1093"/>
      <c r="H77" s="1096">
        <f t="shared" si="56"/>
        <v>738098.44</v>
      </c>
      <c r="I77" s="1096">
        <f>合并调整抵消分录!E54</f>
        <v>0</v>
      </c>
      <c r="J77" s="1096">
        <f>合并调整抵消分录!F54</f>
        <v>0</v>
      </c>
      <c r="K77" s="1096">
        <f t="shared" si="61"/>
        <v>738098.44</v>
      </c>
      <c r="L77" s="1097">
        <v>1270209.94</v>
      </c>
      <c r="M77" s="1097">
        <v>1575055.45</v>
      </c>
      <c r="N77" s="1097">
        <v>196025.77</v>
      </c>
      <c r="O77" s="1087">
        <v>44341.87</v>
      </c>
      <c r="P77" s="1093"/>
      <c r="Q77" s="1093"/>
      <c r="R77" s="1096">
        <f t="shared" si="57"/>
        <v>3085633.03</v>
      </c>
      <c r="S77" s="1096">
        <v>0</v>
      </c>
      <c r="T77" s="1096">
        <v>0</v>
      </c>
      <c r="U77" s="1096">
        <f t="shared" si="62"/>
        <v>3085633.03</v>
      </c>
      <c r="V77" s="1097">
        <v>140856.309999999</v>
      </c>
      <c r="W77" s="1097">
        <v>61711.33</v>
      </c>
      <c r="X77" s="1097">
        <v>223103.75</v>
      </c>
      <c r="Y77" s="1097"/>
      <c r="Z77" s="1097"/>
      <c r="AA77" s="1097"/>
      <c r="AB77" s="1096">
        <f t="shared" si="58"/>
        <v>425671.389999999</v>
      </c>
      <c r="AC77" s="1096">
        <f>合并调整抵消分录!N54</f>
        <v>0</v>
      </c>
      <c r="AD77" s="1096">
        <f>合并调整抵消分录!O54</f>
        <v>0</v>
      </c>
      <c r="AE77" s="1096">
        <f t="shared" si="63"/>
        <v>425671.389999999</v>
      </c>
      <c r="AF77" s="1097"/>
      <c r="AG77" s="1097"/>
      <c r="AH77" s="1090"/>
      <c r="AI77" s="1097"/>
      <c r="AJ77" s="1097"/>
      <c r="AK77" s="1097"/>
      <c r="AL77" s="1096">
        <f t="shared" si="59"/>
        <v>0</v>
      </c>
      <c r="AM77" s="1096">
        <f>合并调整抵消分录!Q54</f>
        <v>0</v>
      </c>
      <c r="AN77" s="1096">
        <f>合并调整抵消分录!R54</f>
        <v>0</v>
      </c>
      <c r="AO77" s="1096">
        <f t="shared" si="64"/>
        <v>0</v>
      </c>
      <c r="AP77" s="1097"/>
      <c r="AQ77" s="1097"/>
      <c r="AR77" s="1096">
        <f t="shared" si="60"/>
        <v>0</v>
      </c>
      <c r="AS77" s="1096">
        <f>合并调整抵消分录!T54</f>
        <v>0</v>
      </c>
      <c r="AT77" s="1096">
        <f>合并调整抵消分录!U54</f>
        <v>0</v>
      </c>
      <c r="AU77" s="1096">
        <f t="shared" si="65"/>
        <v>0</v>
      </c>
      <c r="AV77" s="1092" t="e">
        <f>VLOOKUP(A77,合并资产负债表!$A$6:$C$87,3,0)</f>
        <v>#N/A</v>
      </c>
      <c r="AW77" s="1098" t="e">
        <f t="shared" si="23"/>
        <v>#N/A</v>
      </c>
    </row>
    <row r="78" s="1018" customFormat="1" customHeight="1" spans="1:49">
      <c r="A78" s="1101" t="s">
        <v>216</v>
      </c>
      <c r="B78" s="1100">
        <f>VLOOKUP(A78,快速BS新!A$6:C$212,3,0)</f>
        <v>427719.6</v>
      </c>
      <c r="C78" s="1093">
        <f>VLOOKUP(A78,新材料BS新!$A$4:$D$191,3,0)</f>
        <v>23722.23</v>
      </c>
      <c r="D78" s="1093">
        <f>VLOOKUP(A78,精铸BS新!$A$6:$C$86,3,0)</f>
        <v>4744.44</v>
      </c>
      <c r="E78" s="1093">
        <f>VLOOKUP(A78,热等静压BS新!$A$6:$C$86,3,0)</f>
        <v>0</v>
      </c>
      <c r="F78" s="1095"/>
      <c r="G78" s="1093"/>
      <c r="H78" s="1096">
        <f t="shared" si="56"/>
        <v>456186.27</v>
      </c>
      <c r="I78" s="1096">
        <f>合并调整抵消分录!E55</f>
        <v>0</v>
      </c>
      <c r="J78" s="1096">
        <f>合并调整抵消分录!F55</f>
        <v>0</v>
      </c>
      <c r="K78" s="1096">
        <f t="shared" si="61"/>
        <v>456186.27</v>
      </c>
      <c r="L78" s="1097">
        <v>136289.31</v>
      </c>
      <c r="M78" s="1097">
        <v>25055.55</v>
      </c>
      <c r="N78" s="1097">
        <v>6319.45</v>
      </c>
      <c r="O78" s="1087">
        <v>0</v>
      </c>
      <c r="P78" s="1093"/>
      <c r="Q78" s="1093"/>
      <c r="R78" s="1096">
        <f t="shared" si="57"/>
        <v>167664.31</v>
      </c>
      <c r="S78" s="1096">
        <v>0</v>
      </c>
      <c r="T78" s="1096">
        <v>0</v>
      </c>
      <c r="U78" s="1096">
        <f t="shared" si="62"/>
        <v>167664.31</v>
      </c>
      <c r="V78" s="1097">
        <v>56501.81</v>
      </c>
      <c r="W78" s="1097">
        <v>0</v>
      </c>
      <c r="X78" s="1097">
        <v>0</v>
      </c>
      <c r="Y78" s="1097"/>
      <c r="Z78" s="1097"/>
      <c r="AA78" s="1097"/>
      <c r="AB78" s="1096">
        <f t="shared" si="58"/>
        <v>56501.81</v>
      </c>
      <c r="AC78" s="1096">
        <f>合并调整抵消分录!N55</f>
        <v>0</v>
      </c>
      <c r="AD78" s="1096">
        <f>合并调整抵消分录!O55</f>
        <v>0</v>
      </c>
      <c r="AE78" s="1096">
        <f t="shared" si="63"/>
        <v>56501.81</v>
      </c>
      <c r="AF78" s="1097"/>
      <c r="AG78" s="1097"/>
      <c r="AH78" s="1090"/>
      <c r="AI78" s="1097"/>
      <c r="AJ78" s="1097"/>
      <c r="AK78" s="1097"/>
      <c r="AL78" s="1096">
        <f t="shared" si="59"/>
        <v>0</v>
      </c>
      <c r="AM78" s="1096">
        <f>合并调整抵消分录!Q55</f>
        <v>0</v>
      </c>
      <c r="AN78" s="1096">
        <f>合并调整抵消分录!R55</f>
        <v>0</v>
      </c>
      <c r="AO78" s="1096">
        <f t="shared" si="64"/>
        <v>0</v>
      </c>
      <c r="AP78" s="1097"/>
      <c r="AQ78" s="1097"/>
      <c r="AR78" s="1096">
        <f t="shared" si="60"/>
        <v>0</v>
      </c>
      <c r="AS78" s="1096">
        <f>合并调整抵消分录!T55</f>
        <v>0</v>
      </c>
      <c r="AT78" s="1096">
        <f>合并调整抵消分录!U55</f>
        <v>0</v>
      </c>
      <c r="AU78" s="1096">
        <f t="shared" si="65"/>
        <v>0</v>
      </c>
      <c r="AV78" s="1092" t="e">
        <f>VLOOKUP(A78,合并资产负债表!$A$6:$C$87,3,0)</f>
        <v>#N/A</v>
      </c>
      <c r="AW78" s="1098" t="e">
        <f t="shared" si="23"/>
        <v>#N/A</v>
      </c>
    </row>
    <row r="79" s="1018" customFormat="1" customHeight="1" spans="1:49">
      <c r="A79" s="1101" t="s">
        <v>218</v>
      </c>
      <c r="B79" s="1100">
        <f>VLOOKUP(A79,快速BS新!A$6:C$212,3,0)</f>
        <v>0</v>
      </c>
      <c r="C79" s="1093">
        <f>VLOOKUP(A79,新材料BS新!$A$4:$D$191,3,0)</f>
        <v>0</v>
      </c>
      <c r="D79" s="1093">
        <f>VLOOKUP(A79,精铸BS新!$A$6:$C$86,3,0)</f>
        <v>0</v>
      </c>
      <c r="E79" s="1093">
        <f>VLOOKUP(A79,热等静压BS新!$A$6:$C$86,3,0)</f>
        <v>0</v>
      </c>
      <c r="F79" s="1095"/>
      <c r="G79" s="1093"/>
      <c r="H79" s="1096">
        <f t="shared" si="56"/>
        <v>0</v>
      </c>
      <c r="I79" s="1096">
        <f>合并调整抵消分录!E56</f>
        <v>0</v>
      </c>
      <c r="J79" s="1096">
        <f>合并调整抵消分录!F56</f>
        <v>0</v>
      </c>
      <c r="K79" s="1096">
        <f t="shared" si="61"/>
        <v>0</v>
      </c>
      <c r="L79" s="1097">
        <v>0</v>
      </c>
      <c r="M79" s="1097">
        <v>0</v>
      </c>
      <c r="N79" s="1097">
        <v>0</v>
      </c>
      <c r="O79" s="1087">
        <v>0</v>
      </c>
      <c r="P79" s="1093"/>
      <c r="Q79" s="1093"/>
      <c r="R79" s="1096">
        <f t="shared" si="57"/>
        <v>0</v>
      </c>
      <c r="S79" s="1096">
        <v>0</v>
      </c>
      <c r="T79" s="1096">
        <v>0</v>
      </c>
      <c r="U79" s="1096">
        <f t="shared" si="62"/>
        <v>0</v>
      </c>
      <c r="V79" s="1097">
        <v>0</v>
      </c>
      <c r="W79" s="1097">
        <v>0</v>
      </c>
      <c r="X79" s="1097">
        <v>0</v>
      </c>
      <c r="Y79" s="1097"/>
      <c r="Z79" s="1097"/>
      <c r="AA79" s="1097"/>
      <c r="AB79" s="1096">
        <f t="shared" si="58"/>
        <v>0</v>
      </c>
      <c r="AC79" s="1096">
        <f>合并调整抵消分录!N56</f>
        <v>0</v>
      </c>
      <c r="AD79" s="1096">
        <f>合并调整抵消分录!O56</f>
        <v>0</v>
      </c>
      <c r="AE79" s="1096">
        <f t="shared" si="63"/>
        <v>0</v>
      </c>
      <c r="AF79" s="1097"/>
      <c r="AG79" s="1097"/>
      <c r="AH79" s="1090"/>
      <c r="AI79" s="1097"/>
      <c r="AJ79" s="1097"/>
      <c r="AK79" s="1097"/>
      <c r="AL79" s="1096">
        <f t="shared" si="59"/>
        <v>0</v>
      </c>
      <c r="AM79" s="1096">
        <f>合并调整抵消分录!Q56</f>
        <v>0</v>
      </c>
      <c r="AN79" s="1096">
        <f>合并调整抵消分录!R56</f>
        <v>0</v>
      </c>
      <c r="AO79" s="1096">
        <f t="shared" si="64"/>
        <v>0</v>
      </c>
      <c r="AP79" s="1097"/>
      <c r="AQ79" s="1097"/>
      <c r="AR79" s="1096">
        <f t="shared" si="60"/>
        <v>0</v>
      </c>
      <c r="AS79" s="1096">
        <f>合并调整抵消分录!T56</f>
        <v>0</v>
      </c>
      <c r="AT79" s="1096">
        <f>合并调整抵消分录!U56</f>
        <v>0</v>
      </c>
      <c r="AU79" s="1096">
        <f t="shared" si="65"/>
        <v>0</v>
      </c>
      <c r="AV79" s="1092" t="e">
        <f>VLOOKUP(A79,合并资产负债表!$A$6:$C$87,3,0)</f>
        <v>#N/A</v>
      </c>
      <c r="AW79" s="1098" t="e">
        <f t="shared" ref="AW79:AW142" si="66">K79-AV79</f>
        <v>#N/A</v>
      </c>
    </row>
    <row r="80" s="1018" customFormat="1" customHeight="1" spans="1:49">
      <c r="A80" s="1101" t="s">
        <v>220</v>
      </c>
      <c r="B80" s="1100">
        <f>VLOOKUP(A80,快速BS新!A$6:C$212,3,0)</f>
        <v>2953198.65</v>
      </c>
      <c r="C80" s="1093">
        <f>VLOOKUP(A80,新材料BS新!$A$4:$D$191,3,0)</f>
        <v>264881.03</v>
      </c>
      <c r="D80" s="1093">
        <f>VLOOKUP(A80,精铸BS新!$A$6:$C$86,3,0)</f>
        <v>262920.15</v>
      </c>
      <c r="E80" s="1093">
        <f>VLOOKUP(A80,热等静压BS新!$A$6:$C$86,3,0)</f>
        <v>520</v>
      </c>
      <c r="F80" s="1095"/>
      <c r="G80" s="1093"/>
      <c r="H80" s="1096">
        <f t="shared" si="56"/>
        <v>3481519.83</v>
      </c>
      <c r="I80" s="1096">
        <f>合并调整抵消分录!E57</f>
        <v>0</v>
      </c>
      <c r="J80" s="1096">
        <f>合并调整抵消分录!F57</f>
        <v>0</v>
      </c>
      <c r="K80" s="1096">
        <f t="shared" si="61"/>
        <v>3481519.83</v>
      </c>
      <c r="L80" s="1097">
        <v>1375495.67</v>
      </c>
      <c r="M80" s="1097">
        <v>312546.75</v>
      </c>
      <c r="N80" s="1097">
        <v>275934.23</v>
      </c>
      <c r="O80" s="1087">
        <v>220</v>
      </c>
      <c r="P80" s="1093"/>
      <c r="Q80" s="1093"/>
      <c r="R80" s="1096">
        <f t="shared" si="57"/>
        <v>1964196.65</v>
      </c>
      <c r="S80" s="1096">
        <v>336853</v>
      </c>
      <c r="T80" s="1096">
        <v>0</v>
      </c>
      <c r="U80" s="1096">
        <f t="shared" si="62"/>
        <v>1627343.65</v>
      </c>
      <c r="V80" s="1097">
        <v>31980888.02</v>
      </c>
      <c r="W80" s="1097">
        <v>0</v>
      </c>
      <c r="X80" s="1097">
        <v>0</v>
      </c>
      <c r="Y80" s="1097"/>
      <c r="Z80" s="1097"/>
      <c r="AA80" s="1097"/>
      <c r="AB80" s="1096">
        <f t="shared" si="58"/>
        <v>31980888.02</v>
      </c>
      <c r="AC80" s="1096">
        <f>合并调整抵消分录!N57</f>
        <v>0</v>
      </c>
      <c r="AD80" s="1096">
        <f>合并调整抵消分录!O57</f>
        <v>0</v>
      </c>
      <c r="AE80" s="1096">
        <f t="shared" si="63"/>
        <v>31980888.02</v>
      </c>
      <c r="AF80" s="1097"/>
      <c r="AG80" s="1097"/>
      <c r="AH80" s="1090"/>
      <c r="AI80" s="1097"/>
      <c r="AJ80" s="1097"/>
      <c r="AK80" s="1097"/>
      <c r="AL80" s="1096">
        <f t="shared" si="59"/>
        <v>0</v>
      </c>
      <c r="AM80" s="1096">
        <f>合并调整抵消分录!Q57</f>
        <v>0</v>
      </c>
      <c r="AN80" s="1096">
        <f>合并调整抵消分录!R57</f>
        <v>0</v>
      </c>
      <c r="AO80" s="1096">
        <f t="shared" si="64"/>
        <v>0</v>
      </c>
      <c r="AP80" s="1097"/>
      <c r="AQ80" s="1097"/>
      <c r="AR80" s="1096">
        <f t="shared" si="60"/>
        <v>0</v>
      </c>
      <c r="AS80" s="1096">
        <f>合并调整抵消分录!T57</f>
        <v>0</v>
      </c>
      <c r="AT80" s="1096">
        <f>合并调整抵消分录!U57</f>
        <v>0</v>
      </c>
      <c r="AU80" s="1096">
        <f t="shared" si="65"/>
        <v>0</v>
      </c>
      <c r="AV80" s="1092" t="e">
        <f>VLOOKUP(A80,合并资产负债表!$A$6:$C$87,3,0)</f>
        <v>#N/A</v>
      </c>
      <c r="AW80" s="1098" t="e">
        <f t="shared" si="66"/>
        <v>#N/A</v>
      </c>
    </row>
    <row r="81" s="1018" customFormat="1" customHeight="1" spans="1:49">
      <c r="A81" s="1091" t="s">
        <v>730</v>
      </c>
      <c r="B81" s="1092"/>
      <c r="C81" s="1093"/>
      <c r="D81" s="1093"/>
      <c r="E81" s="1094"/>
      <c r="F81" s="1095"/>
      <c r="G81" s="1093"/>
      <c r="H81" s="1096">
        <f t="shared" si="56"/>
        <v>0</v>
      </c>
      <c r="I81" s="1096">
        <f>合并调整抵消分录!E58</f>
        <v>0</v>
      </c>
      <c r="J81" s="1096">
        <f>合并调整抵消分录!F58</f>
        <v>0</v>
      </c>
      <c r="K81" s="1096">
        <f t="shared" si="61"/>
        <v>0</v>
      </c>
      <c r="L81" s="1097"/>
      <c r="M81" s="1097"/>
      <c r="N81" s="1097"/>
      <c r="O81" s="1087"/>
      <c r="P81" s="1093"/>
      <c r="Q81" s="1093"/>
      <c r="R81" s="1096">
        <f t="shared" si="57"/>
        <v>0</v>
      </c>
      <c r="S81" s="1096">
        <v>0</v>
      </c>
      <c r="T81" s="1096">
        <v>0</v>
      </c>
      <c r="U81" s="1096">
        <f t="shared" si="62"/>
        <v>0</v>
      </c>
      <c r="V81" s="1097"/>
      <c r="W81" s="1097"/>
      <c r="X81" s="1097"/>
      <c r="Y81" s="1097"/>
      <c r="Z81" s="1097"/>
      <c r="AA81" s="1097"/>
      <c r="AB81" s="1096">
        <f t="shared" si="58"/>
        <v>0</v>
      </c>
      <c r="AC81" s="1096">
        <f>合并调整抵消分录!N58</f>
        <v>0</v>
      </c>
      <c r="AD81" s="1096">
        <f>合并调整抵消分录!O58</f>
        <v>0</v>
      </c>
      <c r="AE81" s="1096">
        <f t="shared" si="63"/>
        <v>0</v>
      </c>
      <c r="AF81" s="1097"/>
      <c r="AG81" s="1097"/>
      <c r="AH81" s="1090"/>
      <c r="AI81" s="1097"/>
      <c r="AJ81" s="1097"/>
      <c r="AK81" s="1097"/>
      <c r="AL81" s="1096">
        <f t="shared" si="59"/>
        <v>0</v>
      </c>
      <c r="AM81" s="1096">
        <f>合并调整抵消分录!Q58</f>
        <v>0</v>
      </c>
      <c r="AN81" s="1096">
        <f>合并调整抵消分录!R58</f>
        <v>0</v>
      </c>
      <c r="AO81" s="1096">
        <f t="shared" si="64"/>
        <v>0</v>
      </c>
      <c r="AP81" s="1097"/>
      <c r="AQ81" s="1097"/>
      <c r="AR81" s="1096">
        <f t="shared" si="60"/>
        <v>0</v>
      </c>
      <c r="AS81" s="1096">
        <f>合并调整抵消分录!T58</f>
        <v>0</v>
      </c>
      <c r="AT81" s="1096">
        <f>合并调整抵消分录!U58</f>
        <v>0</v>
      </c>
      <c r="AU81" s="1096">
        <f t="shared" si="65"/>
        <v>0</v>
      </c>
      <c r="AV81" s="1092"/>
      <c r="AW81" s="1098">
        <f t="shared" si="66"/>
        <v>0</v>
      </c>
    </row>
    <row r="82" s="1018" customFormat="1" customHeight="1" spans="1:49">
      <c r="A82" s="1091" t="s">
        <v>731</v>
      </c>
      <c r="B82" s="1092"/>
      <c r="C82" s="1093"/>
      <c r="D82" s="1093"/>
      <c r="E82" s="1094"/>
      <c r="F82" s="1095"/>
      <c r="G82" s="1093"/>
      <c r="H82" s="1096">
        <f t="shared" si="56"/>
        <v>0</v>
      </c>
      <c r="I82" s="1096">
        <f>合并调整抵消分录!E59</f>
        <v>0</v>
      </c>
      <c r="J82" s="1096">
        <f>合并调整抵消分录!F59</f>
        <v>0</v>
      </c>
      <c r="K82" s="1096">
        <f t="shared" si="61"/>
        <v>0</v>
      </c>
      <c r="L82" s="1097"/>
      <c r="M82" s="1097"/>
      <c r="N82" s="1097"/>
      <c r="O82" s="1087"/>
      <c r="P82" s="1093"/>
      <c r="Q82" s="1093"/>
      <c r="R82" s="1096">
        <f t="shared" si="57"/>
        <v>0</v>
      </c>
      <c r="S82" s="1096">
        <v>0</v>
      </c>
      <c r="T82" s="1096">
        <v>0</v>
      </c>
      <c r="U82" s="1096">
        <f t="shared" si="62"/>
        <v>0</v>
      </c>
      <c r="V82" s="1097"/>
      <c r="W82" s="1097"/>
      <c r="X82" s="1097"/>
      <c r="Y82" s="1097"/>
      <c r="Z82" s="1097"/>
      <c r="AA82" s="1097"/>
      <c r="AB82" s="1096">
        <f t="shared" si="58"/>
        <v>0</v>
      </c>
      <c r="AC82" s="1096">
        <f>合并调整抵消分录!N59</f>
        <v>0</v>
      </c>
      <c r="AD82" s="1096">
        <f>合并调整抵消分录!O59</f>
        <v>0</v>
      </c>
      <c r="AE82" s="1096">
        <f t="shared" si="63"/>
        <v>0</v>
      </c>
      <c r="AF82" s="1097"/>
      <c r="AG82" s="1097"/>
      <c r="AH82" s="1090"/>
      <c r="AI82" s="1097"/>
      <c r="AJ82" s="1097"/>
      <c r="AK82" s="1097"/>
      <c r="AL82" s="1096">
        <f t="shared" si="59"/>
        <v>0</v>
      </c>
      <c r="AM82" s="1096">
        <f>合并调整抵消分录!Q59</f>
        <v>0</v>
      </c>
      <c r="AN82" s="1096">
        <f>合并调整抵消分录!R59</f>
        <v>0</v>
      </c>
      <c r="AO82" s="1096">
        <f t="shared" si="64"/>
        <v>0</v>
      </c>
      <c r="AP82" s="1097"/>
      <c r="AQ82" s="1097"/>
      <c r="AR82" s="1096">
        <f t="shared" si="60"/>
        <v>0</v>
      </c>
      <c r="AS82" s="1096">
        <f>合并调整抵消分录!T59</f>
        <v>0</v>
      </c>
      <c r="AT82" s="1096">
        <f>合并调整抵消分录!U59</f>
        <v>0</v>
      </c>
      <c r="AU82" s="1096">
        <f t="shared" si="65"/>
        <v>0</v>
      </c>
      <c r="AV82" s="1092"/>
      <c r="AW82" s="1098">
        <f t="shared" si="66"/>
        <v>0</v>
      </c>
    </row>
    <row r="83" s="1018" customFormat="1" customHeight="1" spans="1:49">
      <c r="A83" s="1091" t="s">
        <v>732</v>
      </c>
      <c r="B83" s="1092"/>
      <c r="C83" s="1093"/>
      <c r="D83" s="1093"/>
      <c r="E83" s="1094"/>
      <c r="F83" s="1095"/>
      <c r="G83" s="1093"/>
      <c r="H83" s="1096">
        <f t="shared" si="56"/>
        <v>0</v>
      </c>
      <c r="I83" s="1096">
        <f>合并调整抵消分录!E60</f>
        <v>0</v>
      </c>
      <c r="J83" s="1096">
        <f>合并调整抵消分录!F60</f>
        <v>0</v>
      </c>
      <c r="K83" s="1096">
        <f t="shared" si="61"/>
        <v>0</v>
      </c>
      <c r="L83" s="1097"/>
      <c r="M83" s="1097"/>
      <c r="N83" s="1097"/>
      <c r="O83" s="1087"/>
      <c r="P83" s="1093"/>
      <c r="Q83" s="1093"/>
      <c r="R83" s="1096">
        <f t="shared" si="57"/>
        <v>0</v>
      </c>
      <c r="S83" s="1096">
        <v>0</v>
      </c>
      <c r="T83" s="1096">
        <v>0</v>
      </c>
      <c r="U83" s="1096">
        <f t="shared" si="62"/>
        <v>0</v>
      </c>
      <c r="V83" s="1097"/>
      <c r="W83" s="1097"/>
      <c r="X83" s="1097"/>
      <c r="Y83" s="1097"/>
      <c r="Z83" s="1097"/>
      <c r="AA83" s="1097"/>
      <c r="AB83" s="1096">
        <f t="shared" si="58"/>
        <v>0</v>
      </c>
      <c r="AC83" s="1096">
        <f>合并调整抵消分录!N60</f>
        <v>0</v>
      </c>
      <c r="AD83" s="1096">
        <f>合并调整抵消分录!O60</f>
        <v>0</v>
      </c>
      <c r="AE83" s="1096">
        <f t="shared" si="63"/>
        <v>0</v>
      </c>
      <c r="AF83" s="1097"/>
      <c r="AG83" s="1097"/>
      <c r="AH83" s="1090"/>
      <c r="AI83" s="1097"/>
      <c r="AJ83" s="1097"/>
      <c r="AK83" s="1097"/>
      <c r="AL83" s="1096">
        <f t="shared" si="59"/>
        <v>0</v>
      </c>
      <c r="AM83" s="1096">
        <f>合并调整抵消分录!Q60</f>
        <v>0</v>
      </c>
      <c r="AN83" s="1096">
        <f>合并调整抵消分录!R60</f>
        <v>0</v>
      </c>
      <c r="AO83" s="1096">
        <f t="shared" si="64"/>
        <v>0</v>
      </c>
      <c r="AP83" s="1097"/>
      <c r="AQ83" s="1097"/>
      <c r="AR83" s="1096">
        <f t="shared" si="60"/>
        <v>0</v>
      </c>
      <c r="AS83" s="1096">
        <f>合并调整抵消分录!T60</f>
        <v>0</v>
      </c>
      <c r="AT83" s="1096">
        <f>合并调整抵消分录!U60</f>
        <v>0</v>
      </c>
      <c r="AU83" s="1096">
        <f t="shared" si="65"/>
        <v>0</v>
      </c>
      <c r="AV83" s="1092"/>
      <c r="AW83" s="1098">
        <f t="shared" si="66"/>
        <v>0</v>
      </c>
    </row>
    <row r="84" s="1018" customFormat="1" customHeight="1" spans="1:49">
      <c r="A84" s="1091" t="s">
        <v>733</v>
      </c>
      <c r="B84" s="1092"/>
      <c r="C84" s="1093"/>
      <c r="D84" s="1093"/>
      <c r="E84" s="1094"/>
      <c r="F84" s="1095"/>
      <c r="G84" s="1093"/>
      <c r="H84" s="1096">
        <f t="shared" si="56"/>
        <v>0</v>
      </c>
      <c r="I84" s="1096">
        <f>合并调整抵消分录!E61</f>
        <v>0</v>
      </c>
      <c r="J84" s="1096">
        <f>合并调整抵消分录!F61</f>
        <v>0</v>
      </c>
      <c r="K84" s="1096">
        <f t="shared" si="61"/>
        <v>0</v>
      </c>
      <c r="L84" s="1097"/>
      <c r="M84" s="1097"/>
      <c r="N84" s="1097"/>
      <c r="O84" s="1087"/>
      <c r="P84" s="1093"/>
      <c r="Q84" s="1093"/>
      <c r="R84" s="1096">
        <f t="shared" si="57"/>
        <v>0</v>
      </c>
      <c r="S84" s="1096">
        <v>0</v>
      </c>
      <c r="T84" s="1096">
        <v>0</v>
      </c>
      <c r="U84" s="1096">
        <f t="shared" si="62"/>
        <v>0</v>
      </c>
      <c r="V84" s="1097">
        <v>0</v>
      </c>
      <c r="W84" s="1097">
        <v>0</v>
      </c>
      <c r="X84" s="1097">
        <v>0</v>
      </c>
      <c r="Y84" s="1097"/>
      <c r="Z84" s="1097"/>
      <c r="AA84" s="1097"/>
      <c r="AB84" s="1096">
        <f t="shared" si="58"/>
        <v>0</v>
      </c>
      <c r="AC84" s="1096">
        <f>合并调整抵消分录!N61</f>
        <v>0</v>
      </c>
      <c r="AD84" s="1096">
        <f>合并调整抵消分录!O61</f>
        <v>0</v>
      </c>
      <c r="AE84" s="1096">
        <f t="shared" si="63"/>
        <v>0</v>
      </c>
      <c r="AF84" s="1097"/>
      <c r="AG84" s="1097"/>
      <c r="AH84" s="1090"/>
      <c r="AI84" s="1097"/>
      <c r="AJ84" s="1097"/>
      <c r="AK84" s="1097"/>
      <c r="AL84" s="1096">
        <f t="shared" si="59"/>
        <v>0</v>
      </c>
      <c r="AM84" s="1096">
        <f>合并调整抵消分录!Q61</f>
        <v>0</v>
      </c>
      <c r="AN84" s="1096">
        <f>合并调整抵消分录!R61</f>
        <v>0</v>
      </c>
      <c r="AO84" s="1096">
        <f t="shared" si="64"/>
        <v>0</v>
      </c>
      <c r="AP84" s="1097"/>
      <c r="AQ84" s="1097"/>
      <c r="AR84" s="1096">
        <f t="shared" si="60"/>
        <v>0</v>
      </c>
      <c r="AS84" s="1096">
        <f>合并调整抵消分录!T61</f>
        <v>0</v>
      </c>
      <c r="AT84" s="1096">
        <f>合并调整抵消分录!U61</f>
        <v>0</v>
      </c>
      <c r="AU84" s="1096">
        <f t="shared" si="65"/>
        <v>0</v>
      </c>
      <c r="AV84" s="1092"/>
      <c r="AW84" s="1098">
        <f t="shared" si="66"/>
        <v>0</v>
      </c>
    </row>
    <row r="85" s="1018" customFormat="1" customHeight="1" spans="1:49">
      <c r="A85" s="1091" t="s">
        <v>734</v>
      </c>
      <c r="B85" s="1092"/>
      <c r="C85" s="1093"/>
      <c r="D85" s="1093"/>
      <c r="E85" s="1094"/>
      <c r="F85" s="1095"/>
      <c r="G85" s="1093"/>
      <c r="H85" s="1096">
        <f t="shared" si="56"/>
        <v>0</v>
      </c>
      <c r="I85" s="1096">
        <f>合并调整抵消分录!E62</f>
        <v>0</v>
      </c>
      <c r="J85" s="1096">
        <f>合并调整抵消分录!F62</f>
        <v>0</v>
      </c>
      <c r="K85" s="1096">
        <f t="shared" si="61"/>
        <v>0</v>
      </c>
      <c r="L85" s="1097"/>
      <c r="M85" s="1097"/>
      <c r="N85" s="1097"/>
      <c r="O85" s="1087"/>
      <c r="P85" s="1093"/>
      <c r="Q85" s="1093"/>
      <c r="R85" s="1096">
        <f t="shared" si="57"/>
        <v>0</v>
      </c>
      <c r="S85" s="1096">
        <v>0</v>
      </c>
      <c r="T85" s="1096">
        <v>0</v>
      </c>
      <c r="U85" s="1096">
        <f t="shared" si="62"/>
        <v>0</v>
      </c>
      <c r="V85" s="1097">
        <v>0</v>
      </c>
      <c r="W85" s="1097">
        <v>0</v>
      </c>
      <c r="X85" s="1097">
        <v>0</v>
      </c>
      <c r="Y85" s="1097"/>
      <c r="Z85" s="1097"/>
      <c r="AA85" s="1097"/>
      <c r="AB85" s="1096">
        <f t="shared" si="58"/>
        <v>0</v>
      </c>
      <c r="AC85" s="1096">
        <f>合并调整抵消分录!N62</f>
        <v>0</v>
      </c>
      <c r="AD85" s="1096">
        <f>合并调整抵消分录!O62</f>
        <v>0</v>
      </c>
      <c r="AE85" s="1096">
        <f t="shared" si="63"/>
        <v>0</v>
      </c>
      <c r="AF85" s="1097"/>
      <c r="AG85" s="1097"/>
      <c r="AH85" s="1090"/>
      <c r="AI85" s="1097"/>
      <c r="AJ85" s="1097"/>
      <c r="AK85" s="1097"/>
      <c r="AL85" s="1096">
        <f t="shared" si="59"/>
        <v>0</v>
      </c>
      <c r="AM85" s="1096">
        <f>合并调整抵消分录!Q62</f>
        <v>0</v>
      </c>
      <c r="AN85" s="1096">
        <f>合并调整抵消分录!R62</f>
        <v>0</v>
      </c>
      <c r="AO85" s="1096">
        <f t="shared" si="64"/>
        <v>0</v>
      </c>
      <c r="AP85" s="1097"/>
      <c r="AQ85" s="1097"/>
      <c r="AR85" s="1096">
        <f t="shared" si="60"/>
        <v>0</v>
      </c>
      <c r="AS85" s="1096">
        <f>合并调整抵消分录!T62</f>
        <v>0</v>
      </c>
      <c r="AT85" s="1096">
        <f>合并调整抵消分录!U62</f>
        <v>0</v>
      </c>
      <c r="AU85" s="1096">
        <f t="shared" si="65"/>
        <v>0</v>
      </c>
      <c r="AV85" s="1092"/>
      <c r="AW85" s="1098">
        <f t="shared" si="66"/>
        <v>0</v>
      </c>
    </row>
    <row r="86" s="1018" customFormat="1" customHeight="1" spans="1:49">
      <c r="A86" s="1101" t="s">
        <v>222</v>
      </c>
      <c r="B86" s="1100">
        <f>VLOOKUP(A86,快速BS新!A$6:C$212,3,0)</f>
        <v>8372322.74</v>
      </c>
      <c r="C86" s="1093">
        <f>VLOOKUP(A86,新材料BS新!$A$4:$D$191,3,0)</f>
        <v>0</v>
      </c>
      <c r="D86" s="1093">
        <f>VLOOKUP(A86,精铸BS新!$A$6:$C$86,3,0)</f>
        <v>0</v>
      </c>
      <c r="E86" s="1093">
        <f>VLOOKUP(A86,热等静压BS新!$A$6:$C$86,3,0)</f>
        <v>0</v>
      </c>
      <c r="F86" s="1095"/>
      <c r="G86" s="1093"/>
      <c r="H86" s="1096">
        <f t="shared" si="56"/>
        <v>8372322.74</v>
      </c>
      <c r="I86" s="1096">
        <f>合并调整抵消分录!E63</f>
        <v>0</v>
      </c>
      <c r="J86" s="1096">
        <f>合并调整抵消分录!F63</f>
        <v>0</v>
      </c>
      <c r="K86" s="1096">
        <f t="shared" si="61"/>
        <v>8372322.74</v>
      </c>
      <c r="L86" s="1097">
        <v>34947726.48</v>
      </c>
      <c r="M86" s="1097">
        <v>0</v>
      </c>
      <c r="N86" s="1097">
        <v>0</v>
      </c>
      <c r="O86" s="1087">
        <v>0</v>
      </c>
      <c r="P86" s="1093"/>
      <c r="Q86" s="1093"/>
      <c r="R86" s="1096">
        <f t="shared" si="57"/>
        <v>34947726.48</v>
      </c>
      <c r="S86" s="1096">
        <v>0</v>
      </c>
      <c r="T86" s="1096">
        <v>0</v>
      </c>
      <c r="U86" s="1096">
        <f t="shared" si="62"/>
        <v>34947726.48</v>
      </c>
      <c r="V86" s="1097">
        <v>4439663.74</v>
      </c>
      <c r="W86" s="1097">
        <v>0</v>
      </c>
      <c r="X86" s="1097">
        <v>0</v>
      </c>
      <c r="Y86" s="1097"/>
      <c r="Z86" s="1097"/>
      <c r="AA86" s="1097"/>
      <c r="AB86" s="1096">
        <f t="shared" si="58"/>
        <v>4439663.74</v>
      </c>
      <c r="AC86" s="1096">
        <f>合并调整抵消分录!N63</f>
        <v>0</v>
      </c>
      <c r="AD86" s="1096">
        <f>合并调整抵消分录!O63</f>
        <v>0</v>
      </c>
      <c r="AE86" s="1096">
        <f t="shared" si="63"/>
        <v>4439663.74</v>
      </c>
      <c r="AF86" s="1097"/>
      <c r="AG86" s="1097"/>
      <c r="AH86" s="1090"/>
      <c r="AI86" s="1097"/>
      <c r="AJ86" s="1097"/>
      <c r="AK86" s="1097"/>
      <c r="AL86" s="1096">
        <f t="shared" si="59"/>
        <v>0</v>
      </c>
      <c r="AM86" s="1096">
        <f>合并调整抵消分录!Q63</f>
        <v>0</v>
      </c>
      <c r="AN86" s="1096">
        <f>合并调整抵消分录!R63</f>
        <v>0</v>
      </c>
      <c r="AO86" s="1096">
        <f t="shared" si="64"/>
        <v>0</v>
      </c>
      <c r="AP86" s="1097"/>
      <c r="AQ86" s="1097"/>
      <c r="AR86" s="1096">
        <f t="shared" si="60"/>
        <v>0</v>
      </c>
      <c r="AS86" s="1096">
        <f>合并调整抵消分录!T63</f>
        <v>0</v>
      </c>
      <c r="AT86" s="1096">
        <f>合并调整抵消分录!U63</f>
        <v>0</v>
      </c>
      <c r="AU86" s="1096">
        <f t="shared" si="65"/>
        <v>0</v>
      </c>
      <c r="AV86" s="1092" t="e">
        <f>VLOOKUP(A86,合并资产负债表!$A$6:$C$87,3,0)</f>
        <v>#N/A</v>
      </c>
      <c r="AW86" s="1098" t="e">
        <f t="shared" si="66"/>
        <v>#N/A</v>
      </c>
    </row>
    <row r="87" s="1018" customFormat="1" customHeight="1" spans="1:49">
      <c r="A87" s="1101" t="s">
        <v>224</v>
      </c>
      <c r="B87" s="1100">
        <f>VLOOKUP(A87,快速BS新!A$6:C$212,3,0)</f>
        <v>2047336.77</v>
      </c>
      <c r="C87" s="1093">
        <f>VLOOKUP(A87,新材料BS新!$A$4:$D$191,3,0)</f>
        <v>2231181.86</v>
      </c>
      <c r="D87" s="1093">
        <f>VLOOKUP(A87,精铸BS新!$A$6:$C$86,3,0)</f>
        <v>1276.99</v>
      </c>
      <c r="E87" s="1093">
        <f>VLOOKUP(A87,热等静压BS新!$A$6:$C$86,3,0)</f>
        <v>0</v>
      </c>
      <c r="F87" s="1095"/>
      <c r="G87" s="1093"/>
      <c r="H87" s="1096">
        <f t="shared" si="56"/>
        <v>4279795.62</v>
      </c>
      <c r="I87" s="1096">
        <f>合并调整抵消分录!E64</f>
        <v>0</v>
      </c>
      <c r="J87" s="1096">
        <f>合并调整抵消分录!F64</f>
        <v>0</v>
      </c>
      <c r="K87" s="1096">
        <f t="shared" si="61"/>
        <v>4279795.62</v>
      </c>
      <c r="L87" s="1097">
        <v>0</v>
      </c>
      <c r="M87" s="1097">
        <v>0</v>
      </c>
      <c r="N87" s="1097">
        <v>0</v>
      </c>
      <c r="O87" s="1087">
        <v>0</v>
      </c>
      <c r="P87" s="1093"/>
      <c r="Q87" s="1093"/>
      <c r="R87" s="1096">
        <f t="shared" si="57"/>
        <v>0</v>
      </c>
      <c r="S87" s="1096">
        <v>0</v>
      </c>
      <c r="T87" s="1096">
        <v>0</v>
      </c>
      <c r="U87" s="1096">
        <f t="shared" si="62"/>
        <v>0</v>
      </c>
      <c r="V87" s="1097"/>
      <c r="W87" s="1097">
        <v>0</v>
      </c>
      <c r="X87" s="1097">
        <v>0</v>
      </c>
      <c r="Y87" s="1097"/>
      <c r="Z87" s="1097"/>
      <c r="AA87" s="1097"/>
      <c r="AB87" s="1096">
        <f t="shared" si="58"/>
        <v>0</v>
      </c>
      <c r="AC87" s="1096">
        <f>合并调整抵消分录!N64</f>
        <v>0</v>
      </c>
      <c r="AD87" s="1096">
        <f>合并调整抵消分录!O64</f>
        <v>0</v>
      </c>
      <c r="AE87" s="1096">
        <f t="shared" si="63"/>
        <v>0</v>
      </c>
      <c r="AF87" s="1097"/>
      <c r="AG87" s="1097"/>
      <c r="AH87" s="1090"/>
      <c r="AI87" s="1097"/>
      <c r="AJ87" s="1097"/>
      <c r="AK87" s="1097"/>
      <c r="AL87" s="1096">
        <f t="shared" si="59"/>
        <v>0</v>
      </c>
      <c r="AM87" s="1096">
        <f>合并调整抵消分录!Q64</f>
        <v>0</v>
      </c>
      <c r="AN87" s="1096">
        <f>合并调整抵消分录!R64</f>
        <v>0</v>
      </c>
      <c r="AO87" s="1096">
        <f t="shared" si="64"/>
        <v>0</v>
      </c>
      <c r="AP87" s="1097"/>
      <c r="AQ87" s="1097"/>
      <c r="AR87" s="1096">
        <f t="shared" si="60"/>
        <v>0</v>
      </c>
      <c r="AS87" s="1096">
        <f>合并调整抵消分录!T64</f>
        <v>0</v>
      </c>
      <c r="AT87" s="1096">
        <f>合并调整抵消分录!U64</f>
        <v>0</v>
      </c>
      <c r="AU87" s="1096">
        <f t="shared" si="65"/>
        <v>0</v>
      </c>
      <c r="AV87" s="1092"/>
      <c r="AW87" s="1098">
        <f t="shared" si="66"/>
        <v>4279795.62</v>
      </c>
    </row>
    <row r="88" s="1018" customFormat="1" customHeight="1" spans="1:49">
      <c r="A88" s="1102" t="s">
        <v>735</v>
      </c>
      <c r="B88" s="1103">
        <f>SUM(B64:B87)</f>
        <v>201022096.99</v>
      </c>
      <c r="C88" s="1119">
        <f t="shared" ref="B88:AU88" si="67">SUM(C64:C87)</f>
        <v>149042560.73</v>
      </c>
      <c r="D88" s="1119">
        <f t="shared" si="67"/>
        <v>13914418.59</v>
      </c>
      <c r="E88" s="1120">
        <f t="shared" si="67"/>
        <v>16074849.15</v>
      </c>
      <c r="F88" s="1121">
        <f t="shared" si="67"/>
        <v>0</v>
      </c>
      <c r="G88" s="1103">
        <f t="shared" si="67"/>
        <v>0</v>
      </c>
      <c r="H88" s="1103">
        <f t="shared" si="67"/>
        <v>380053925.46</v>
      </c>
      <c r="I88" s="1103">
        <f t="shared" si="67"/>
        <v>84166416.88</v>
      </c>
      <c r="J88" s="1103">
        <f t="shared" si="67"/>
        <v>443894.34</v>
      </c>
      <c r="K88" s="1103">
        <f t="shared" si="67"/>
        <v>296331402.92</v>
      </c>
      <c r="L88" s="1103">
        <v>219058192.3</v>
      </c>
      <c r="M88" s="1103">
        <v>105257164.15</v>
      </c>
      <c r="N88" s="1103">
        <v>11026594.89</v>
      </c>
      <c r="O88" s="1103">
        <v>15817832.03</v>
      </c>
      <c r="P88" s="1103">
        <f t="shared" si="67"/>
        <v>0</v>
      </c>
      <c r="Q88" s="1103">
        <f t="shared" si="67"/>
        <v>0</v>
      </c>
      <c r="R88" s="1103">
        <f t="shared" si="67"/>
        <v>351159783.37</v>
      </c>
      <c r="S88" s="1103">
        <v>63415461.77</v>
      </c>
      <c r="T88" s="1103">
        <v>0</v>
      </c>
      <c r="U88" s="1103">
        <f t="shared" si="67"/>
        <v>287744321.6</v>
      </c>
      <c r="V88" s="1103">
        <v>121912074.78</v>
      </c>
      <c r="W88" s="1103">
        <v>5363370.33</v>
      </c>
      <c r="X88" s="1103">
        <v>3894569.26</v>
      </c>
      <c r="Y88" s="1103">
        <f t="shared" si="67"/>
        <v>0</v>
      </c>
      <c r="Z88" s="1103">
        <f t="shared" si="67"/>
        <v>0</v>
      </c>
      <c r="AA88" s="1103">
        <f t="shared" si="67"/>
        <v>0</v>
      </c>
      <c r="AB88" s="1103">
        <f t="shared" si="67"/>
        <v>131170014.37</v>
      </c>
      <c r="AC88" s="1103">
        <f t="shared" si="67"/>
        <v>5028788.13</v>
      </c>
      <c r="AD88" s="1103">
        <f t="shared" si="67"/>
        <v>0</v>
      </c>
      <c r="AE88" s="1103">
        <f t="shared" si="67"/>
        <v>126141226.24</v>
      </c>
      <c r="AF88" s="1103">
        <f t="shared" si="67"/>
        <v>0</v>
      </c>
      <c r="AG88" s="1103">
        <f t="shared" si="67"/>
        <v>0</v>
      </c>
      <c r="AH88" s="1103">
        <f t="shared" si="67"/>
        <v>0</v>
      </c>
      <c r="AI88" s="1103">
        <f t="shared" si="67"/>
        <v>0</v>
      </c>
      <c r="AJ88" s="1103">
        <f t="shared" si="67"/>
        <v>0</v>
      </c>
      <c r="AK88" s="1103">
        <f t="shared" si="67"/>
        <v>0</v>
      </c>
      <c r="AL88" s="1103">
        <f t="shared" si="67"/>
        <v>0</v>
      </c>
      <c r="AM88" s="1103">
        <f t="shared" si="67"/>
        <v>0</v>
      </c>
      <c r="AN88" s="1103">
        <f t="shared" si="67"/>
        <v>0</v>
      </c>
      <c r="AO88" s="1103">
        <f t="shared" si="67"/>
        <v>0</v>
      </c>
      <c r="AP88" s="1103">
        <f t="shared" si="67"/>
        <v>0</v>
      </c>
      <c r="AQ88" s="1103">
        <f t="shared" si="67"/>
        <v>0</v>
      </c>
      <c r="AR88" s="1103">
        <f t="shared" si="67"/>
        <v>0</v>
      </c>
      <c r="AS88" s="1103">
        <f t="shared" si="67"/>
        <v>0</v>
      </c>
      <c r="AT88" s="1103">
        <f t="shared" si="67"/>
        <v>0</v>
      </c>
      <c r="AU88" s="1103">
        <f t="shared" si="67"/>
        <v>0</v>
      </c>
      <c r="AV88" s="1092">
        <f>VLOOKUP(A88,合并资产负债表!$A$6:$C$87,3,0)</f>
        <v>84982093.07</v>
      </c>
      <c r="AW88" s="1098">
        <f t="shared" si="66"/>
        <v>211349309.85</v>
      </c>
    </row>
    <row r="89" s="1018" customFormat="1" customHeight="1" spans="1:49">
      <c r="A89" s="1091" t="s">
        <v>736</v>
      </c>
      <c r="B89" s="1105"/>
      <c r="C89" s="1122"/>
      <c r="D89" s="1122"/>
      <c r="E89" s="1094"/>
      <c r="F89" s="1123"/>
      <c r="G89" s="1105"/>
      <c r="H89" s="1103"/>
      <c r="I89" s="1103"/>
      <c r="J89" s="1103"/>
      <c r="K89" s="1096"/>
      <c r="L89" s="1105"/>
      <c r="M89" s="1105"/>
      <c r="N89" s="1105"/>
      <c r="O89" s="1105"/>
      <c r="P89" s="1105"/>
      <c r="Q89" s="1105"/>
      <c r="R89" s="1103"/>
      <c r="S89" s="1103"/>
      <c r="T89" s="1103"/>
      <c r="U89" s="1096"/>
      <c r="V89" s="1105"/>
      <c r="W89" s="1105"/>
      <c r="X89" s="1105"/>
      <c r="Y89" s="1105"/>
      <c r="Z89" s="1105"/>
      <c r="AA89" s="1105"/>
      <c r="AB89" s="1103"/>
      <c r="AC89" s="1103"/>
      <c r="AD89" s="1103"/>
      <c r="AE89" s="1096"/>
      <c r="AF89" s="1105"/>
      <c r="AG89" s="1105"/>
      <c r="AH89" s="1105"/>
      <c r="AI89" s="1105"/>
      <c r="AJ89" s="1105"/>
      <c r="AK89" s="1105"/>
      <c r="AL89" s="1103"/>
      <c r="AM89" s="1103"/>
      <c r="AN89" s="1103"/>
      <c r="AO89" s="1096"/>
      <c r="AP89" s="1105"/>
      <c r="AQ89" s="1105"/>
      <c r="AR89" s="1103"/>
      <c r="AS89" s="1103"/>
      <c r="AT89" s="1103"/>
      <c r="AU89" s="1096"/>
      <c r="AV89" s="1092"/>
      <c r="AW89" s="1098">
        <f t="shared" si="66"/>
        <v>0</v>
      </c>
    </row>
    <row r="90" s="1018" customFormat="1" customHeight="1" spans="1:49">
      <c r="A90" s="391" t="s">
        <v>233</v>
      </c>
      <c r="B90" s="1100">
        <f>VLOOKUP(A90,快速BS新!A$6:C$212,3,0)</f>
        <v>48710000</v>
      </c>
      <c r="C90" s="1093">
        <f>VLOOKUP(A90,新材料BS新!$A$4:$D$191,3,0)</f>
        <v>0</v>
      </c>
      <c r="D90" s="1093">
        <f>VLOOKUP(A90,精铸BS新!$A$6:$C$86,3,0)</f>
        <v>0</v>
      </c>
      <c r="E90" s="1093">
        <f>VLOOKUP(A90,热等静压BS新!$A$6:$C$86,3,0)</f>
        <v>0</v>
      </c>
      <c r="F90" s="1095"/>
      <c r="G90" s="1093"/>
      <c r="H90" s="1096">
        <f t="shared" ref="H90:H100" si="68">SUM(B90:G90)</f>
        <v>48710000</v>
      </c>
      <c r="I90" s="1103">
        <f>合并调整抵消分录!E65</f>
        <v>0</v>
      </c>
      <c r="J90" s="1103">
        <f>合并调整抵消分录!F65</f>
        <v>0</v>
      </c>
      <c r="K90" s="1096">
        <f t="shared" ref="K90:K100" si="69">H90-I90+J90</f>
        <v>48710000</v>
      </c>
      <c r="L90" s="1097">
        <v>23800000</v>
      </c>
      <c r="M90" s="1097">
        <v>0</v>
      </c>
      <c r="N90" s="1097">
        <v>0</v>
      </c>
      <c r="O90" s="1093">
        <v>0</v>
      </c>
      <c r="P90" s="1093"/>
      <c r="Q90" s="1093"/>
      <c r="R90" s="1096">
        <f t="shared" ref="R90:R100" si="70">SUM(L90:Q90)</f>
        <v>23800000</v>
      </c>
      <c r="S90" s="1103">
        <v>0</v>
      </c>
      <c r="T90" s="1103">
        <v>0</v>
      </c>
      <c r="U90" s="1096">
        <f t="shared" ref="U90:U100" si="71">R90-S90+T90</f>
        <v>23800000</v>
      </c>
      <c r="V90" s="1097"/>
      <c r="W90" s="1097"/>
      <c r="X90" s="1097"/>
      <c r="Y90" s="1097"/>
      <c r="Z90" s="1097"/>
      <c r="AA90" s="1097"/>
      <c r="AB90" s="1096">
        <f t="shared" ref="AB90:AB100" si="72">SUM(V90:AA90)</f>
        <v>0</v>
      </c>
      <c r="AC90" s="1103">
        <f>合并调整抵消分录!N65</f>
        <v>0</v>
      </c>
      <c r="AD90" s="1103">
        <f>合并调整抵消分录!O65</f>
        <v>0</v>
      </c>
      <c r="AE90" s="1096">
        <f t="shared" ref="AE90:AE100" si="73">AB90-AC90+AD90</f>
        <v>0</v>
      </c>
      <c r="AF90" s="1097"/>
      <c r="AG90" s="1097"/>
      <c r="AH90" s="1097"/>
      <c r="AI90" s="1097"/>
      <c r="AJ90" s="1097"/>
      <c r="AK90" s="1097"/>
      <c r="AL90" s="1096">
        <f t="shared" ref="AL90:AL100" si="74">SUM(AF90:AK90)</f>
        <v>0</v>
      </c>
      <c r="AM90" s="1103">
        <f>合并调整抵消分录!Q65</f>
        <v>0</v>
      </c>
      <c r="AN90" s="1103">
        <f>合并调整抵消分录!R65</f>
        <v>0</v>
      </c>
      <c r="AO90" s="1096">
        <f t="shared" ref="AO90:AO100" si="75">AL90-AM90+AN90</f>
        <v>0</v>
      </c>
      <c r="AP90" s="1097"/>
      <c r="AQ90" s="1097"/>
      <c r="AR90" s="1096">
        <f t="shared" ref="AR90:AR100" si="76">SUM(AP90:AQ90)</f>
        <v>0</v>
      </c>
      <c r="AS90" s="1103">
        <f>合并调整抵消分录!T65</f>
        <v>0</v>
      </c>
      <c r="AT90" s="1103">
        <f>合并调整抵消分录!U65</f>
        <v>0</v>
      </c>
      <c r="AU90" s="1096">
        <f t="shared" ref="AU90:AU100" si="77">AR90-AS90+AT90</f>
        <v>0</v>
      </c>
      <c r="AV90" s="1092" t="e">
        <f>VLOOKUP(A90,合并资产负债表!$A$6:$C$87,3,0)</f>
        <v>#N/A</v>
      </c>
      <c r="AW90" s="1098" t="e">
        <f t="shared" si="66"/>
        <v>#N/A</v>
      </c>
    </row>
    <row r="91" s="1018" customFormat="1" customHeight="1" spans="1:49">
      <c r="A91" s="391" t="s">
        <v>235</v>
      </c>
      <c r="B91" s="1100">
        <f>VLOOKUP(A91,快速BS新!A$6:C$212,3,0)</f>
        <v>0</v>
      </c>
      <c r="C91" s="1093">
        <f>VLOOKUP(A91,新材料BS新!$A$4:$D$191,3,0)</f>
        <v>0</v>
      </c>
      <c r="D91" s="1093">
        <f>VLOOKUP(A91,精铸BS新!$A$6:$C$86,3,0)</f>
        <v>0</v>
      </c>
      <c r="E91" s="1093">
        <f>VLOOKUP(A91,热等静压BS新!$A$6:$C$86,3,0)</f>
        <v>0</v>
      </c>
      <c r="F91" s="1095"/>
      <c r="G91" s="1093"/>
      <c r="H91" s="1096">
        <f t="shared" si="68"/>
        <v>0</v>
      </c>
      <c r="I91" s="1103">
        <f>合并调整抵消分录!E66</f>
        <v>0</v>
      </c>
      <c r="J91" s="1103">
        <f>合并调整抵消分录!F66</f>
        <v>0</v>
      </c>
      <c r="K91" s="1096">
        <f t="shared" si="69"/>
        <v>0</v>
      </c>
      <c r="L91" s="1097">
        <v>0</v>
      </c>
      <c r="M91" s="1097">
        <v>0</v>
      </c>
      <c r="N91" s="1097">
        <v>0</v>
      </c>
      <c r="O91" s="1093">
        <v>0</v>
      </c>
      <c r="P91" s="1093"/>
      <c r="Q91" s="1093"/>
      <c r="R91" s="1096">
        <f t="shared" si="70"/>
        <v>0</v>
      </c>
      <c r="S91" s="1103">
        <v>0</v>
      </c>
      <c r="T91" s="1103">
        <v>0</v>
      </c>
      <c r="U91" s="1096">
        <f t="shared" si="71"/>
        <v>0</v>
      </c>
      <c r="V91" s="1097"/>
      <c r="W91" s="1097"/>
      <c r="X91" s="1097"/>
      <c r="Y91" s="1097"/>
      <c r="Z91" s="1097"/>
      <c r="AA91" s="1097"/>
      <c r="AB91" s="1096">
        <f t="shared" si="72"/>
        <v>0</v>
      </c>
      <c r="AC91" s="1103">
        <f>合并调整抵消分录!N66</f>
        <v>0</v>
      </c>
      <c r="AD91" s="1103">
        <f>合并调整抵消分录!O66</f>
        <v>0</v>
      </c>
      <c r="AE91" s="1096">
        <f t="shared" si="73"/>
        <v>0</v>
      </c>
      <c r="AF91" s="1097"/>
      <c r="AG91" s="1097"/>
      <c r="AH91" s="1097"/>
      <c r="AI91" s="1097"/>
      <c r="AJ91" s="1097"/>
      <c r="AK91" s="1097"/>
      <c r="AL91" s="1096">
        <f t="shared" si="74"/>
        <v>0</v>
      </c>
      <c r="AM91" s="1103">
        <f>合并调整抵消分录!Q66</f>
        <v>0</v>
      </c>
      <c r="AN91" s="1103">
        <f>合并调整抵消分录!R66</f>
        <v>0</v>
      </c>
      <c r="AO91" s="1096">
        <f t="shared" si="75"/>
        <v>0</v>
      </c>
      <c r="AP91" s="1097"/>
      <c r="AQ91" s="1097"/>
      <c r="AR91" s="1096">
        <f t="shared" si="76"/>
        <v>0</v>
      </c>
      <c r="AS91" s="1103">
        <f>合并调整抵消分录!T66</f>
        <v>0</v>
      </c>
      <c r="AT91" s="1103">
        <f>合并调整抵消分录!U66</f>
        <v>0</v>
      </c>
      <c r="AU91" s="1096">
        <f t="shared" si="77"/>
        <v>0</v>
      </c>
      <c r="AV91" s="1092" t="e">
        <f>VLOOKUP(A91,合并资产负债表!$A$6:$C$87,3,0)</f>
        <v>#N/A</v>
      </c>
      <c r="AW91" s="1098" t="e">
        <f t="shared" si="66"/>
        <v>#N/A</v>
      </c>
    </row>
    <row r="92" s="1018" customFormat="1" customHeight="1" spans="1:49">
      <c r="A92" s="1091" t="s">
        <v>737</v>
      </c>
      <c r="B92" s="1092"/>
      <c r="C92" s="1093"/>
      <c r="D92" s="1093"/>
      <c r="E92" s="1094"/>
      <c r="F92" s="1095"/>
      <c r="G92" s="1093"/>
      <c r="H92" s="1096">
        <f t="shared" si="68"/>
        <v>0</v>
      </c>
      <c r="I92" s="1103">
        <f>合并调整抵消分录!E67</f>
        <v>0</v>
      </c>
      <c r="J92" s="1103">
        <f>合并调整抵消分录!F67</f>
        <v>0</v>
      </c>
      <c r="K92" s="1096">
        <f t="shared" si="69"/>
        <v>0</v>
      </c>
      <c r="L92" s="1097"/>
      <c r="M92" s="1097"/>
      <c r="N92" s="1097"/>
      <c r="O92" s="1093"/>
      <c r="P92" s="1093"/>
      <c r="Q92" s="1093"/>
      <c r="R92" s="1096">
        <f t="shared" si="70"/>
        <v>0</v>
      </c>
      <c r="S92" s="1103">
        <v>0</v>
      </c>
      <c r="T92" s="1103">
        <v>0</v>
      </c>
      <c r="U92" s="1096">
        <f t="shared" si="71"/>
        <v>0</v>
      </c>
      <c r="V92" s="1097"/>
      <c r="W92" s="1097"/>
      <c r="X92" s="1097"/>
      <c r="Y92" s="1097"/>
      <c r="Z92" s="1097"/>
      <c r="AA92" s="1097"/>
      <c r="AB92" s="1096">
        <f t="shared" si="72"/>
        <v>0</v>
      </c>
      <c r="AC92" s="1103">
        <f>合并调整抵消分录!N67</f>
        <v>0</v>
      </c>
      <c r="AD92" s="1103">
        <f>合并调整抵消分录!O67</f>
        <v>0</v>
      </c>
      <c r="AE92" s="1096">
        <f t="shared" si="73"/>
        <v>0</v>
      </c>
      <c r="AF92" s="1097"/>
      <c r="AG92" s="1097"/>
      <c r="AH92" s="1097"/>
      <c r="AI92" s="1097"/>
      <c r="AJ92" s="1097"/>
      <c r="AK92" s="1097"/>
      <c r="AL92" s="1096">
        <f t="shared" si="74"/>
        <v>0</v>
      </c>
      <c r="AM92" s="1103">
        <f>合并调整抵消分录!Q67</f>
        <v>0</v>
      </c>
      <c r="AN92" s="1103">
        <f>合并调整抵消分录!R67</f>
        <v>0</v>
      </c>
      <c r="AO92" s="1096">
        <f t="shared" si="75"/>
        <v>0</v>
      </c>
      <c r="AP92" s="1097"/>
      <c r="AQ92" s="1097"/>
      <c r="AR92" s="1096">
        <f t="shared" si="76"/>
        <v>0</v>
      </c>
      <c r="AS92" s="1103">
        <f>合并调整抵消分录!T67</f>
        <v>0</v>
      </c>
      <c r="AT92" s="1103">
        <f>合并调整抵消分录!U67</f>
        <v>0</v>
      </c>
      <c r="AU92" s="1096">
        <f t="shared" si="77"/>
        <v>0</v>
      </c>
      <c r="AV92" s="1092"/>
      <c r="AW92" s="1098">
        <f t="shared" si="66"/>
        <v>0</v>
      </c>
    </row>
    <row r="93" s="1018" customFormat="1" customHeight="1" spans="1:49">
      <c r="A93" s="1091" t="s">
        <v>738</v>
      </c>
      <c r="B93" s="1092"/>
      <c r="C93" s="1093"/>
      <c r="D93" s="1093"/>
      <c r="E93" s="1094"/>
      <c r="F93" s="1095"/>
      <c r="G93" s="1093"/>
      <c r="H93" s="1096">
        <f t="shared" si="68"/>
        <v>0</v>
      </c>
      <c r="I93" s="1103">
        <f>合并调整抵消分录!E68</f>
        <v>0</v>
      </c>
      <c r="J93" s="1103">
        <f>合并调整抵消分录!F68</f>
        <v>0</v>
      </c>
      <c r="K93" s="1096">
        <f t="shared" si="69"/>
        <v>0</v>
      </c>
      <c r="L93" s="1097"/>
      <c r="M93" s="1097"/>
      <c r="N93" s="1097"/>
      <c r="O93" s="1093"/>
      <c r="P93" s="1093"/>
      <c r="Q93" s="1093"/>
      <c r="R93" s="1096">
        <f t="shared" si="70"/>
        <v>0</v>
      </c>
      <c r="S93" s="1103">
        <v>0</v>
      </c>
      <c r="T93" s="1103">
        <v>0</v>
      </c>
      <c r="U93" s="1096">
        <f t="shared" si="71"/>
        <v>0</v>
      </c>
      <c r="V93" s="1097"/>
      <c r="W93" s="1097"/>
      <c r="X93" s="1097"/>
      <c r="Y93" s="1097"/>
      <c r="Z93" s="1097"/>
      <c r="AA93" s="1097"/>
      <c r="AB93" s="1096">
        <f t="shared" si="72"/>
        <v>0</v>
      </c>
      <c r="AC93" s="1103">
        <f>合并调整抵消分录!N68</f>
        <v>0</v>
      </c>
      <c r="AD93" s="1103">
        <f>合并调整抵消分录!O68</f>
        <v>0</v>
      </c>
      <c r="AE93" s="1096">
        <f t="shared" si="73"/>
        <v>0</v>
      </c>
      <c r="AF93" s="1097"/>
      <c r="AG93" s="1097"/>
      <c r="AH93" s="1097"/>
      <c r="AI93" s="1097"/>
      <c r="AJ93" s="1097"/>
      <c r="AK93" s="1097"/>
      <c r="AL93" s="1096">
        <f t="shared" si="74"/>
        <v>0</v>
      </c>
      <c r="AM93" s="1103">
        <f>合并调整抵消分录!Q68</f>
        <v>0</v>
      </c>
      <c r="AN93" s="1103">
        <f>合并调整抵消分录!R68</f>
        <v>0</v>
      </c>
      <c r="AO93" s="1096">
        <f t="shared" si="75"/>
        <v>0</v>
      </c>
      <c r="AP93" s="1097"/>
      <c r="AQ93" s="1097"/>
      <c r="AR93" s="1096">
        <f t="shared" si="76"/>
        <v>0</v>
      </c>
      <c r="AS93" s="1103">
        <f>合并调整抵消分录!T68</f>
        <v>0</v>
      </c>
      <c r="AT93" s="1103">
        <f>合并调整抵消分录!U68</f>
        <v>0</v>
      </c>
      <c r="AU93" s="1096">
        <f t="shared" si="77"/>
        <v>0</v>
      </c>
      <c r="AV93" s="1092"/>
      <c r="AW93" s="1098">
        <f t="shared" si="66"/>
        <v>0</v>
      </c>
    </row>
    <row r="94" s="1018" customFormat="1" customHeight="1" spans="1:49">
      <c r="A94" s="391" t="s">
        <v>237</v>
      </c>
      <c r="B94" s="1100">
        <f>VLOOKUP(A94,快速BS新!A$6:C$212,3,0)</f>
        <v>0</v>
      </c>
      <c r="C94" s="1093">
        <f>VLOOKUP(A94,新材料BS新!$A$4:$D$191,3,0)</f>
        <v>0</v>
      </c>
      <c r="D94" s="1093">
        <f>VLOOKUP(A94,精铸BS新!$A$6:$C$86,3,0)</f>
        <v>0</v>
      </c>
      <c r="E94" s="1093">
        <f>VLOOKUP(A94,热等静压BS新!$A$6:$C$86,3,0)</f>
        <v>0</v>
      </c>
      <c r="F94" s="1095"/>
      <c r="G94" s="1093"/>
      <c r="H94" s="1096">
        <f t="shared" si="68"/>
        <v>0</v>
      </c>
      <c r="I94" s="1103">
        <f>合并调整抵消分录!E69</f>
        <v>0</v>
      </c>
      <c r="J94" s="1103">
        <f>合并调整抵消分录!F69</f>
        <v>0</v>
      </c>
      <c r="K94" s="1096">
        <f t="shared" si="69"/>
        <v>0</v>
      </c>
      <c r="L94" s="1097">
        <v>0</v>
      </c>
      <c r="M94" s="1097">
        <v>0</v>
      </c>
      <c r="N94" s="1097">
        <v>0</v>
      </c>
      <c r="O94" s="1093">
        <v>0</v>
      </c>
      <c r="P94" s="1093"/>
      <c r="Q94" s="1093"/>
      <c r="R94" s="1096">
        <f t="shared" si="70"/>
        <v>0</v>
      </c>
      <c r="S94" s="1103">
        <v>0</v>
      </c>
      <c r="T94" s="1103">
        <v>0</v>
      </c>
      <c r="U94" s="1096">
        <f t="shared" si="71"/>
        <v>0</v>
      </c>
      <c r="V94" s="1097">
        <v>4778600.36</v>
      </c>
      <c r="W94" s="1097"/>
      <c r="X94" s="1097"/>
      <c r="Y94" s="1097"/>
      <c r="Z94" s="1097"/>
      <c r="AA94" s="1097"/>
      <c r="AB94" s="1096">
        <f t="shared" si="72"/>
        <v>4778600.36</v>
      </c>
      <c r="AC94" s="1103">
        <f>合并调整抵消分录!N69</f>
        <v>0</v>
      </c>
      <c r="AD94" s="1103">
        <f>合并调整抵消分录!O69</f>
        <v>0</v>
      </c>
      <c r="AE94" s="1096">
        <f t="shared" si="73"/>
        <v>4778600.36</v>
      </c>
      <c r="AF94" s="1097"/>
      <c r="AG94" s="1097"/>
      <c r="AH94" s="1097"/>
      <c r="AI94" s="1097"/>
      <c r="AJ94" s="1097"/>
      <c r="AK94" s="1097"/>
      <c r="AL94" s="1096">
        <f t="shared" si="74"/>
        <v>0</v>
      </c>
      <c r="AM94" s="1103">
        <f>合并调整抵消分录!Q69</f>
        <v>0</v>
      </c>
      <c r="AN94" s="1103">
        <f>合并调整抵消分录!R69</f>
        <v>0</v>
      </c>
      <c r="AO94" s="1096">
        <f t="shared" si="75"/>
        <v>0</v>
      </c>
      <c r="AP94" s="1097"/>
      <c r="AQ94" s="1097"/>
      <c r="AR94" s="1096">
        <f t="shared" si="76"/>
        <v>0</v>
      </c>
      <c r="AS94" s="1103">
        <f>合并调整抵消分录!T69</f>
        <v>0</v>
      </c>
      <c r="AT94" s="1103">
        <f>合并调整抵消分录!U69</f>
        <v>0</v>
      </c>
      <c r="AU94" s="1096">
        <f t="shared" si="77"/>
        <v>0</v>
      </c>
      <c r="AV94" s="1092" t="e">
        <f>VLOOKUP(A94,合并资产负债表!$A$6:$C$87,3,0)</f>
        <v>#N/A</v>
      </c>
      <c r="AW94" s="1098" t="e">
        <f t="shared" si="66"/>
        <v>#N/A</v>
      </c>
    </row>
    <row r="95" s="1018" customFormat="1" customHeight="1" spans="1:49">
      <c r="A95" s="1091" t="s">
        <v>739</v>
      </c>
      <c r="B95" s="1092"/>
      <c r="C95" s="1093"/>
      <c r="D95" s="1093"/>
      <c r="E95" s="1094"/>
      <c r="F95" s="1095"/>
      <c r="G95" s="1093"/>
      <c r="H95" s="1096">
        <f t="shared" si="68"/>
        <v>0</v>
      </c>
      <c r="I95" s="1103">
        <f>合并调整抵消分录!E70</f>
        <v>0</v>
      </c>
      <c r="J95" s="1103">
        <f>合并调整抵消分录!F70</f>
        <v>0</v>
      </c>
      <c r="K95" s="1096">
        <f t="shared" si="69"/>
        <v>0</v>
      </c>
      <c r="L95" s="1097"/>
      <c r="M95" s="1097"/>
      <c r="N95" s="1097"/>
      <c r="O95" s="1093"/>
      <c r="P95" s="1093"/>
      <c r="Q95" s="1093"/>
      <c r="R95" s="1096">
        <f t="shared" si="70"/>
        <v>0</v>
      </c>
      <c r="S95" s="1103">
        <v>0</v>
      </c>
      <c r="T95" s="1103">
        <v>0</v>
      </c>
      <c r="U95" s="1096">
        <f t="shared" si="71"/>
        <v>0</v>
      </c>
      <c r="V95" s="1097">
        <v>0</v>
      </c>
      <c r="W95" s="1097"/>
      <c r="X95" s="1097"/>
      <c r="Y95" s="1097"/>
      <c r="Z95" s="1097"/>
      <c r="AA95" s="1097"/>
      <c r="AB95" s="1096">
        <f t="shared" si="72"/>
        <v>0</v>
      </c>
      <c r="AC95" s="1103">
        <f>合并调整抵消分录!N70</f>
        <v>0</v>
      </c>
      <c r="AD95" s="1103">
        <f>合并调整抵消分录!O70</f>
        <v>0</v>
      </c>
      <c r="AE95" s="1096">
        <f t="shared" si="73"/>
        <v>0</v>
      </c>
      <c r="AF95" s="1097"/>
      <c r="AG95" s="1097"/>
      <c r="AH95" s="1097"/>
      <c r="AI95" s="1097"/>
      <c r="AJ95" s="1097"/>
      <c r="AK95" s="1097"/>
      <c r="AL95" s="1096">
        <f t="shared" si="74"/>
        <v>0</v>
      </c>
      <c r="AM95" s="1103">
        <f>合并调整抵消分录!Q70</f>
        <v>0</v>
      </c>
      <c r="AN95" s="1103">
        <f>合并调整抵消分录!R70</f>
        <v>0</v>
      </c>
      <c r="AO95" s="1096">
        <f t="shared" si="75"/>
        <v>0</v>
      </c>
      <c r="AP95" s="1097"/>
      <c r="AQ95" s="1097"/>
      <c r="AR95" s="1096">
        <f t="shared" si="76"/>
        <v>0</v>
      </c>
      <c r="AS95" s="1103">
        <f>合并调整抵消分录!T70</f>
        <v>0</v>
      </c>
      <c r="AT95" s="1103">
        <f>合并调整抵消分录!U70</f>
        <v>0</v>
      </c>
      <c r="AU95" s="1096">
        <f t="shared" si="77"/>
        <v>0</v>
      </c>
      <c r="AV95" s="1092"/>
      <c r="AW95" s="1098">
        <f t="shared" si="66"/>
        <v>0</v>
      </c>
    </row>
    <row r="96" s="1018" customFormat="1" customHeight="1" spans="1:49">
      <c r="A96" s="1101" t="s">
        <v>238</v>
      </c>
      <c r="B96" s="1100">
        <f>VLOOKUP(A96,快速BS新!A$6:C$212,3,0)</f>
        <v>0</v>
      </c>
      <c r="C96" s="1093">
        <f>VLOOKUP(A96,新材料BS新!$A$4:$D$191,3,0)</f>
        <v>0</v>
      </c>
      <c r="D96" s="1093">
        <f>VLOOKUP(A96,精铸BS新!$A$6:$C$86,3,0)</f>
        <v>0</v>
      </c>
      <c r="E96" s="1093">
        <f>VLOOKUP(A96,热等静压BS新!$A$6:$C$86,3,0)</f>
        <v>0</v>
      </c>
      <c r="F96" s="1095"/>
      <c r="G96" s="1093"/>
      <c r="H96" s="1096">
        <f t="shared" si="68"/>
        <v>0</v>
      </c>
      <c r="I96" s="1103">
        <f>合并调整抵消分录!E71</f>
        <v>0</v>
      </c>
      <c r="J96" s="1103">
        <f>合并调整抵消分录!F71</f>
        <v>0</v>
      </c>
      <c r="K96" s="1096">
        <f t="shared" si="69"/>
        <v>0</v>
      </c>
      <c r="L96" s="1097">
        <v>0</v>
      </c>
      <c r="M96" s="1097">
        <v>0</v>
      </c>
      <c r="N96" s="1097">
        <v>0</v>
      </c>
      <c r="O96" s="1093">
        <v>0</v>
      </c>
      <c r="P96" s="1093"/>
      <c r="Q96" s="1093"/>
      <c r="R96" s="1096">
        <f t="shared" si="70"/>
        <v>0</v>
      </c>
      <c r="S96" s="1103">
        <v>0</v>
      </c>
      <c r="T96" s="1103">
        <v>0</v>
      </c>
      <c r="U96" s="1096">
        <f t="shared" si="71"/>
        <v>0</v>
      </c>
      <c r="V96" s="1097">
        <v>0</v>
      </c>
      <c r="W96" s="1097"/>
      <c r="X96" s="1097"/>
      <c r="Y96" s="1097"/>
      <c r="Z96" s="1097"/>
      <c r="AA96" s="1097"/>
      <c r="AB96" s="1096">
        <f t="shared" si="72"/>
        <v>0</v>
      </c>
      <c r="AC96" s="1103">
        <f>合并调整抵消分录!N71</f>
        <v>0</v>
      </c>
      <c r="AD96" s="1103">
        <f>合并调整抵消分录!O71</f>
        <v>0</v>
      </c>
      <c r="AE96" s="1096">
        <f t="shared" si="73"/>
        <v>0</v>
      </c>
      <c r="AF96" s="1097"/>
      <c r="AG96" s="1097"/>
      <c r="AH96" s="1097"/>
      <c r="AI96" s="1097"/>
      <c r="AJ96" s="1097"/>
      <c r="AK96" s="1097"/>
      <c r="AL96" s="1096">
        <f t="shared" si="74"/>
        <v>0</v>
      </c>
      <c r="AM96" s="1103">
        <f>合并调整抵消分录!Q71</f>
        <v>0</v>
      </c>
      <c r="AN96" s="1103">
        <f>合并调整抵消分录!R71</f>
        <v>0</v>
      </c>
      <c r="AO96" s="1096">
        <f t="shared" si="75"/>
        <v>0</v>
      </c>
      <c r="AP96" s="1097"/>
      <c r="AQ96" s="1097"/>
      <c r="AR96" s="1096">
        <f t="shared" si="76"/>
        <v>0</v>
      </c>
      <c r="AS96" s="1103">
        <f>合并调整抵消分录!T71</f>
        <v>0</v>
      </c>
      <c r="AT96" s="1103">
        <f>合并调整抵消分录!U71</f>
        <v>0</v>
      </c>
      <c r="AU96" s="1096">
        <f t="shared" si="77"/>
        <v>0</v>
      </c>
      <c r="AV96" s="1092" t="e">
        <f>VLOOKUP(A96,合并资产负债表!$A$6:$C$87,3,0)</f>
        <v>#N/A</v>
      </c>
      <c r="AW96" s="1098" t="e">
        <f t="shared" si="66"/>
        <v>#N/A</v>
      </c>
    </row>
    <row r="97" s="1018" customFormat="1" customHeight="1" spans="1:49">
      <c r="A97" s="1101" t="s">
        <v>239</v>
      </c>
      <c r="B97" s="1100">
        <f>VLOOKUP(A97,快速BS新!A$6:C$212,3,0)</f>
        <v>0</v>
      </c>
      <c r="C97" s="1093">
        <f>VLOOKUP(A97,新材料BS新!$A$4:$D$191,3,0)</f>
        <v>0</v>
      </c>
      <c r="D97" s="1093">
        <f>VLOOKUP(A97,精铸BS新!$A$6:$C$86,3,0)</f>
        <v>0</v>
      </c>
      <c r="E97" s="1093">
        <f>VLOOKUP(A97,热等静压BS新!$A$6:$C$86,3,0)</f>
        <v>0</v>
      </c>
      <c r="F97" s="1095"/>
      <c r="G97" s="1093"/>
      <c r="H97" s="1096">
        <f t="shared" si="68"/>
        <v>0</v>
      </c>
      <c r="I97" s="1103">
        <f>合并调整抵消分录!E72</f>
        <v>0</v>
      </c>
      <c r="J97" s="1103">
        <f>合并调整抵消分录!F72</f>
        <v>0</v>
      </c>
      <c r="K97" s="1096">
        <f t="shared" si="69"/>
        <v>0</v>
      </c>
      <c r="L97" s="1097">
        <v>0</v>
      </c>
      <c r="M97" s="1097">
        <v>0</v>
      </c>
      <c r="N97" s="1097">
        <v>0</v>
      </c>
      <c r="O97" s="1093">
        <v>0</v>
      </c>
      <c r="P97" s="1093"/>
      <c r="Q97" s="1093"/>
      <c r="R97" s="1096">
        <f t="shared" si="70"/>
        <v>0</v>
      </c>
      <c r="S97" s="1103">
        <v>0</v>
      </c>
      <c r="T97" s="1103">
        <v>0</v>
      </c>
      <c r="U97" s="1096">
        <f t="shared" si="71"/>
        <v>0</v>
      </c>
      <c r="V97" s="1097">
        <v>0</v>
      </c>
      <c r="W97" s="1097"/>
      <c r="X97" s="1097"/>
      <c r="Y97" s="1097"/>
      <c r="Z97" s="1097"/>
      <c r="AA97" s="1097"/>
      <c r="AB97" s="1096">
        <f t="shared" si="72"/>
        <v>0</v>
      </c>
      <c r="AC97" s="1103">
        <f>合并调整抵消分录!N72</f>
        <v>0</v>
      </c>
      <c r="AD97" s="1103">
        <f>合并调整抵消分录!O72</f>
        <v>0</v>
      </c>
      <c r="AE97" s="1096">
        <f t="shared" si="73"/>
        <v>0</v>
      </c>
      <c r="AF97" s="1097"/>
      <c r="AG97" s="1097"/>
      <c r="AH97" s="1097"/>
      <c r="AI97" s="1097"/>
      <c r="AJ97" s="1097"/>
      <c r="AK97" s="1097"/>
      <c r="AL97" s="1096">
        <f t="shared" si="74"/>
        <v>0</v>
      </c>
      <c r="AM97" s="1103">
        <f>合并调整抵消分录!Q72</f>
        <v>0</v>
      </c>
      <c r="AN97" s="1103">
        <f>合并调整抵消分录!R72</f>
        <v>0</v>
      </c>
      <c r="AO97" s="1096">
        <f t="shared" si="75"/>
        <v>0</v>
      </c>
      <c r="AP97" s="1097"/>
      <c r="AQ97" s="1097"/>
      <c r="AR97" s="1096">
        <f t="shared" si="76"/>
        <v>0</v>
      </c>
      <c r="AS97" s="1103">
        <f>合并调整抵消分录!T72</f>
        <v>0</v>
      </c>
      <c r="AT97" s="1103">
        <f>合并调整抵消分录!U72</f>
        <v>0</v>
      </c>
      <c r="AU97" s="1096">
        <f t="shared" si="77"/>
        <v>0</v>
      </c>
      <c r="AV97" s="1092" t="e">
        <f>VLOOKUP(A97,合并资产负债表!$A$6:$C$87,3,0)</f>
        <v>#N/A</v>
      </c>
      <c r="AW97" s="1098" t="e">
        <f t="shared" si="66"/>
        <v>#N/A</v>
      </c>
    </row>
    <row r="98" s="1018" customFormat="1" customHeight="1" spans="1:49">
      <c r="A98" s="1101" t="s">
        <v>240</v>
      </c>
      <c r="B98" s="1100">
        <f>VLOOKUP(A98,快速BS新!A$6:C$212,3,0)</f>
        <v>33580808.61</v>
      </c>
      <c r="C98" s="1093">
        <f>VLOOKUP(A98,新材料BS新!$A$4:$D$191,3,0)</f>
        <v>350000</v>
      </c>
      <c r="D98" s="1093">
        <f>VLOOKUP(A98,精铸BS新!$A$6:$C$86,3,0)</f>
        <v>0</v>
      </c>
      <c r="E98" s="1093">
        <f>VLOOKUP(A98,热等静压BS新!$A$6:$C$86,3,0)</f>
        <v>0</v>
      </c>
      <c r="F98" s="1095"/>
      <c r="G98" s="1093"/>
      <c r="H98" s="1096">
        <f t="shared" si="68"/>
        <v>33930808.61</v>
      </c>
      <c r="I98" s="1103">
        <f>合并调整抵消分录!E73</f>
        <v>0</v>
      </c>
      <c r="J98" s="1103">
        <f>合并调整抵消分录!F73</f>
        <v>0</v>
      </c>
      <c r="K98" s="1096">
        <f t="shared" si="69"/>
        <v>33930808.61</v>
      </c>
      <c r="L98" s="1097">
        <v>8345132.64</v>
      </c>
      <c r="M98" s="1097">
        <v>0</v>
      </c>
      <c r="N98" s="1097">
        <v>0</v>
      </c>
      <c r="O98" s="1093">
        <v>0</v>
      </c>
      <c r="P98" s="1093"/>
      <c r="Q98" s="1093"/>
      <c r="R98" s="1096">
        <f t="shared" si="70"/>
        <v>8345132.64</v>
      </c>
      <c r="S98" s="1103">
        <v>0</v>
      </c>
      <c r="T98" s="1103">
        <v>0</v>
      </c>
      <c r="U98" s="1096">
        <f t="shared" si="71"/>
        <v>8345132.64</v>
      </c>
      <c r="V98" s="1097">
        <v>1945941.16</v>
      </c>
      <c r="W98" s="1097"/>
      <c r="X98" s="1097"/>
      <c r="Y98" s="1097"/>
      <c r="Z98" s="1097"/>
      <c r="AA98" s="1097"/>
      <c r="AB98" s="1096">
        <f t="shared" si="72"/>
        <v>1945941.16</v>
      </c>
      <c r="AC98" s="1103">
        <f>合并调整抵消分录!N73</f>
        <v>0</v>
      </c>
      <c r="AD98" s="1103">
        <f>合并调整抵消分录!O73</f>
        <v>0</v>
      </c>
      <c r="AE98" s="1096">
        <f t="shared" si="73"/>
        <v>1945941.16</v>
      </c>
      <c r="AF98" s="1097"/>
      <c r="AG98" s="1097"/>
      <c r="AH98" s="1097"/>
      <c r="AI98" s="1097"/>
      <c r="AJ98" s="1097"/>
      <c r="AK98" s="1097"/>
      <c r="AL98" s="1096">
        <f t="shared" si="74"/>
        <v>0</v>
      </c>
      <c r="AM98" s="1103">
        <f>合并调整抵消分录!Q73</f>
        <v>0</v>
      </c>
      <c r="AN98" s="1103">
        <f>合并调整抵消分录!R73</f>
        <v>0</v>
      </c>
      <c r="AO98" s="1096">
        <f t="shared" si="75"/>
        <v>0</v>
      </c>
      <c r="AP98" s="1097"/>
      <c r="AQ98" s="1097"/>
      <c r="AR98" s="1096">
        <f t="shared" si="76"/>
        <v>0</v>
      </c>
      <c r="AS98" s="1103">
        <f>合并调整抵消分录!T73</f>
        <v>0</v>
      </c>
      <c r="AT98" s="1103">
        <f>合并调整抵消分录!U73</f>
        <v>0</v>
      </c>
      <c r="AU98" s="1096">
        <f t="shared" si="77"/>
        <v>0</v>
      </c>
      <c r="AV98" s="1092" t="e">
        <f>VLOOKUP(A98,合并资产负债表!$A$6:$C$87,3,0)</f>
        <v>#N/A</v>
      </c>
      <c r="AW98" s="1098" t="e">
        <f t="shared" si="66"/>
        <v>#N/A</v>
      </c>
    </row>
    <row r="99" s="1018" customFormat="1" customHeight="1" spans="1:49">
      <c r="A99" s="1101" t="s">
        <v>241</v>
      </c>
      <c r="B99" s="1100">
        <f>VLOOKUP(A99,快速BS新!A$6:C$212,3,0)</f>
        <v>0</v>
      </c>
      <c r="C99" s="1093">
        <f>VLOOKUP(A99,新材料BS新!$A$4:$D$191,3,0)</f>
        <v>0</v>
      </c>
      <c r="D99" s="1093">
        <f>VLOOKUP(A99,精铸BS新!$A$6:$C$86,3,0)</f>
        <v>0</v>
      </c>
      <c r="E99" s="1093">
        <f>VLOOKUP(A99,热等静压BS新!$A$6:$C$86,3,0)</f>
        <v>0</v>
      </c>
      <c r="F99" s="1095"/>
      <c r="G99" s="1093"/>
      <c r="H99" s="1096">
        <f t="shared" si="68"/>
        <v>0</v>
      </c>
      <c r="I99" s="1103">
        <f>合并调整抵消分录!E74</f>
        <v>0</v>
      </c>
      <c r="J99" s="1103">
        <f>合并调整抵消分录!F74</f>
        <v>0</v>
      </c>
      <c r="K99" s="1096">
        <f t="shared" si="69"/>
        <v>0</v>
      </c>
      <c r="L99" s="1097">
        <v>0</v>
      </c>
      <c r="M99" s="1097">
        <v>0</v>
      </c>
      <c r="N99" s="1097">
        <v>0</v>
      </c>
      <c r="O99" s="1093">
        <v>0</v>
      </c>
      <c r="P99" s="1093"/>
      <c r="Q99" s="1093"/>
      <c r="R99" s="1096">
        <f t="shared" si="70"/>
        <v>0</v>
      </c>
      <c r="S99" s="1103">
        <v>0</v>
      </c>
      <c r="T99" s="1103">
        <v>0</v>
      </c>
      <c r="U99" s="1096">
        <f t="shared" si="71"/>
        <v>0</v>
      </c>
      <c r="V99" s="1097"/>
      <c r="W99" s="1097"/>
      <c r="X99" s="1097"/>
      <c r="Y99" s="1097"/>
      <c r="Z99" s="1097"/>
      <c r="AA99" s="1097"/>
      <c r="AB99" s="1096">
        <f t="shared" si="72"/>
        <v>0</v>
      </c>
      <c r="AC99" s="1103">
        <f>合并调整抵消分录!N74</f>
        <v>0</v>
      </c>
      <c r="AD99" s="1103">
        <f>合并调整抵消分录!O74</f>
        <v>0</v>
      </c>
      <c r="AE99" s="1096">
        <f t="shared" si="73"/>
        <v>0</v>
      </c>
      <c r="AF99" s="1097"/>
      <c r="AG99" s="1097"/>
      <c r="AH99" s="1097"/>
      <c r="AI99" s="1097"/>
      <c r="AJ99" s="1097"/>
      <c r="AK99" s="1097"/>
      <c r="AL99" s="1096">
        <f t="shared" si="74"/>
        <v>0</v>
      </c>
      <c r="AM99" s="1103">
        <f>合并调整抵消分录!Q74</f>
        <v>0</v>
      </c>
      <c r="AN99" s="1103">
        <f>合并调整抵消分录!R74</f>
        <v>0</v>
      </c>
      <c r="AO99" s="1096">
        <f t="shared" si="75"/>
        <v>0</v>
      </c>
      <c r="AP99" s="1097"/>
      <c r="AQ99" s="1097"/>
      <c r="AR99" s="1096">
        <f t="shared" si="76"/>
        <v>0</v>
      </c>
      <c r="AS99" s="1103">
        <f>合并调整抵消分录!T74</f>
        <v>0</v>
      </c>
      <c r="AT99" s="1103">
        <f>合并调整抵消分录!U74</f>
        <v>0</v>
      </c>
      <c r="AU99" s="1096">
        <f t="shared" si="77"/>
        <v>0</v>
      </c>
      <c r="AV99" s="1092" t="e">
        <f>VLOOKUP(A99,合并资产负债表!$A$6:$C$87,3,0)</f>
        <v>#N/A</v>
      </c>
      <c r="AW99" s="1098" t="e">
        <f t="shared" si="66"/>
        <v>#N/A</v>
      </c>
    </row>
    <row r="100" s="1018" customFormat="1" customHeight="1" spans="1:49">
      <c r="A100" s="1101" t="s">
        <v>243</v>
      </c>
      <c r="B100" s="1100">
        <f>VLOOKUP(A100,快速BS新!A$6:C$212,3,0)</f>
        <v>0</v>
      </c>
      <c r="C100" s="1093">
        <f>VLOOKUP(A100,新材料BS新!$A$4:$D$191,3,0)</f>
        <v>0</v>
      </c>
      <c r="D100" s="1093">
        <f>VLOOKUP(A100,精铸BS新!$A$6:$C$86,3,0)</f>
        <v>0</v>
      </c>
      <c r="E100" s="1093">
        <f>VLOOKUP(A100,热等静压BS新!$A$6:$C$86,3,0)</f>
        <v>0</v>
      </c>
      <c r="F100" s="1095"/>
      <c r="G100" s="1093"/>
      <c r="H100" s="1096">
        <f t="shared" si="68"/>
        <v>0</v>
      </c>
      <c r="I100" s="1103">
        <f>合并调整抵消分录!E75</f>
        <v>0</v>
      </c>
      <c r="J100" s="1103">
        <f>合并调整抵消分录!F75</f>
        <v>0</v>
      </c>
      <c r="K100" s="1096">
        <f t="shared" si="69"/>
        <v>0</v>
      </c>
      <c r="L100" s="1097">
        <v>0</v>
      </c>
      <c r="M100" s="1097">
        <v>0</v>
      </c>
      <c r="N100" s="1097">
        <v>0</v>
      </c>
      <c r="O100" s="1093">
        <v>0</v>
      </c>
      <c r="P100" s="1093"/>
      <c r="Q100" s="1093"/>
      <c r="R100" s="1096">
        <f t="shared" si="70"/>
        <v>0</v>
      </c>
      <c r="S100" s="1103">
        <v>0</v>
      </c>
      <c r="T100" s="1103">
        <v>0</v>
      </c>
      <c r="U100" s="1096">
        <f t="shared" si="71"/>
        <v>0</v>
      </c>
      <c r="V100" s="1097"/>
      <c r="W100" s="1097"/>
      <c r="X100" s="1097"/>
      <c r="Y100" s="1097"/>
      <c r="Z100" s="1097"/>
      <c r="AA100" s="1097"/>
      <c r="AB100" s="1096">
        <f t="shared" si="72"/>
        <v>0</v>
      </c>
      <c r="AC100" s="1103">
        <f>合并调整抵消分录!N75</f>
        <v>0</v>
      </c>
      <c r="AD100" s="1103">
        <f>合并调整抵消分录!O75</f>
        <v>0</v>
      </c>
      <c r="AE100" s="1096">
        <f t="shared" si="73"/>
        <v>0</v>
      </c>
      <c r="AF100" s="1097"/>
      <c r="AG100" s="1097"/>
      <c r="AH100" s="1097"/>
      <c r="AI100" s="1097"/>
      <c r="AJ100" s="1097"/>
      <c r="AK100" s="1097"/>
      <c r="AL100" s="1096">
        <f t="shared" si="74"/>
        <v>0</v>
      </c>
      <c r="AM100" s="1103">
        <f>合并调整抵消分录!Q75</f>
        <v>0</v>
      </c>
      <c r="AN100" s="1103">
        <f>合并调整抵消分录!R75</f>
        <v>0</v>
      </c>
      <c r="AO100" s="1096">
        <f t="shared" si="75"/>
        <v>0</v>
      </c>
      <c r="AP100" s="1097"/>
      <c r="AQ100" s="1097"/>
      <c r="AR100" s="1096">
        <f t="shared" si="76"/>
        <v>0</v>
      </c>
      <c r="AS100" s="1103">
        <f>合并调整抵消分录!T75</f>
        <v>0</v>
      </c>
      <c r="AT100" s="1103">
        <f>合并调整抵消分录!U75</f>
        <v>0</v>
      </c>
      <c r="AU100" s="1096">
        <f t="shared" si="77"/>
        <v>0</v>
      </c>
      <c r="AV100" s="1092" t="e">
        <f>VLOOKUP(A100,合并资产负债表!$A$6:$C$87,3,0)</f>
        <v>#N/A</v>
      </c>
      <c r="AW100" s="1098" t="e">
        <f t="shared" si="66"/>
        <v>#N/A</v>
      </c>
    </row>
    <row r="101" s="1018" customFormat="1" customHeight="1" spans="1:49">
      <c r="A101" s="1102" t="s">
        <v>740</v>
      </c>
      <c r="B101" s="1103">
        <f>SUM(B90:B91,B94:B100)</f>
        <v>82290808.61</v>
      </c>
      <c r="C101" s="1119">
        <f t="shared" ref="B101:AU101" si="78">SUM(C90:C91,C94:C100)</f>
        <v>350000</v>
      </c>
      <c r="D101" s="1119">
        <f t="shared" si="78"/>
        <v>0</v>
      </c>
      <c r="E101" s="1121">
        <f t="shared" si="78"/>
        <v>0</v>
      </c>
      <c r="F101" s="1121">
        <f t="shared" si="78"/>
        <v>0</v>
      </c>
      <c r="G101" s="1103">
        <f t="shared" si="78"/>
        <v>0</v>
      </c>
      <c r="H101" s="1103">
        <f t="shared" si="78"/>
        <v>82640808.61</v>
      </c>
      <c r="I101" s="1103">
        <f t="shared" si="78"/>
        <v>0</v>
      </c>
      <c r="J101" s="1103">
        <f t="shared" si="78"/>
        <v>0</v>
      </c>
      <c r="K101" s="1103">
        <f t="shared" si="78"/>
        <v>82640808.61</v>
      </c>
      <c r="L101" s="1103">
        <v>32145132.64</v>
      </c>
      <c r="M101" s="1103">
        <v>0</v>
      </c>
      <c r="N101" s="1103">
        <v>0</v>
      </c>
      <c r="O101" s="1103">
        <v>0</v>
      </c>
      <c r="P101" s="1103">
        <f t="shared" si="78"/>
        <v>0</v>
      </c>
      <c r="Q101" s="1103">
        <f t="shared" si="78"/>
        <v>0</v>
      </c>
      <c r="R101" s="1103">
        <f t="shared" si="78"/>
        <v>32145132.64</v>
      </c>
      <c r="S101" s="1103">
        <v>0</v>
      </c>
      <c r="T101" s="1103">
        <v>0</v>
      </c>
      <c r="U101" s="1103">
        <f t="shared" si="78"/>
        <v>32145132.64</v>
      </c>
      <c r="V101" s="1103">
        <v>6724541.52</v>
      </c>
      <c r="W101" s="1103">
        <v>0</v>
      </c>
      <c r="X101" s="1103">
        <v>0</v>
      </c>
      <c r="Y101" s="1103">
        <f t="shared" si="78"/>
        <v>0</v>
      </c>
      <c r="Z101" s="1103">
        <f t="shared" si="78"/>
        <v>0</v>
      </c>
      <c r="AA101" s="1103">
        <f t="shared" si="78"/>
        <v>0</v>
      </c>
      <c r="AB101" s="1103">
        <f t="shared" si="78"/>
        <v>6724541.52</v>
      </c>
      <c r="AC101" s="1103">
        <f t="shared" si="78"/>
        <v>0</v>
      </c>
      <c r="AD101" s="1103">
        <f t="shared" si="78"/>
        <v>0</v>
      </c>
      <c r="AE101" s="1103">
        <f t="shared" si="78"/>
        <v>6724541.52</v>
      </c>
      <c r="AF101" s="1103">
        <f t="shared" si="78"/>
        <v>0</v>
      </c>
      <c r="AG101" s="1103">
        <f t="shared" si="78"/>
        <v>0</v>
      </c>
      <c r="AH101" s="1103">
        <f t="shared" si="78"/>
        <v>0</v>
      </c>
      <c r="AI101" s="1103">
        <f t="shared" si="78"/>
        <v>0</v>
      </c>
      <c r="AJ101" s="1103">
        <f t="shared" si="78"/>
        <v>0</v>
      </c>
      <c r="AK101" s="1103">
        <f t="shared" si="78"/>
        <v>0</v>
      </c>
      <c r="AL101" s="1103">
        <f t="shared" si="78"/>
        <v>0</v>
      </c>
      <c r="AM101" s="1103">
        <f t="shared" si="78"/>
        <v>0</v>
      </c>
      <c r="AN101" s="1103">
        <f t="shared" si="78"/>
        <v>0</v>
      </c>
      <c r="AO101" s="1103">
        <f t="shared" si="78"/>
        <v>0</v>
      </c>
      <c r="AP101" s="1103">
        <f t="shared" si="78"/>
        <v>0</v>
      </c>
      <c r="AQ101" s="1103">
        <f t="shared" si="78"/>
        <v>0</v>
      </c>
      <c r="AR101" s="1103">
        <f t="shared" si="78"/>
        <v>0</v>
      </c>
      <c r="AS101" s="1103">
        <f t="shared" si="78"/>
        <v>0</v>
      </c>
      <c r="AT101" s="1103">
        <f t="shared" si="78"/>
        <v>0</v>
      </c>
      <c r="AU101" s="1103">
        <f t="shared" si="78"/>
        <v>0</v>
      </c>
      <c r="AV101" s="1092">
        <f>VLOOKUP(A101,合并资产负债表!$A$6:$C$87,3,0)</f>
        <v>70364500.86</v>
      </c>
      <c r="AW101" s="1098">
        <f t="shared" si="66"/>
        <v>12276307.75</v>
      </c>
    </row>
    <row r="102" s="1018" customFormat="1" customHeight="1" spans="1:49">
      <c r="A102" s="1102" t="s">
        <v>167</v>
      </c>
      <c r="B102" s="1103">
        <f>B88+B101</f>
        <v>283312905.6</v>
      </c>
      <c r="C102" s="1119">
        <f t="shared" ref="B102:AU102" si="79">C88+C101</f>
        <v>149392560.73</v>
      </c>
      <c r="D102" s="1119">
        <f t="shared" si="79"/>
        <v>13914418.59</v>
      </c>
      <c r="E102" s="1121">
        <f t="shared" si="79"/>
        <v>16074849.15</v>
      </c>
      <c r="F102" s="1121">
        <f t="shared" si="79"/>
        <v>0</v>
      </c>
      <c r="G102" s="1103">
        <f t="shared" si="79"/>
        <v>0</v>
      </c>
      <c r="H102" s="1103">
        <f t="shared" si="79"/>
        <v>462694734.07</v>
      </c>
      <c r="I102" s="1103">
        <f t="shared" si="79"/>
        <v>84166416.88</v>
      </c>
      <c r="J102" s="1103">
        <f t="shared" si="79"/>
        <v>443894.34</v>
      </c>
      <c r="K102" s="1103">
        <f t="shared" si="79"/>
        <v>378972211.53</v>
      </c>
      <c r="L102" s="1103">
        <v>251203324.94</v>
      </c>
      <c r="M102" s="1103">
        <v>105257164.15</v>
      </c>
      <c r="N102" s="1103">
        <v>11026594.89</v>
      </c>
      <c r="O102" s="1103">
        <v>15817832.03</v>
      </c>
      <c r="P102" s="1103">
        <f t="shared" si="79"/>
        <v>0</v>
      </c>
      <c r="Q102" s="1103">
        <f t="shared" si="79"/>
        <v>0</v>
      </c>
      <c r="R102" s="1103">
        <f t="shared" si="79"/>
        <v>383304916.01</v>
      </c>
      <c r="S102" s="1103">
        <v>63415461.77</v>
      </c>
      <c r="T102" s="1103">
        <v>0</v>
      </c>
      <c r="U102" s="1103">
        <f t="shared" si="79"/>
        <v>319889454.24</v>
      </c>
      <c r="V102" s="1103">
        <v>128636616.3</v>
      </c>
      <c r="W102" s="1103">
        <v>5363370.33</v>
      </c>
      <c r="X102" s="1103">
        <v>3894569.26</v>
      </c>
      <c r="Y102" s="1103">
        <f t="shared" si="79"/>
        <v>0</v>
      </c>
      <c r="Z102" s="1103">
        <f t="shared" si="79"/>
        <v>0</v>
      </c>
      <c r="AA102" s="1103">
        <f t="shared" si="79"/>
        <v>0</v>
      </c>
      <c r="AB102" s="1103">
        <f t="shared" si="79"/>
        <v>137894555.89</v>
      </c>
      <c r="AC102" s="1103">
        <f t="shared" si="79"/>
        <v>5028788.13</v>
      </c>
      <c r="AD102" s="1103">
        <f t="shared" si="79"/>
        <v>0</v>
      </c>
      <c r="AE102" s="1103">
        <f t="shared" si="79"/>
        <v>132865767.76</v>
      </c>
      <c r="AF102" s="1103">
        <f t="shared" si="79"/>
        <v>0</v>
      </c>
      <c r="AG102" s="1103">
        <f t="shared" si="79"/>
        <v>0</v>
      </c>
      <c r="AH102" s="1103">
        <f t="shared" si="79"/>
        <v>0</v>
      </c>
      <c r="AI102" s="1103">
        <f t="shared" si="79"/>
        <v>0</v>
      </c>
      <c r="AJ102" s="1103">
        <f t="shared" si="79"/>
        <v>0</v>
      </c>
      <c r="AK102" s="1103">
        <f t="shared" si="79"/>
        <v>0</v>
      </c>
      <c r="AL102" s="1103">
        <f t="shared" si="79"/>
        <v>0</v>
      </c>
      <c r="AM102" s="1103">
        <f t="shared" si="79"/>
        <v>0</v>
      </c>
      <c r="AN102" s="1103">
        <f t="shared" si="79"/>
        <v>0</v>
      </c>
      <c r="AO102" s="1103">
        <f t="shared" si="79"/>
        <v>0</v>
      </c>
      <c r="AP102" s="1103">
        <f t="shared" si="79"/>
        <v>0</v>
      </c>
      <c r="AQ102" s="1103">
        <f t="shared" si="79"/>
        <v>0</v>
      </c>
      <c r="AR102" s="1103">
        <f t="shared" si="79"/>
        <v>0</v>
      </c>
      <c r="AS102" s="1103">
        <f t="shared" si="79"/>
        <v>0</v>
      </c>
      <c r="AT102" s="1103">
        <f t="shared" si="79"/>
        <v>0</v>
      </c>
      <c r="AU102" s="1103">
        <f t="shared" si="79"/>
        <v>0</v>
      </c>
      <c r="AV102" s="1092">
        <f>VLOOKUP(A102,合并资产负债表!$A$6:$C$87,3,0)</f>
        <v>155346593.93</v>
      </c>
      <c r="AW102" s="1098">
        <f t="shared" si="66"/>
        <v>223625617.6</v>
      </c>
    </row>
    <row r="103" s="1018" customFormat="1" customHeight="1" spans="1:49">
      <c r="A103" s="1091" t="s">
        <v>741</v>
      </c>
      <c r="B103" s="1105"/>
      <c r="C103" s="1122"/>
      <c r="D103" s="1122"/>
      <c r="E103" s="1123"/>
      <c r="F103" s="1123"/>
      <c r="G103" s="1105"/>
      <c r="H103" s="1103"/>
      <c r="I103" s="1103"/>
      <c r="J103" s="1103"/>
      <c r="K103" s="1103"/>
      <c r="L103" s="1105"/>
      <c r="M103" s="1105"/>
      <c r="N103" s="1105"/>
      <c r="O103" s="1105"/>
      <c r="P103" s="1105"/>
      <c r="Q103" s="1105"/>
      <c r="R103" s="1103"/>
      <c r="S103" s="1103"/>
      <c r="T103" s="1103"/>
      <c r="U103" s="1103"/>
      <c r="V103" s="1105"/>
      <c r="W103" s="1105"/>
      <c r="X103" s="1105"/>
      <c r="Y103" s="1105"/>
      <c r="Z103" s="1105"/>
      <c r="AA103" s="1105"/>
      <c r="AB103" s="1103"/>
      <c r="AC103" s="1103"/>
      <c r="AD103" s="1103"/>
      <c r="AE103" s="1103"/>
      <c r="AF103" s="1105"/>
      <c r="AG103" s="1105"/>
      <c r="AH103" s="1105"/>
      <c r="AI103" s="1105"/>
      <c r="AJ103" s="1105"/>
      <c r="AK103" s="1105"/>
      <c r="AL103" s="1103"/>
      <c r="AM103" s="1103"/>
      <c r="AN103" s="1103"/>
      <c r="AO103" s="1103"/>
      <c r="AP103" s="1105"/>
      <c r="AQ103" s="1105"/>
      <c r="AR103" s="1103"/>
      <c r="AS103" s="1103"/>
      <c r="AT103" s="1103"/>
      <c r="AU103" s="1103"/>
      <c r="AV103" s="1092"/>
      <c r="AW103" s="1098">
        <f t="shared" si="66"/>
        <v>0</v>
      </c>
    </row>
    <row r="104" s="1018" customFormat="1" customHeight="1" spans="1:49">
      <c r="A104" s="391" t="s">
        <v>252</v>
      </c>
      <c r="B104" s="1100">
        <f>VLOOKUP(A104,快速BS新!A$6:C$212,3,0)</f>
        <v>262811200</v>
      </c>
      <c r="C104" s="1093">
        <f>VLOOKUP(A104,新材料BS新!$A$4:$D$191,3,0)</f>
        <v>235000000</v>
      </c>
      <c r="D104" s="1093">
        <f>VLOOKUP(A104,精铸BS新!$A$6:$C$186,3,0)</f>
        <v>18000000</v>
      </c>
      <c r="E104" s="1093">
        <f>VLOOKUP(A104,热等静压BS新!$A$6:$C$86,3,0)</f>
        <v>8428991.81</v>
      </c>
      <c r="F104" s="1095"/>
      <c r="G104" s="1093"/>
      <c r="H104" s="1096">
        <f t="shared" ref="H104:H114" si="80">SUM(B104:G104)</f>
        <v>524240191.81</v>
      </c>
      <c r="I104" s="1103">
        <f>合并调整抵消分录!E76</f>
        <v>261428991.81</v>
      </c>
      <c r="J104" s="1103">
        <f>合并调整抵消分录!F76</f>
        <v>0</v>
      </c>
      <c r="K104" s="1096">
        <f t="shared" ref="K104:K114" si="81">H104-I104+J104</f>
        <v>262811200</v>
      </c>
      <c r="L104" s="1093">
        <v>260216000</v>
      </c>
      <c r="M104" s="1093">
        <v>235000000</v>
      </c>
      <c r="N104" s="1093">
        <v>18000000</v>
      </c>
      <c r="O104" s="1087">
        <v>8428991.81</v>
      </c>
      <c r="P104" s="1093"/>
      <c r="Q104" s="1093"/>
      <c r="R104" s="1096">
        <f t="shared" ref="R104:R116" si="82">SUM(L104:Q104)</f>
        <v>521644991.81</v>
      </c>
      <c r="S104" s="1096">
        <v>261428991.81</v>
      </c>
      <c r="T104" s="1096">
        <v>0</v>
      </c>
      <c r="U104" s="1096">
        <f t="shared" ref="U104:U116" si="83">R104-S104+T104</f>
        <v>260216000</v>
      </c>
      <c r="V104" s="1097">
        <v>236560000</v>
      </c>
      <c r="W104" s="1097">
        <v>15000000</v>
      </c>
      <c r="X104" s="1097">
        <v>18000000</v>
      </c>
      <c r="Y104" s="1097"/>
      <c r="Z104" s="1097">
        <f>[6]TB子公司4!M100</f>
        <v>0</v>
      </c>
      <c r="AA104" s="1097">
        <f>[6]TB子公司5!M100</f>
        <v>0</v>
      </c>
      <c r="AB104" s="1096">
        <f t="shared" ref="AB104:AB114" si="84">SUM(V104:AA104)</f>
        <v>269560000</v>
      </c>
      <c r="AC104" s="1103">
        <f>合并调整抵消分录!N76</f>
        <v>33000000</v>
      </c>
      <c r="AD104" s="1103">
        <f>合并调整抵消分录!O76</f>
        <v>0</v>
      </c>
      <c r="AE104" s="1096">
        <f t="shared" ref="AE104:AE114" si="85">AB104-AC104+AD104</f>
        <v>236560000</v>
      </c>
      <c r="AF104" s="1097"/>
      <c r="AG104" s="1097"/>
      <c r="AH104" s="1097"/>
      <c r="AI104" s="1097"/>
      <c r="AJ104" s="1097"/>
      <c r="AK104" s="1097"/>
      <c r="AL104" s="1096">
        <f t="shared" ref="AL104:AL114" si="86">SUM(AF104:AK104)</f>
        <v>0</v>
      </c>
      <c r="AM104" s="1103">
        <f>合并调整抵消分录!Q76</f>
        <v>0</v>
      </c>
      <c r="AN104" s="1103">
        <f>合并调整抵消分录!R76</f>
        <v>0</v>
      </c>
      <c r="AO104" s="1096">
        <f t="shared" ref="AO104:AO114" si="87">AL104-AM104+AN104</f>
        <v>0</v>
      </c>
      <c r="AP104" s="1097"/>
      <c r="AQ104" s="1097"/>
      <c r="AR104" s="1096">
        <f t="shared" ref="AR104:AR114" si="88">SUM(AP104:AQ104)</f>
        <v>0</v>
      </c>
      <c r="AS104" s="1103">
        <f>合并调整抵消分录!T76</f>
        <v>0</v>
      </c>
      <c r="AT104" s="1103">
        <f>合并调整抵消分录!U76</f>
        <v>0</v>
      </c>
      <c r="AU104" s="1096">
        <f t="shared" ref="AU104:AU114" si="89">AR104-AS104+AT104</f>
        <v>0</v>
      </c>
      <c r="AV104" s="1092">
        <f>合并资产负债表!C77</f>
        <v>236560000</v>
      </c>
      <c r="AW104" s="1098">
        <f t="shared" si="66"/>
        <v>26251200</v>
      </c>
    </row>
    <row r="105" s="1018" customFormat="1" customHeight="1" spans="1:49">
      <c r="A105" s="1091" t="s">
        <v>742</v>
      </c>
      <c r="B105" s="1092"/>
      <c r="C105" s="1093"/>
      <c r="D105" s="1093"/>
      <c r="E105" s="1094"/>
      <c r="F105" s="1095"/>
      <c r="G105" s="1093"/>
      <c r="H105" s="1096">
        <f t="shared" si="80"/>
        <v>0</v>
      </c>
      <c r="I105" s="1103">
        <f>合并调整抵消分录!E77</f>
        <v>0</v>
      </c>
      <c r="J105" s="1103">
        <f>合并调整抵消分录!F77</f>
        <v>0</v>
      </c>
      <c r="K105" s="1096">
        <f t="shared" si="81"/>
        <v>0</v>
      </c>
      <c r="L105" s="1093"/>
      <c r="M105" s="1093"/>
      <c r="N105" s="1093"/>
      <c r="O105" s="1087"/>
      <c r="P105" s="1093"/>
      <c r="Q105" s="1093"/>
      <c r="R105" s="1096">
        <f t="shared" si="82"/>
        <v>0</v>
      </c>
      <c r="S105" s="1096">
        <v>0</v>
      </c>
      <c r="T105" s="1096">
        <v>0</v>
      </c>
      <c r="U105" s="1096">
        <f t="shared" si="83"/>
        <v>0</v>
      </c>
      <c r="V105" s="1097">
        <v>0</v>
      </c>
      <c r="W105" s="1097">
        <v>0</v>
      </c>
      <c r="X105" s="1097">
        <v>0</v>
      </c>
      <c r="Y105" s="1097"/>
      <c r="Z105" s="1097">
        <f>[6]TB子公司4!M101</f>
        <v>0</v>
      </c>
      <c r="AA105" s="1097">
        <f>[6]TB子公司5!M101</f>
        <v>0</v>
      </c>
      <c r="AB105" s="1096">
        <f t="shared" si="84"/>
        <v>0</v>
      </c>
      <c r="AC105" s="1103">
        <f>合并调整抵消分录!N77</f>
        <v>0</v>
      </c>
      <c r="AD105" s="1103">
        <f>合并调整抵消分录!O77</f>
        <v>0</v>
      </c>
      <c r="AE105" s="1096">
        <f t="shared" si="85"/>
        <v>0</v>
      </c>
      <c r="AF105" s="1097"/>
      <c r="AG105" s="1097"/>
      <c r="AH105" s="1097"/>
      <c r="AI105" s="1097"/>
      <c r="AJ105" s="1097"/>
      <c r="AK105" s="1097"/>
      <c r="AL105" s="1096">
        <f t="shared" si="86"/>
        <v>0</v>
      </c>
      <c r="AM105" s="1103">
        <f>合并调整抵消分录!Q77</f>
        <v>0</v>
      </c>
      <c r="AN105" s="1103">
        <f>合并调整抵消分录!R77</f>
        <v>0</v>
      </c>
      <c r="AO105" s="1096">
        <f t="shared" si="87"/>
        <v>0</v>
      </c>
      <c r="AP105" s="1097"/>
      <c r="AQ105" s="1097"/>
      <c r="AR105" s="1096">
        <f t="shared" si="88"/>
        <v>0</v>
      </c>
      <c r="AS105" s="1103">
        <f>合并调整抵消分录!T77</f>
        <v>0</v>
      </c>
      <c r="AT105" s="1103">
        <f>合并调整抵消分录!U77</f>
        <v>0</v>
      </c>
      <c r="AU105" s="1096">
        <f t="shared" si="89"/>
        <v>0</v>
      </c>
      <c r="AV105" s="1092"/>
      <c r="AW105" s="1098">
        <f t="shared" si="66"/>
        <v>0</v>
      </c>
    </row>
    <row r="106" s="1018" customFormat="1" customHeight="1" spans="1:49">
      <c r="A106" s="1091" t="s">
        <v>737</v>
      </c>
      <c r="B106" s="1092"/>
      <c r="C106" s="1093"/>
      <c r="D106" s="1093"/>
      <c r="E106" s="1094"/>
      <c r="F106" s="1095"/>
      <c r="G106" s="1093"/>
      <c r="H106" s="1096">
        <f t="shared" si="80"/>
        <v>0</v>
      </c>
      <c r="I106" s="1103">
        <f>合并调整抵消分录!E78</f>
        <v>0</v>
      </c>
      <c r="J106" s="1103">
        <f>合并调整抵消分录!F78</f>
        <v>0</v>
      </c>
      <c r="K106" s="1096">
        <f t="shared" si="81"/>
        <v>0</v>
      </c>
      <c r="L106" s="1093"/>
      <c r="M106" s="1093"/>
      <c r="N106" s="1093"/>
      <c r="O106" s="1087"/>
      <c r="P106" s="1093"/>
      <c r="Q106" s="1093"/>
      <c r="R106" s="1096">
        <f t="shared" si="82"/>
        <v>0</v>
      </c>
      <c r="S106" s="1096">
        <v>0</v>
      </c>
      <c r="T106" s="1096">
        <v>0</v>
      </c>
      <c r="U106" s="1096">
        <f t="shared" si="83"/>
        <v>0</v>
      </c>
      <c r="V106" s="1097">
        <v>0</v>
      </c>
      <c r="W106" s="1097">
        <v>0</v>
      </c>
      <c r="X106" s="1097">
        <v>0</v>
      </c>
      <c r="Y106" s="1097"/>
      <c r="Z106" s="1097">
        <f>[6]TB子公司4!M102</f>
        <v>0</v>
      </c>
      <c r="AA106" s="1097">
        <f>[6]TB子公司5!M102</f>
        <v>0</v>
      </c>
      <c r="AB106" s="1096">
        <f t="shared" si="84"/>
        <v>0</v>
      </c>
      <c r="AC106" s="1103">
        <f>合并调整抵消分录!N78</f>
        <v>0</v>
      </c>
      <c r="AD106" s="1103">
        <f>合并调整抵消分录!O78</f>
        <v>0</v>
      </c>
      <c r="AE106" s="1096">
        <f t="shared" si="85"/>
        <v>0</v>
      </c>
      <c r="AF106" s="1097"/>
      <c r="AG106" s="1097"/>
      <c r="AH106" s="1097"/>
      <c r="AI106" s="1097"/>
      <c r="AJ106" s="1097"/>
      <c r="AK106" s="1097"/>
      <c r="AL106" s="1096">
        <f t="shared" si="86"/>
        <v>0</v>
      </c>
      <c r="AM106" s="1103">
        <f>合并调整抵消分录!Q78</f>
        <v>0</v>
      </c>
      <c r="AN106" s="1103">
        <f>合并调整抵消分录!R78</f>
        <v>0</v>
      </c>
      <c r="AO106" s="1096">
        <f t="shared" si="87"/>
        <v>0</v>
      </c>
      <c r="AP106" s="1097"/>
      <c r="AQ106" s="1097"/>
      <c r="AR106" s="1096">
        <f t="shared" si="88"/>
        <v>0</v>
      </c>
      <c r="AS106" s="1103">
        <f>合并调整抵消分录!T78</f>
        <v>0</v>
      </c>
      <c r="AT106" s="1103">
        <f>合并调整抵消分录!U78</f>
        <v>0</v>
      </c>
      <c r="AU106" s="1096">
        <f t="shared" si="89"/>
        <v>0</v>
      </c>
      <c r="AV106" s="1092"/>
      <c r="AW106" s="1098">
        <f t="shared" si="66"/>
        <v>0</v>
      </c>
    </row>
    <row r="107" s="1018" customFormat="1" customHeight="1" spans="1:49">
      <c r="A107" s="1091" t="s">
        <v>738</v>
      </c>
      <c r="B107" s="1092"/>
      <c r="C107" s="1093"/>
      <c r="D107" s="1093"/>
      <c r="E107" s="1094"/>
      <c r="F107" s="1095"/>
      <c r="G107" s="1093"/>
      <c r="H107" s="1096">
        <f t="shared" si="80"/>
        <v>0</v>
      </c>
      <c r="I107" s="1103">
        <f>合并调整抵消分录!E79</f>
        <v>0</v>
      </c>
      <c r="J107" s="1103">
        <f>合并调整抵消分录!F79</f>
        <v>0</v>
      </c>
      <c r="K107" s="1096">
        <f t="shared" si="81"/>
        <v>0</v>
      </c>
      <c r="L107" s="1093"/>
      <c r="M107" s="1093"/>
      <c r="N107" s="1093"/>
      <c r="O107" s="1087"/>
      <c r="P107" s="1093"/>
      <c r="Q107" s="1093"/>
      <c r="R107" s="1096">
        <f t="shared" si="82"/>
        <v>0</v>
      </c>
      <c r="S107" s="1096">
        <v>0</v>
      </c>
      <c r="T107" s="1096">
        <v>0</v>
      </c>
      <c r="U107" s="1096">
        <f t="shared" si="83"/>
        <v>0</v>
      </c>
      <c r="V107" s="1097">
        <v>0</v>
      </c>
      <c r="W107" s="1097">
        <v>0</v>
      </c>
      <c r="X107" s="1097">
        <v>0</v>
      </c>
      <c r="Y107" s="1097"/>
      <c r="Z107" s="1097">
        <f>[6]TB子公司4!M103</f>
        <v>0</v>
      </c>
      <c r="AA107" s="1097">
        <f>[6]TB子公司5!M103</f>
        <v>0</v>
      </c>
      <c r="AB107" s="1096">
        <f t="shared" si="84"/>
        <v>0</v>
      </c>
      <c r="AC107" s="1103">
        <f>合并调整抵消分录!N79</f>
        <v>0</v>
      </c>
      <c r="AD107" s="1103">
        <f>合并调整抵消分录!O79</f>
        <v>0</v>
      </c>
      <c r="AE107" s="1096">
        <f t="shared" si="85"/>
        <v>0</v>
      </c>
      <c r="AF107" s="1097"/>
      <c r="AG107" s="1097"/>
      <c r="AH107" s="1097"/>
      <c r="AI107" s="1097"/>
      <c r="AJ107" s="1097"/>
      <c r="AK107" s="1097"/>
      <c r="AL107" s="1096">
        <f t="shared" si="86"/>
        <v>0</v>
      </c>
      <c r="AM107" s="1103">
        <f>合并调整抵消分录!Q79</f>
        <v>0</v>
      </c>
      <c r="AN107" s="1103">
        <f>合并调整抵消分录!R79</f>
        <v>0</v>
      </c>
      <c r="AO107" s="1096">
        <f t="shared" si="87"/>
        <v>0</v>
      </c>
      <c r="AP107" s="1097"/>
      <c r="AQ107" s="1097"/>
      <c r="AR107" s="1096">
        <f t="shared" si="88"/>
        <v>0</v>
      </c>
      <c r="AS107" s="1103">
        <f>合并调整抵消分录!T79</f>
        <v>0</v>
      </c>
      <c r="AT107" s="1103">
        <f>合并调整抵消分录!U79</f>
        <v>0</v>
      </c>
      <c r="AU107" s="1096">
        <f t="shared" si="89"/>
        <v>0</v>
      </c>
      <c r="AV107" s="1092"/>
      <c r="AW107" s="1098">
        <f t="shared" si="66"/>
        <v>0</v>
      </c>
    </row>
    <row r="108" s="1018" customFormat="1" customHeight="1" spans="1:49">
      <c r="A108" s="391" t="s">
        <v>254</v>
      </c>
      <c r="B108" s="1100">
        <f>VLOOKUP(A108,快速BS新!A$6:C$212,3,0)</f>
        <v>120661048</v>
      </c>
      <c r="C108" s="1093">
        <f>VLOOKUP(A108,新材料BS新!$A$4:$D$191,3,0)</f>
        <v>0</v>
      </c>
      <c r="D108" s="1093">
        <f>VLOOKUP(A108,精铸BS新!$A$6:$C$186,3,0)</f>
        <v>0</v>
      </c>
      <c r="E108" s="1093">
        <f>VLOOKUP(A108,热等静压BS新!$A$6:$C$186,3,0)</f>
        <v>0</v>
      </c>
      <c r="F108" s="1095"/>
      <c r="G108" s="1093"/>
      <c r="H108" s="1096">
        <f t="shared" si="80"/>
        <v>120661048</v>
      </c>
      <c r="I108" s="1103">
        <f>合并调整抵消分录!E80</f>
        <v>3000000</v>
      </c>
      <c r="J108" s="1103">
        <f>合并调整抵消分录!F80</f>
        <v>-10903.67</v>
      </c>
      <c r="K108" s="1096">
        <f t="shared" si="81"/>
        <v>117650144.33</v>
      </c>
      <c r="L108" s="1097">
        <v>108256248</v>
      </c>
      <c r="M108" s="1097">
        <v>0</v>
      </c>
      <c r="N108" s="1097">
        <v>0</v>
      </c>
      <c r="O108" s="1087">
        <v>0</v>
      </c>
      <c r="P108" s="1093"/>
      <c r="Q108" s="1093"/>
      <c r="R108" s="1096">
        <f t="shared" si="82"/>
        <v>108256248</v>
      </c>
      <c r="S108" s="1096">
        <v>3000000</v>
      </c>
      <c r="T108" s="1096">
        <v>-10903.67</v>
      </c>
      <c r="U108" s="1096">
        <f t="shared" si="83"/>
        <v>105245344.33</v>
      </c>
      <c r="V108" s="1097">
        <v>21912248</v>
      </c>
      <c r="W108" s="1097">
        <v>0</v>
      </c>
      <c r="X108" s="1097">
        <v>0</v>
      </c>
      <c r="Y108" s="1097"/>
      <c r="Z108" s="1097">
        <f>[6]TB子公司4!M104</f>
        <v>0</v>
      </c>
      <c r="AA108" s="1097">
        <f>[6]TB子公司5!M104</f>
        <v>0</v>
      </c>
      <c r="AB108" s="1096">
        <f t="shared" si="84"/>
        <v>21912248</v>
      </c>
      <c r="AC108" s="1103">
        <f>合并调整抵消分录!N80</f>
        <v>3000000</v>
      </c>
      <c r="AD108" s="1103">
        <f>合并调整抵消分录!O80</f>
        <v>-10903.67</v>
      </c>
      <c r="AE108" s="1096">
        <f t="shared" si="85"/>
        <v>18901344.33</v>
      </c>
      <c r="AF108" s="1097"/>
      <c r="AG108" s="1097"/>
      <c r="AH108" s="1097"/>
      <c r="AI108" s="1097"/>
      <c r="AJ108" s="1097"/>
      <c r="AK108" s="1097"/>
      <c r="AL108" s="1096">
        <f t="shared" si="86"/>
        <v>0</v>
      </c>
      <c r="AM108" s="1103">
        <f>合并调整抵消分录!Q80</f>
        <v>0</v>
      </c>
      <c r="AN108" s="1103">
        <f>合并调整抵消分录!R80</f>
        <v>0</v>
      </c>
      <c r="AO108" s="1096">
        <f t="shared" si="87"/>
        <v>0</v>
      </c>
      <c r="AP108" s="1097"/>
      <c r="AQ108" s="1097"/>
      <c r="AR108" s="1096">
        <f t="shared" si="88"/>
        <v>0</v>
      </c>
      <c r="AS108" s="1103">
        <f>合并调整抵消分录!T80</f>
        <v>0</v>
      </c>
      <c r="AT108" s="1103">
        <f>合并调整抵消分录!U80</f>
        <v>0</v>
      </c>
      <c r="AU108" s="1096">
        <f t="shared" si="89"/>
        <v>0</v>
      </c>
      <c r="AV108" s="1092" t="e">
        <f>VLOOKUP(A108,合并资产负债表!$A$6:$C$87,3,0)</f>
        <v>#N/A</v>
      </c>
      <c r="AW108" s="1098" t="e">
        <f t="shared" si="66"/>
        <v>#N/A</v>
      </c>
    </row>
    <row r="109" s="1018" customFormat="1" customHeight="1" spans="1:49">
      <c r="A109" s="1091" t="s">
        <v>743</v>
      </c>
      <c r="B109" s="1092"/>
      <c r="C109" s="1093"/>
      <c r="D109" s="1093"/>
      <c r="E109" s="1094"/>
      <c r="F109" s="1095"/>
      <c r="G109" s="1093"/>
      <c r="H109" s="1096">
        <f t="shared" si="80"/>
        <v>0</v>
      </c>
      <c r="I109" s="1103">
        <f>合并调整抵消分录!E81</f>
        <v>0</v>
      </c>
      <c r="J109" s="1103">
        <f>合并调整抵消分录!F81</f>
        <v>0</v>
      </c>
      <c r="K109" s="1096">
        <f t="shared" si="81"/>
        <v>0</v>
      </c>
      <c r="L109" s="1097"/>
      <c r="M109" s="1097"/>
      <c r="N109" s="1097"/>
      <c r="O109" s="1087"/>
      <c r="P109" s="1093"/>
      <c r="Q109" s="1093"/>
      <c r="R109" s="1096">
        <f t="shared" si="82"/>
        <v>0</v>
      </c>
      <c r="S109" s="1096">
        <v>0</v>
      </c>
      <c r="T109" s="1096">
        <v>0</v>
      </c>
      <c r="U109" s="1096">
        <f t="shared" si="83"/>
        <v>0</v>
      </c>
      <c r="V109" s="1097">
        <v>0</v>
      </c>
      <c r="W109" s="1097">
        <v>0</v>
      </c>
      <c r="X109" s="1097">
        <v>0</v>
      </c>
      <c r="Y109" s="1097"/>
      <c r="Z109" s="1097">
        <f>[6]TB子公司4!M105</f>
        <v>0</v>
      </c>
      <c r="AA109" s="1097">
        <f>[6]TB子公司5!M105</f>
        <v>0</v>
      </c>
      <c r="AB109" s="1096">
        <f t="shared" si="84"/>
        <v>0</v>
      </c>
      <c r="AC109" s="1103">
        <f>合并调整抵消分录!N81</f>
        <v>0</v>
      </c>
      <c r="AD109" s="1103">
        <f>合并调整抵消分录!O81</f>
        <v>0</v>
      </c>
      <c r="AE109" s="1096">
        <f t="shared" si="85"/>
        <v>0</v>
      </c>
      <c r="AF109" s="1097"/>
      <c r="AG109" s="1097"/>
      <c r="AH109" s="1097"/>
      <c r="AI109" s="1097"/>
      <c r="AJ109" s="1097"/>
      <c r="AK109" s="1097"/>
      <c r="AL109" s="1096">
        <f t="shared" si="86"/>
        <v>0</v>
      </c>
      <c r="AM109" s="1103">
        <f>合并调整抵消分录!Q81</f>
        <v>0</v>
      </c>
      <c r="AN109" s="1103">
        <f>合并调整抵消分录!R81</f>
        <v>0</v>
      </c>
      <c r="AO109" s="1096">
        <f t="shared" si="87"/>
        <v>0</v>
      </c>
      <c r="AP109" s="1097"/>
      <c r="AQ109" s="1097"/>
      <c r="AR109" s="1096">
        <f t="shared" si="88"/>
        <v>0</v>
      </c>
      <c r="AS109" s="1103">
        <f>合并调整抵消分录!T81</f>
        <v>0</v>
      </c>
      <c r="AT109" s="1103">
        <f>合并调整抵消分录!U81</f>
        <v>0</v>
      </c>
      <c r="AU109" s="1096">
        <f t="shared" si="89"/>
        <v>0</v>
      </c>
      <c r="AV109" s="1092"/>
      <c r="AW109" s="1098">
        <f t="shared" si="66"/>
        <v>0</v>
      </c>
    </row>
    <row r="110" s="1018" customFormat="1" customHeight="1" spans="1:49">
      <c r="A110" s="1091" t="s">
        <v>744</v>
      </c>
      <c r="B110" s="1092"/>
      <c r="C110" s="1093"/>
      <c r="D110" s="1093"/>
      <c r="E110" s="1094"/>
      <c r="F110" s="1095"/>
      <c r="G110" s="1093"/>
      <c r="H110" s="1096">
        <f t="shared" si="80"/>
        <v>0</v>
      </c>
      <c r="I110" s="1103">
        <f>合并调整抵消分录!E82</f>
        <v>0</v>
      </c>
      <c r="J110" s="1103">
        <f>合并调整抵消分录!F82</f>
        <v>0</v>
      </c>
      <c r="K110" s="1096">
        <f t="shared" si="81"/>
        <v>0</v>
      </c>
      <c r="L110" s="1097"/>
      <c r="M110" s="1097"/>
      <c r="N110" s="1097"/>
      <c r="O110" s="1093"/>
      <c r="P110" s="1093"/>
      <c r="Q110" s="1093"/>
      <c r="R110" s="1096">
        <f t="shared" si="82"/>
        <v>0</v>
      </c>
      <c r="S110" s="1103">
        <v>0</v>
      </c>
      <c r="T110" s="1103">
        <v>0</v>
      </c>
      <c r="U110" s="1096">
        <f t="shared" si="83"/>
        <v>0</v>
      </c>
      <c r="V110" s="1097">
        <v>0</v>
      </c>
      <c r="W110" s="1097">
        <v>0</v>
      </c>
      <c r="X110" s="1097">
        <v>0</v>
      </c>
      <c r="Y110" s="1097"/>
      <c r="Z110" s="1097">
        <f>[6]TB子公司4!M106</f>
        <v>0</v>
      </c>
      <c r="AA110" s="1097">
        <f>[6]TB子公司5!M106</f>
        <v>0</v>
      </c>
      <c r="AB110" s="1096">
        <f t="shared" si="84"/>
        <v>0</v>
      </c>
      <c r="AC110" s="1103">
        <f>合并调整抵消分录!N82</f>
        <v>0</v>
      </c>
      <c r="AD110" s="1103">
        <f>合并调整抵消分录!O82</f>
        <v>0</v>
      </c>
      <c r="AE110" s="1096">
        <f t="shared" si="85"/>
        <v>0</v>
      </c>
      <c r="AF110" s="1097"/>
      <c r="AG110" s="1097"/>
      <c r="AH110" s="1097"/>
      <c r="AI110" s="1097"/>
      <c r="AJ110" s="1097"/>
      <c r="AK110" s="1097"/>
      <c r="AL110" s="1096">
        <f t="shared" si="86"/>
        <v>0</v>
      </c>
      <c r="AM110" s="1103">
        <f>合并调整抵消分录!Q82</f>
        <v>0</v>
      </c>
      <c r="AN110" s="1103">
        <f>合并调整抵消分录!R82</f>
        <v>0</v>
      </c>
      <c r="AO110" s="1096">
        <f t="shared" si="87"/>
        <v>0</v>
      </c>
      <c r="AP110" s="1097"/>
      <c r="AQ110" s="1097"/>
      <c r="AR110" s="1096">
        <f t="shared" si="88"/>
        <v>0</v>
      </c>
      <c r="AS110" s="1103">
        <f>合并调整抵消分录!T82</f>
        <v>0</v>
      </c>
      <c r="AT110" s="1103">
        <f>合并调整抵消分录!U82</f>
        <v>0</v>
      </c>
      <c r="AU110" s="1096">
        <f t="shared" si="89"/>
        <v>0</v>
      </c>
      <c r="AV110" s="1092"/>
      <c r="AW110" s="1098">
        <f t="shared" si="66"/>
        <v>0</v>
      </c>
    </row>
    <row r="111" s="1018" customFormat="1" customHeight="1" spans="1:49">
      <c r="A111" s="1091" t="s">
        <v>745</v>
      </c>
      <c r="B111" s="1092"/>
      <c r="C111" s="1093"/>
      <c r="D111" s="1093"/>
      <c r="E111" s="1094"/>
      <c r="F111" s="1095"/>
      <c r="G111" s="1093"/>
      <c r="H111" s="1096">
        <f t="shared" si="80"/>
        <v>0</v>
      </c>
      <c r="I111" s="1103">
        <f>合并调整抵消分录!E83</f>
        <v>0</v>
      </c>
      <c r="J111" s="1103">
        <f>合并调整抵消分录!F83</f>
        <v>0</v>
      </c>
      <c r="K111" s="1096">
        <f t="shared" si="81"/>
        <v>0</v>
      </c>
      <c r="L111" s="1097"/>
      <c r="M111" s="1097"/>
      <c r="N111" s="1097"/>
      <c r="O111" s="1093"/>
      <c r="P111" s="1093"/>
      <c r="Q111" s="1093"/>
      <c r="R111" s="1096">
        <f t="shared" si="82"/>
        <v>0</v>
      </c>
      <c r="S111" s="1103">
        <v>0</v>
      </c>
      <c r="T111" s="1103">
        <v>0</v>
      </c>
      <c r="U111" s="1096">
        <f t="shared" si="83"/>
        <v>0</v>
      </c>
      <c r="V111" s="1097">
        <v>0</v>
      </c>
      <c r="W111" s="1097">
        <v>0</v>
      </c>
      <c r="X111" s="1097">
        <v>0</v>
      </c>
      <c r="Y111" s="1097"/>
      <c r="Z111" s="1097">
        <f>[6]TB子公司4!M107</f>
        <v>0</v>
      </c>
      <c r="AA111" s="1097">
        <f>[6]TB子公司5!M107</f>
        <v>0</v>
      </c>
      <c r="AB111" s="1096">
        <f t="shared" si="84"/>
        <v>0</v>
      </c>
      <c r="AC111" s="1103">
        <f>合并调整抵消分录!N83</f>
        <v>0</v>
      </c>
      <c r="AD111" s="1103">
        <f>合并调整抵消分录!O83</f>
        <v>0</v>
      </c>
      <c r="AE111" s="1096">
        <f t="shared" si="85"/>
        <v>0</v>
      </c>
      <c r="AF111" s="1097"/>
      <c r="AG111" s="1097"/>
      <c r="AH111" s="1097"/>
      <c r="AI111" s="1097"/>
      <c r="AJ111" s="1097"/>
      <c r="AK111" s="1097"/>
      <c r="AL111" s="1096">
        <f t="shared" si="86"/>
        <v>0</v>
      </c>
      <c r="AM111" s="1103">
        <f>合并调整抵消分录!Q83</f>
        <v>0</v>
      </c>
      <c r="AN111" s="1103">
        <f>合并调整抵消分录!R83</f>
        <v>0</v>
      </c>
      <c r="AO111" s="1096">
        <f t="shared" si="87"/>
        <v>0</v>
      </c>
      <c r="AP111" s="1097"/>
      <c r="AQ111" s="1097"/>
      <c r="AR111" s="1096">
        <f t="shared" si="88"/>
        <v>0</v>
      </c>
      <c r="AS111" s="1103">
        <f>合并调整抵消分录!T83</f>
        <v>0</v>
      </c>
      <c r="AT111" s="1103">
        <f>合并调整抵消分录!U83</f>
        <v>0</v>
      </c>
      <c r="AU111" s="1096">
        <f t="shared" si="89"/>
        <v>0</v>
      </c>
      <c r="AV111" s="1092"/>
      <c r="AW111" s="1098">
        <f t="shared" si="66"/>
        <v>0</v>
      </c>
    </row>
    <row r="112" s="1018" customFormat="1" customHeight="1" spans="1:49">
      <c r="A112" s="391" t="s">
        <v>258</v>
      </c>
      <c r="B112" s="1100">
        <f>VLOOKUP(A112,快速BS新!A$6:C$212,3,0)</f>
        <v>0</v>
      </c>
      <c r="C112" s="1093">
        <f>VLOOKUP(A112,新材料BS新!$A$4:$D$191,3,0)</f>
        <v>0</v>
      </c>
      <c r="D112" s="1093">
        <f>VLOOKUP(A112,精铸BS新!$A$6:$C$186,3,0)</f>
        <v>0</v>
      </c>
      <c r="E112" s="1093">
        <f>VLOOKUP(A112,热等静压BS新!$A$6:$C$186,3,0)</f>
        <v>105776.41</v>
      </c>
      <c r="F112" s="1095"/>
      <c r="G112" s="1093"/>
      <c r="H112" s="1096">
        <f t="shared" si="80"/>
        <v>105776.41</v>
      </c>
      <c r="I112" s="1103">
        <f>合并调整抵消分录!E84</f>
        <v>105776.41</v>
      </c>
      <c r="J112" s="1103">
        <f>合并调整抵消分录!F84</f>
        <v>0</v>
      </c>
      <c r="K112" s="1096">
        <f t="shared" si="81"/>
        <v>0</v>
      </c>
      <c r="L112" s="1097">
        <v>0</v>
      </c>
      <c r="M112" s="1097">
        <v>0</v>
      </c>
      <c r="N112" s="1097">
        <v>0</v>
      </c>
      <c r="O112" s="1087">
        <v>0</v>
      </c>
      <c r="P112" s="1093"/>
      <c r="Q112" s="1093"/>
      <c r="R112" s="1096">
        <f t="shared" si="82"/>
        <v>0</v>
      </c>
      <c r="S112" s="1096">
        <v>0</v>
      </c>
      <c r="T112" s="1096">
        <v>0</v>
      </c>
      <c r="U112" s="1096">
        <f t="shared" si="83"/>
        <v>0</v>
      </c>
      <c r="V112" s="1097">
        <v>0</v>
      </c>
      <c r="W112" s="1097">
        <v>0</v>
      </c>
      <c r="X112" s="1097">
        <v>0</v>
      </c>
      <c r="Y112" s="1097"/>
      <c r="Z112" s="1097">
        <f>[6]TB子公司4!M108</f>
        <v>0</v>
      </c>
      <c r="AA112" s="1097">
        <f>[6]TB子公司5!M108</f>
        <v>0</v>
      </c>
      <c r="AB112" s="1096">
        <f t="shared" si="84"/>
        <v>0</v>
      </c>
      <c r="AC112" s="1103">
        <f>合并调整抵消分录!N84</f>
        <v>0</v>
      </c>
      <c r="AD112" s="1103">
        <f>合并调整抵消分录!O84</f>
        <v>0</v>
      </c>
      <c r="AE112" s="1096">
        <f t="shared" si="85"/>
        <v>0</v>
      </c>
      <c r="AF112" s="1097"/>
      <c r="AG112" s="1097"/>
      <c r="AH112" s="1097"/>
      <c r="AI112" s="1097"/>
      <c r="AJ112" s="1097"/>
      <c r="AK112" s="1097"/>
      <c r="AL112" s="1096">
        <f t="shared" si="86"/>
        <v>0</v>
      </c>
      <c r="AM112" s="1103">
        <f>合并调整抵消分录!Q84</f>
        <v>0</v>
      </c>
      <c r="AN112" s="1103">
        <f>合并调整抵消分录!R84</f>
        <v>0</v>
      </c>
      <c r="AO112" s="1096">
        <f t="shared" si="87"/>
        <v>0</v>
      </c>
      <c r="AP112" s="1097"/>
      <c r="AQ112" s="1097"/>
      <c r="AR112" s="1096">
        <f t="shared" si="88"/>
        <v>0</v>
      </c>
      <c r="AS112" s="1103">
        <f>合并调整抵消分录!T84</f>
        <v>0</v>
      </c>
      <c r="AT112" s="1103">
        <f>合并调整抵消分录!U84</f>
        <v>0</v>
      </c>
      <c r="AU112" s="1096">
        <f t="shared" si="89"/>
        <v>0</v>
      </c>
      <c r="AV112" s="1092" t="e">
        <f>VLOOKUP(A112,合并资产负债表!$A$6:$C$87,3,0)</f>
        <v>#N/A</v>
      </c>
      <c r="AW112" s="1098" t="e">
        <f t="shared" si="66"/>
        <v>#N/A</v>
      </c>
    </row>
    <row r="113" s="1018" customFormat="1" customHeight="1" spans="1:50">
      <c r="A113" s="1091" t="s">
        <v>746</v>
      </c>
      <c r="B113" s="1092"/>
      <c r="C113" s="1093"/>
      <c r="D113" s="1093"/>
      <c r="E113" s="1094"/>
      <c r="F113" s="1095"/>
      <c r="G113" s="1093"/>
      <c r="H113" s="1096">
        <f t="shared" si="80"/>
        <v>0</v>
      </c>
      <c r="I113" s="1103">
        <f>合并调整抵消分录!E85</f>
        <v>0</v>
      </c>
      <c r="J113" s="1103">
        <f>合并调整抵消分录!F85</f>
        <v>0</v>
      </c>
      <c r="K113" s="1096">
        <f t="shared" si="81"/>
        <v>0</v>
      </c>
      <c r="L113" s="1097"/>
      <c r="M113" s="1097"/>
      <c r="N113" s="1097"/>
      <c r="O113" s="1087"/>
      <c r="P113" s="1093"/>
      <c r="Q113" s="1093"/>
      <c r="R113" s="1096">
        <f t="shared" si="82"/>
        <v>0</v>
      </c>
      <c r="S113" s="1096">
        <v>0</v>
      </c>
      <c r="T113" s="1096">
        <v>0</v>
      </c>
      <c r="U113" s="1096">
        <f t="shared" si="83"/>
        <v>0</v>
      </c>
      <c r="V113" s="1097">
        <v>0</v>
      </c>
      <c r="W113" s="1097">
        <v>0</v>
      </c>
      <c r="X113" s="1097">
        <v>0</v>
      </c>
      <c r="Y113" s="1097"/>
      <c r="Z113" s="1097">
        <f>[6]TB子公司4!M109</f>
        <v>0</v>
      </c>
      <c r="AA113" s="1097">
        <f>[6]TB子公司5!M109</f>
        <v>0</v>
      </c>
      <c r="AB113" s="1096">
        <f t="shared" si="84"/>
        <v>0</v>
      </c>
      <c r="AC113" s="1103">
        <f>合并调整抵消分录!N85</f>
        <v>0</v>
      </c>
      <c r="AD113" s="1103">
        <f>合并调整抵消分录!O85</f>
        <v>0</v>
      </c>
      <c r="AE113" s="1096">
        <f t="shared" si="85"/>
        <v>0</v>
      </c>
      <c r="AF113" s="1097"/>
      <c r="AG113" s="1097"/>
      <c r="AH113" s="1097"/>
      <c r="AI113" s="1097"/>
      <c r="AJ113" s="1097"/>
      <c r="AK113" s="1097"/>
      <c r="AL113" s="1096">
        <f t="shared" si="86"/>
        <v>0</v>
      </c>
      <c r="AM113" s="1103">
        <f>合并调整抵消分录!Q85</f>
        <v>0</v>
      </c>
      <c r="AN113" s="1103">
        <f>合并调整抵消分录!R85</f>
        <v>0</v>
      </c>
      <c r="AO113" s="1096">
        <f t="shared" si="87"/>
        <v>0</v>
      </c>
      <c r="AP113" s="1097"/>
      <c r="AQ113" s="1097"/>
      <c r="AR113" s="1096">
        <f t="shared" si="88"/>
        <v>0</v>
      </c>
      <c r="AS113" s="1103">
        <f>合并调整抵消分录!T85</f>
        <v>0</v>
      </c>
      <c r="AT113" s="1103">
        <f>合并调整抵消分录!U85</f>
        <v>0</v>
      </c>
      <c r="AU113" s="1096">
        <f t="shared" si="89"/>
        <v>0</v>
      </c>
      <c r="AV113" s="1092"/>
      <c r="AW113" s="1098">
        <f t="shared" si="66"/>
        <v>0</v>
      </c>
    </row>
    <row r="114" s="1018" customFormat="1" customHeight="1" spans="1:50">
      <c r="A114" s="391" t="s">
        <v>260</v>
      </c>
      <c r="B114" s="1100">
        <f>VLOOKUP(A114,快速BS新!A$6:C$212,3,0)</f>
        <v>-178010824.21</v>
      </c>
      <c r="C114" s="1093">
        <f>VLOOKUP(A114,新材料BS新!$A$4:$D$191,3,0)</f>
        <v>-14912251.58</v>
      </c>
      <c r="D114" s="1093">
        <f>VLOOKUP(A114,精铸BS新!$A$6:$C$186,3,0)</f>
        <v>-9947796.24</v>
      </c>
      <c r="E114" s="1093">
        <f>VLOOKUP(A114,热等静压BS新!$A$6:$C$186,3,0)</f>
        <v>1954307.33</v>
      </c>
      <c r="F114" s="1095"/>
      <c r="G114" s="1093"/>
      <c r="H114" s="1096">
        <f t="shared" si="80"/>
        <v>-200916564.7</v>
      </c>
      <c r="I114" s="1103">
        <f>I165</f>
        <v>23797154.583268</v>
      </c>
      <c r="J114" s="1103">
        <f>J165</f>
        <v>30145733.26</v>
      </c>
      <c r="K114" s="1096">
        <f t="shared" si="81"/>
        <v>-194567986.023268</v>
      </c>
      <c r="L114" s="1097">
        <v>-164601803.29</v>
      </c>
      <c r="M114" s="1097">
        <v>-9547699.41</v>
      </c>
      <c r="N114" s="1097">
        <v>-9633444.4</v>
      </c>
      <c r="O114" s="1087">
        <v>1018717.06</v>
      </c>
      <c r="P114" s="1093"/>
      <c r="Q114" s="1093"/>
      <c r="R114" s="1096">
        <f t="shared" si="82"/>
        <v>-182764230.04</v>
      </c>
      <c r="S114" s="1096">
        <v>113511067.473696</v>
      </c>
      <c r="T114" s="1096">
        <v>120430134.9015</v>
      </c>
      <c r="U114" s="1096">
        <f t="shared" si="83"/>
        <v>-175845162.612196</v>
      </c>
      <c r="V114" s="1097">
        <v>-51716792.26</v>
      </c>
      <c r="W114" s="1097">
        <v>790632.869999999</v>
      </c>
      <c r="X114" s="1097">
        <v>-4469468.22</v>
      </c>
      <c r="Y114" s="1097"/>
      <c r="Z114" s="1097">
        <f>[6]TB子公司4!M110</f>
        <v>0</v>
      </c>
      <c r="AA114" s="1097">
        <f>[6]TB子公司5!M110</f>
        <v>0</v>
      </c>
      <c r="AB114" s="1096">
        <f t="shared" si="84"/>
        <v>-55395627.61</v>
      </c>
      <c r="AC114" s="1103">
        <f>AC165</f>
        <v>-1686066.67</v>
      </c>
      <c r="AD114" s="1103">
        <f>AD165</f>
        <v>7015533.94</v>
      </c>
      <c r="AE114" s="1096">
        <f t="shared" si="85"/>
        <v>-46694027</v>
      </c>
      <c r="AF114" s="1097"/>
      <c r="AG114" s="1097"/>
      <c r="AH114" s="1097"/>
      <c r="AI114" s="1097"/>
      <c r="AJ114" s="1097"/>
      <c r="AK114" s="1097"/>
      <c r="AL114" s="1096">
        <f t="shared" si="86"/>
        <v>0</v>
      </c>
      <c r="AM114" s="1103">
        <f>AM165</f>
        <v>0</v>
      </c>
      <c r="AN114" s="1103">
        <f>AN165</f>
        <v>0</v>
      </c>
      <c r="AO114" s="1096">
        <f t="shared" si="87"/>
        <v>0</v>
      </c>
      <c r="AP114" s="1097"/>
      <c r="AQ114" s="1097"/>
      <c r="AR114" s="1096">
        <f t="shared" si="88"/>
        <v>0</v>
      </c>
      <c r="AS114" s="1103">
        <f>AS165</f>
        <v>0</v>
      </c>
      <c r="AT114" s="1103">
        <f>AT165</f>
        <v>0</v>
      </c>
      <c r="AU114" s="1096">
        <f t="shared" si="89"/>
        <v>0</v>
      </c>
      <c r="AV114" s="1092" t="e">
        <f>VLOOKUP(A114,合并资产负债表!$A$6:$C$87,3,0)</f>
        <v>#N/A</v>
      </c>
      <c r="AW114" s="1098" t="e">
        <f t="shared" si="66"/>
        <v>#N/A</v>
      </c>
    </row>
    <row r="115" s="1018" customFormat="1" customHeight="1" spans="1:50">
      <c r="A115" s="1124" t="s">
        <v>747</v>
      </c>
      <c r="B115" s="1103">
        <f>SUM(B104:B105,B108,-B109,B110:B114)</f>
        <v>205461423.79</v>
      </c>
      <c r="C115" s="1119">
        <f t="shared" ref="B115:AU115" si="90">SUM(C104:C105,C108,-C109,C110:C114)</f>
        <v>220087748.42</v>
      </c>
      <c r="D115" s="1119">
        <f t="shared" si="90"/>
        <v>8052203.76</v>
      </c>
      <c r="E115" s="1120">
        <f t="shared" si="90"/>
        <v>10489075.55</v>
      </c>
      <c r="F115" s="1121">
        <f t="shared" si="90"/>
        <v>0</v>
      </c>
      <c r="G115" s="1103">
        <f t="shared" si="90"/>
        <v>0</v>
      </c>
      <c r="H115" s="1103">
        <f t="shared" si="90"/>
        <v>444090451.52</v>
      </c>
      <c r="I115" s="1103">
        <f t="shared" si="90"/>
        <v>288331922.803268</v>
      </c>
      <c r="J115" s="1103">
        <f t="shared" si="90"/>
        <v>30134829.59</v>
      </c>
      <c r="K115" s="1103">
        <f t="shared" si="90"/>
        <v>185893358.306732</v>
      </c>
      <c r="L115" s="1103">
        <v>203870444.71</v>
      </c>
      <c r="M115" s="1103">
        <v>225452300.59</v>
      </c>
      <c r="N115" s="1103">
        <v>8366555.6</v>
      </c>
      <c r="O115" s="1103">
        <v>9447708.87</v>
      </c>
      <c r="P115" s="1103">
        <f t="shared" si="90"/>
        <v>0</v>
      </c>
      <c r="Q115" s="1103">
        <f t="shared" si="90"/>
        <v>0</v>
      </c>
      <c r="R115" s="1103">
        <f t="shared" si="90"/>
        <v>447137009.77</v>
      </c>
      <c r="S115" s="1103">
        <v>377940059.283696</v>
      </c>
      <c r="T115" s="1103">
        <v>120419231.2315</v>
      </c>
      <c r="U115" s="1103">
        <f t="shared" si="90"/>
        <v>189616181.717804</v>
      </c>
      <c r="V115" s="1103">
        <v>206755455.74</v>
      </c>
      <c r="W115" s="1103">
        <v>15790632.87</v>
      </c>
      <c r="X115" s="1103">
        <v>13530531.78</v>
      </c>
      <c r="Y115" s="1103">
        <f t="shared" si="90"/>
        <v>0</v>
      </c>
      <c r="Z115" s="1103">
        <f t="shared" si="90"/>
        <v>0</v>
      </c>
      <c r="AA115" s="1103">
        <f t="shared" si="90"/>
        <v>0</v>
      </c>
      <c r="AB115" s="1103">
        <f t="shared" si="90"/>
        <v>236076620.39</v>
      </c>
      <c r="AC115" s="1103">
        <f t="shared" si="90"/>
        <v>34313933.33</v>
      </c>
      <c r="AD115" s="1103">
        <f t="shared" si="90"/>
        <v>7004630.27</v>
      </c>
      <c r="AE115" s="1103">
        <f t="shared" si="90"/>
        <v>208767317.33</v>
      </c>
      <c r="AF115" s="1103">
        <f t="shared" si="90"/>
        <v>0</v>
      </c>
      <c r="AG115" s="1103">
        <f t="shared" si="90"/>
        <v>0</v>
      </c>
      <c r="AH115" s="1103">
        <f t="shared" si="90"/>
        <v>0</v>
      </c>
      <c r="AI115" s="1103">
        <f t="shared" si="90"/>
        <v>0</v>
      </c>
      <c r="AJ115" s="1103">
        <f t="shared" si="90"/>
        <v>0</v>
      </c>
      <c r="AK115" s="1103">
        <f t="shared" si="90"/>
        <v>0</v>
      </c>
      <c r="AL115" s="1103">
        <f t="shared" si="90"/>
        <v>0</v>
      </c>
      <c r="AM115" s="1103">
        <f t="shared" si="90"/>
        <v>0</v>
      </c>
      <c r="AN115" s="1103">
        <f t="shared" si="90"/>
        <v>0</v>
      </c>
      <c r="AO115" s="1103">
        <f t="shared" si="90"/>
        <v>0</v>
      </c>
      <c r="AP115" s="1103">
        <f t="shared" si="90"/>
        <v>0</v>
      </c>
      <c r="AQ115" s="1103">
        <f t="shared" si="90"/>
        <v>0</v>
      </c>
      <c r="AR115" s="1103">
        <f t="shared" si="90"/>
        <v>0</v>
      </c>
      <c r="AS115" s="1103">
        <f t="shared" si="90"/>
        <v>0</v>
      </c>
      <c r="AT115" s="1103">
        <f t="shared" si="90"/>
        <v>0</v>
      </c>
      <c r="AU115" s="1103">
        <f t="shared" si="90"/>
        <v>0</v>
      </c>
      <c r="AV115" s="1092"/>
      <c r="AW115" s="1098">
        <f t="shared" si="66"/>
        <v>185893358.306732</v>
      </c>
    </row>
    <row r="116" s="1018" customFormat="1" customHeight="1" spans="1:50">
      <c r="A116" s="1125" t="s">
        <v>183</v>
      </c>
      <c r="B116" s="1103"/>
      <c r="C116" s="1119"/>
      <c r="D116" s="1119"/>
      <c r="E116" s="1121"/>
      <c r="F116" s="1121"/>
      <c r="G116" s="1103"/>
      <c r="H116" s="1096">
        <f>SUM(B116:G116)</f>
        <v>0</v>
      </c>
      <c r="I116" s="1103">
        <f>合并调整抵消分录!E120</f>
        <v>0</v>
      </c>
      <c r="J116" s="1103">
        <f>合并调整抵消分录!F120</f>
        <v>1789588.52</v>
      </c>
      <c r="K116" s="1096">
        <f>H116-I116+J116</f>
        <v>1789588.52</v>
      </c>
      <c r="L116" s="1103"/>
      <c r="M116" s="1103"/>
      <c r="N116" s="1103"/>
      <c r="O116" s="1103"/>
      <c r="P116" s="1103"/>
      <c r="Q116" s="1103"/>
      <c r="R116" s="1096">
        <f t="shared" si="82"/>
        <v>0</v>
      </c>
      <c r="S116" s="1103">
        <v>0</v>
      </c>
      <c r="T116" s="1103">
        <v>1859448.65</v>
      </c>
      <c r="U116" s="1096">
        <f t="shared" si="83"/>
        <v>1859448.65</v>
      </c>
      <c r="V116" s="1103"/>
      <c r="W116" s="1103"/>
      <c r="X116" s="1103"/>
      <c r="Y116" s="1103"/>
      <c r="Z116" s="1103"/>
      <c r="AA116" s="1103"/>
      <c r="AB116" s="1096">
        <f>SUM(V116:AA116)</f>
        <v>0</v>
      </c>
      <c r="AC116" s="1103">
        <f>合并调整抵消分录!N120</f>
        <v>0</v>
      </c>
      <c r="AD116" s="1103">
        <f>合并调整抵消分录!O120</f>
        <v>3006884.16</v>
      </c>
      <c r="AE116" s="1096">
        <f>AB116-AC116+AD116</f>
        <v>3006884.16</v>
      </c>
      <c r="AF116" s="1103"/>
      <c r="AG116" s="1103"/>
      <c r="AH116" s="1103"/>
      <c r="AI116" s="1103"/>
      <c r="AJ116" s="1103"/>
      <c r="AK116" s="1103"/>
      <c r="AL116" s="1096">
        <f>SUM(AF116:AK116)</f>
        <v>0</v>
      </c>
      <c r="AM116" s="1103">
        <f>合并调整抵消分录!Q120</f>
        <v>0</v>
      </c>
      <c r="AN116" s="1103">
        <f>合并调整抵消分录!R120</f>
        <v>0</v>
      </c>
      <c r="AO116" s="1096">
        <f>AL116-AM116+AN116</f>
        <v>0</v>
      </c>
      <c r="AP116" s="1103"/>
      <c r="AQ116" s="1103"/>
      <c r="AR116" s="1096">
        <f>SUM(AP116:AQ116)</f>
        <v>0</v>
      </c>
      <c r="AS116" s="1103">
        <f>合并调整抵消分录!T120</f>
        <v>0</v>
      </c>
      <c r="AT116" s="1103">
        <f>合并调整抵消分录!U120</f>
        <v>0</v>
      </c>
      <c r="AU116" s="1096">
        <f>AR116-AS116+AT116</f>
        <v>0</v>
      </c>
      <c r="AV116" s="1092">
        <f>VLOOKUP(A116,合并资产负债表!$A$6:$C$87,3,0)</f>
        <v>2819345.79349</v>
      </c>
      <c r="AW116" s="1098">
        <f t="shared" si="66"/>
        <v>-1029757.27349</v>
      </c>
    </row>
    <row r="117" s="1018" customFormat="1" customHeight="1" spans="1:50">
      <c r="A117" s="1126" t="s">
        <v>748</v>
      </c>
      <c r="B117" s="1103">
        <f>B115+B116</f>
        <v>205461423.79</v>
      </c>
      <c r="C117" s="1119">
        <f t="shared" ref="C117:AU117" si="91">C115+C116</f>
        <v>220087748.42</v>
      </c>
      <c r="D117" s="1119">
        <f t="shared" si="91"/>
        <v>8052203.76</v>
      </c>
      <c r="E117" s="1120">
        <f t="shared" si="91"/>
        <v>10489075.55</v>
      </c>
      <c r="F117" s="1121">
        <f t="shared" si="91"/>
        <v>0</v>
      </c>
      <c r="G117" s="1103">
        <f t="shared" si="91"/>
        <v>0</v>
      </c>
      <c r="H117" s="1103">
        <f t="shared" si="91"/>
        <v>444090451.52</v>
      </c>
      <c r="I117" s="1103">
        <f t="shared" si="91"/>
        <v>288331922.803268</v>
      </c>
      <c r="J117" s="1103">
        <f t="shared" si="91"/>
        <v>31924418.11</v>
      </c>
      <c r="K117" s="1103">
        <f t="shared" si="91"/>
        <v>187682946.826732</v>
      </c>
      <c r="L117" s="1103">
        <v>203870444.71</v>
      </c>
      <c r="M117" s="1103">
        <v>225452300.59</v>
      </c>
      <c r="N117" s="1103">
        <v>8366555.6</v>
      </c>
      <c r="O117" s="1103">
        <v>9447708.87</v>
      </c>
      <c r="P117" s="1103">
        <f t="shared" si="91"/>
        <v>0</v>
      </c>
      <c r="Q117" s="1103">
        <f t="shared" si="91"/>
        <v>0</v>
      </c>
      <c r="R117" s="1103">
        <f t="shared" si="91"/>
        <v>447137009.77</v>
      </c>
      <c r="S117" s="1103">
        <v>377940059.283696</v>
      </c>
      <c r="T117" s="1103">
        <v>122278679.8815</v>
      </c>
      <c r="U117" s="1103">
        <f t="shared" si="91"/>
        <v>191475630.367804</v>
      </c>
      <c r="V117" s="1103">
        <v>206755455.74</v>
      </c>
      <c r="W117" s="1103">
        <v>15790632.87</v>
      </c>
      <c r="X117" s="1103">
        <v>13530531.78</v>
      </c>
      <c r="Y117" s="1103">
        <f t="shared" si="91"/>
        <v>0</v>
      </c>
      <c r="Z117" s="1103">
        <f t="shared" si="91"/>
        <v>0</v>
      </c>
      <c r="AA117" s="1103">
        <f t="shared" si="91"/>
        <v>0</v>
      </c>
      <c r="AB117" s="1103">
        <f t="shared" si="91"/>
        <v>236076620.39</v>
      </c>
      <c r="AC117" s="1103">
        <f t="shared" si="91"/>
        <v>34313933.33</v>
      </c>
      <c r="AD117" s="1103">
        <f t="shared" si="91"/>
        <v>10011514.43</v>
      </c>
      <c r="AE117" s="1103">
        <f t="shared" si="91"/>
        <v>211774201.49</v>
      </c>
      <c r="AF117" s="1103">
        <f t="shared" si="91"/>
        <v>0</v>
      </c>
      <c r="AG117" s="1103">
        <f t="shared" si="91"/>
        <v>0</v>
      </c>
      <c r="AH117" s="1103">
        <f t="shared" si="91"/>
        <v>0</v>
      </c>
      <c r="AI117" s="1103">
        <f t="shared" si="91"/>
        <v>0</v>
      </c>
      <c r="AJ117" s="1103">
        <f t="shared" si="91"/>
        <v>0</v>
      </c>
      <c r="AK117" s="1103">
        <f t="shared" si="91"/>
        <v>0</v>
      </c>
      <c r="AL117" s="1103">
        <f t="shared" si="91"/>
        <v>0</v>
      </c>
      <c r="AM117" s="1103">
        <f t="shared" si="91"/>
        <v>0</v>
      </c>
      <c r="AN117" s="1103">
        <f t="shared" si="91"/>
        <v>0</v>
      </c>
      <c r="AO117" s="1103">
        <f t="shared" si="91"/>
        <v>0</v>
      </c>
      <c r="AP117" s="1103">
        <f t="shared" si="91"/>
        <v>0</v>
      </c>
      <c r="AQ117" s="1103">
        <f t="shared" si="91"/>
        <v>0</v>
      </c>
      <c r="AR117" s="1103">
        <f t="shared" si="91"/>
        <v>0</v>
      </c>
      <c r="AS117" s="1103">
        <f t="shared" si="91"/>
        <v>0</v>
      </c>
      <c r="AT117" s="1103">
        <f t="shared" si="91"/>
        <v>0</v>
      </c>
      <c r="AU117" s="1103">
        <f t="shared" si="91"/>
        <v>0</v>
      </c>
      <c r="AV117" s="1092"/>
      <c r="AW117" s="1098">
        <f t="shared" si="66"/>
        <v>187682946.826732</v>
      </c>
    </row>
    <row r="118" s="1018" customFormat="1" customHeight="1" spans="1:50">
      <c r="A118" s="1102" t="s">
        <v>749</v>
      </c>
      <c r="B118" s="1103">
        <f>B102+B117</f>
        <v>488774329.39</v>
      </c>
      <c r="C118" s="1119">
        <f t="shared" ref="C118:AU118" si="92">C102+C117</f>
        <v>369480309.15</v>
      </c>
      <c r="D118" s="1119">
        <f t="shared" si="92"/>
        <v>21966622.35</v>
      </c>
      <c r="E118" s="1120">
        <f t="shared" si="92"/>
        <v>26563924.7</v>
      </c>
      <c r="F118" s="1121">
        <f t="shared" si="92"/>
        <v>0</v>
      </c>
      <c r="G118" s="1103">
        <f t="shared" si="92"/>
        <v>0</v>
      </c>
      <c r="H118" s="1103">
        <f t="shared" si="92"/>
        <v>906785185.59</v>
      </c>
      <c r="I118" s="1103">
        <f t="shared" si="92"/>
        <v>372498339.683268</v>
      </c>
      <c r="J118" s="1103">
        <f t="shared" si="92"/>
        <v>32368312.45</v>
      </c>
      <c r="K118" s="1103">
        <f t="shared" si="92"/>
        <v>566655158.356732</v>
      </c>
      <c r="L118" s="1103">
        <v>455073769.65</v>
      </c>
      <c r="M118" s="1103">
        <v>330709464.74</v>
      </c>
      <c r="N118" s="1103">
        <v>19393150.49</v>
      </c>
      <c r="O118" s="1103">
        <v>25265540.9</v>
      </c>
      <c r="P118" s="1103">
        <f t="shared" si="92"/>
        <v>0</v>
      </c>
      <c r="Q118" s="1103">
        <f t="shared" si="92"/>
        <v>0</v>
      </c>
      <c r="R118" s="1103">
        <f t="shared" si="92"/>
        <v>830441925.78</v>
      </c>
      <c r="S118" s="1103">
        <v>441355521.053696</v>
      </c>
      <c r="T118" s="1103">
        <v>122278679.8815</v>
      </c>
      <c r="U118" s="1103">
        <f t="shared" si="92"/>
        <v>511365084.607804</v>
      </c>
      <c r="V118" s="1103">
        <v>335392072.04</v>
      </c>
      <c r="W118" s="1103">
        <v>21154003.2</v>
      </c>
      <c r="X118" s="1103">
        <v>17425101.04</v>
      </c>
      <c r="Y118" s="1103">
        <f t="shared" si="92"/>
        <v>0</v>
      </c>
      <c r="Z118" s="1103">
        <f t="shared" si="92"/>
        <v>0</v>
      </c>
      <c r="AA118" s="1103">
        <f t="shared" si="92"/>
        <v>0</v>
      </c>
      <c r="AB118" s="1103">
        <f t="shared" si="92"/>
        <v>373971176.28</v>
      </c>
      <c r="AC118" s="1103">
        <f t="shared" si="92"/>
        <v>39342721.46</v>
      </c>
      <c r="AD118" s="1103">
        <f t="shared" si="92"/>
        <v>10011514.43</v>
      </c>
      <c r="AE118" s="1103">
        <f t="shared" si="92"/>
        <v>344639969.25</v>
      </c>
      <c r="AF118" s="1103">
        <f t="shared" si="92"/>
        <v>0</v>
      </c>
      <c r="AG118" s="1103">
        <f t="shared" si="92"/>
        <v>0</v>
      </c>
      <c r="AH118" s="1103">
        <f t="shared" si="92"/>
        <v>0</v>
      </c>
      <c r="AI118" s="1103">
        <f t="shared" si="92"/>
        <v>0</v>
      </c>
      <c r="AJ118" s="1103">
        <f t="shared" si="92"/>
        <v>0</v>
      </c>
      <c r="AK118" s="1103">
        <f t="shared" si="92"/>
        <v>0</v>
      </c>
      <c r="AL118" s="1103">
        <f t="shared" si="92"/>
        <v>0</v>
      </c>
      <c r="AM118" s="1103">
        <f t="shared" si="92"/>
        <v>0</v>
      </c>
      <c r="AN118" s="1103">
        <f t="shared" si="92"/>
        <v>0</v>
      </c>
      <c r="AO118" s="1103">
        <f t="shared" si="92"/>
        <v>0</v>
      </c>
      <c r="AP118" s="1103">
        <f t="shared" si="92"/>
        <v>0</v>
      </c>
      <c r="AQ118" s="1103">
        <f t="shared" si="92"/>
        <v>0</v>
      </c>
      <c r="AR118" s="1103">
        <f t="shared" si="92"/>
        <v>0</v>
      </c>
      <c r="AS118" s="1103">
        <f t="shared" si="92"/>
        <v>0</v>
      </c>
      <c r="AT118" s="1103">
        <f t="shared" si="92"/>
        <v>0</v>
      </c>
      <c r="AU118" s="1103">
        <f t="shared" si="92"/>
        <v>0</v>
      </c>
      <c r="AV118" s="1092"/>
      <c r="AW118" s="1098">
        <f t="shared" si="66"/>
        <v>566655158.356732</v>
      </c>
    </row>
    <row r="119" customHeight="1" spans="1:50">
      <c r="A119"/>
      <c r="B119" s="1109">
        <f>B118-快速BS新!F54</f>
        <v>0</v>
      </c>
      <c r="C119" s="833">
        <f>C118-新材料BS新!F50</f>
        <v>0</v>
      </c>
      <c r="D119" s="833">
        <f>D118-精铸BS新!F54</f>
        <v>0</v>
      </c>
      <c r="E119" s="1110">
        <f>E118-热等静压BS新!F51</f>
        <v>0</v>
      </c>
      <c r="F119" s="1110"/>
      <c r="G119"/>
      <c r="H119" s="822"/>
      <c r="I119"/>
      <c r="J119"/>
      <c r="K119" s="1110"/>
      <c r="L119" s="833"/>
      <c r="M119" s="833"/>
      <c r="N119" s="833"/>
      <c r="O119" s="833"/>
      <c r="P119" s="833"/>
      <c r="Q119" s="833"/>
      <c r="R119" s="833"/>
      <c r="S119" s="833"/>
      <c r="T119" s="833"/>
      <c r="U119" s="1029"/>
      <c r="V119" s="820"/>
      <c r="W119" s="820"/>
      <c r="X119" s="820"/>
      <c r="Y119" s="820"/>
      <c r="Z119" s="820"/>
      <c r="AA119" s="820"/>
      <c r="AB119"/>
      <c r="AC119"/>
      <c r="AD119"/>
      <c r="AE119"/>
      <c r="AF119" s="820"/>
      <c r="AG119" s="820"/>
      <c r="AH119" s="820"/>
      <c r="AI119" s="820"/>
      <c r="AJ119" s="820"/>
      <c r="AK119" s="820"/>
      <c r="AL119"/>
      <c r="AM119"/>
      <c r="AN119"/>
      <c r="AO119"/>
      <c r="AP119" s="820"/>
      <c r="AQ119" s="820"/>
      <c r="AR119"/>
      <c r="AS119"/>
      <c r="AT119"/>
      <c r="AU119"/>
      <c r="AV119" s="1092"/>
      <c r="AW119" s="1098">
        <f t="shared" si="66"/>
        <v>0</v>
      </c>
    </row>
    <row r="120" ht="15" customHeight="1" spans="1:50">
      <c r="A120" s="1033" t="s">
        <v>750</v>
      </c>
      <c r="B120" s="1035"/>
      <c r="C120" s="1035"/>
      <c r="D120" s="1035"/>
      <c r="E120" s="1035"/>
      <c r="F120" s="1036"/>
      <c r="G120" s="1033"/>
      <c r="H120" s="1033"/>
      <c r="I120" s="1033"/>
      <c r="J120" s="1033"/>
      <c r="K120" s="1127"/>
      <c r="L120" s="1033"/>
      <c r="M120" s="1033"/>
      <c r="N120" s="1033"/>
      <c r="O120" s="1033"/>
      <c r="P120" s="1033"/>
      <c r="Q120" s="1033"/>
      <c r="R120" s="1033"/>
      <c r="S120" s="1033"/>
      <c r="T120" s="1033"/>
      <c r="U120" s="1033"/>
      <c r="V120" s="1033"/>
      <c r="W120" s="1033"/>
      <c r="X120" s="1033"/>
      <c r="Y120" s="1033"/>
      <c r="Z120" s="1033"/>
      <c r="AA120" s="1033"/>
      <c r="AB120" s="1033"/>
      <c r="AC120" s="1033"/>
      <c r="AD120" s="1033"/>
      <c r="AE120" s="1033"/>
      <c r="AF120" s="1033"/>
      <c r="AG120" s="1033"/>
      <c r="AH120" s="1033"/>
      <c r="AI120" s="1033"/>
      <c r="AJ120" s="1033"/>
      <c r="AK120" s="1033"/>
      <c r="AL120" s="1033"/>
      <c r="AM120" s="1033"/>
      <c r="AN120" s="1033"/>
      <c r="AO120" s="1033"/>
      <c r="AP120" s="1033"/>
      <c r="AQ120" s="1033"/>
      <c r="AR120" s="1033"/>
      <c r="AS120" s="1033"/>
      <c r="AT120" s="1033"/>
      <c r="AU120" s="1033"/>
      <c r="AV120" s="1092"/>
      <c r="AW120" s="1098">
        <f t="shared" si="66"/>
        <v>0</v>
      </c>
    </row>
    <row r="121" s="1018" customFormat="1" customHeight="1" spans="1:50">
      <c r="A121" s="1037" t="str">
        <f>A5</f>
        <v>编制单位：飞而康快速制造科技有限责任公司</v>
      </c>
      <c r="B121" s="1128">
        <f>(B125-B128)/B125</f>
        <v>0.202329160067815</v>
      </c>
      <c r="C121" s="1128">
        <f>(C125-C128)/C125</f>
        <v>0.0742487919867259</v>
      </c>
      <c r="D121" s="1128">
        <f>(D125-D128)/D125</f>
        <v>0.296171869413395</v>
      </c>
      <c r="E121" s="1128">
        <f>(E125-E128)/E125</f>
        <v>0.143374253446811</v>
      </c>
      <c r="F121" s="1129"/>
      <c r="G121" s="1039"/>
      <c r="H121" s="1041"/>
      <c r="I121" s="1041"/>
      <c r="J121" s="1130">
        <f>K124-K127+K136+K135+K143-K145-K148+K139</f>
        <v>-17309511.78</v>
      </c>
      <c r="K121" s="1041"/>
      <c r="L121" s="1038">
        <f>20183880.65+L142</f>
        <v>-4618306.8</v>
      </c>
      <c r="M121" s="1041"/>
      <c r="N121" s="1041"/>
      <c r="O121" s="1041"/>
      <c r="P121" s="1041"/>
      <c r="Q121" s="1041"/>
      <c r="R121" s="1041"/>
      <c r="S121" s="1039">
        <v>-198230.24166</v>
      </c>
      <c r="T121" s="1039">
        <f>S142-T142</f>
        <v>0</v>
      </c>
      <c r="U121" s="1039">
        <f>T121+S121</f>
        <v>-198230.24166</v>
      </c>
      <c r="V121" s="1045"/>
      <c r="W121" s="1045"/>
      <c r="X121" s="1045"/>
      <c r="Y121" s="1045"/>
      <c r="Z121" s="1045"/>
      <c r="AA121" s="1045"/>
      <c r="AB121" s="1041"/>
      <c r="AC121" s="1041"/>
      <c r="AD121" s="1041"/>
      <c r="AE121" s="1041"/>
      <c r="AF121" s="1045"/>
      <c r="AG121" s="1045"/>
      <c r="AH121" s="1045"/>
      <c r="AI121" s="1045"/>
      <c r="AJ121" s="1045"/>
      <c r="AK121" s="1045"/>
      <c r="AL121" s="1041"/>
      <c r="AM121" s="1041"/>
      <c r="AN121" s="1041"/>
      <c r="AO121" s="1041" t="str">
        <f>AO5</f>
        <v>金额：人民币元</v>
      </c>
      <c r="AP121" s="1045"/>
      <c r="AQ121" s="1045"/>
      <c r="AR121" s="1041"/>
      <c r="AS121" s="1041"/>
      <c r="AT121" s="1041"/>
      <c r="AU121" s="1041" t="str">
        <f>AU5</f>
        <v>金额：人民币元</v>
      </c>
      <c r="AV121" s="1092"/>
      <c r="AW121" s="1098">
        <f t="shared" si="66"/>
        <v>0</v>
      </c>
    </row>
    <row r="122" s="1019" customFormat="1" customHeight="1" spans="1:50">
      <c r="A122" s="1131" t="s">
        <v>284</v>
      </c>
      <c r="B122" s="1132" t="str">
        <f>基本信息!C14</f>
        <v>2025年度</v>
      </c>
      <c r="C122" s="1133"/>
      <c r="D122" s="1133"/>
      <c r="E122" s="1133"/>
      <c r="F122" s="1133"/>
      <c r="G122" s="1133"/>
      <c r="H122" s="1134"/>
      <c r="I122" s="1063" t="s">
        <v>699</v>
      </c>
      <c r="J122" s="1063"/>
      <c r="K122" s="1063" t="str">
        <f>B122</f>
        <v>2025年度</v>
      </c>
      <c r="L122" s="1132" t="str">
        <f>基本信息!C12</f>
        <v>2023年度</v>
      </c>
      <c r="M122" s="1133"/>
      <c r="N122" s="1133"/>
      <c r="O122" s="1133"/>
      <c r="P122" s="1133"/>
      <c r="Q122" s="1133"/>
      <c r="R122" s="1134"/>
      <c r="S122" s="1063" t="s">
        <v>699</v>
      </c>
      <c r="T122" s="1063"/>
      <c r="U122" s="1063" t="str">
        <f>L122</f>
        <v>2023年度</v>
      </c>
      <c r="V122" s="1060" t="str">
        <f>基本信息!$C$11</f>
        <v>2022年度</v>
      </c>
      <c r="W122" s="1133"/>
      <c r="X122" s="1133"/>
      <c r="Y122" s="1133"/>
      <c r="Z122" s="1133"/>
      <c r="AA122" s="1133"/>
      <c r="AB122" s="1134"/>
      <c r="AC122" s="1063" t="s">
        <v>699</v>
      </c>
      <c r="AD122" s="1063"/>
      <c r="AE122" s="1071" t="str">
        <f>V122</f>
        <v>2022年度</v>
      </c>
      <c r="AF122" s="1132">
        <f>基本信息!C10</f>
        <v>0</v>
      </c>
      <c r="AG122" s="1133"/>
      <c r="AH122" s="1133"/>
      <c r="AI122" s="1133"/>
      <c r="AJ122" s="1133"/>
      <c r="AK122" s="1133"/>
      <c r="AL122" s="1134"/>
      <c r="AM122" s="1083" t="s">
        <v>700</v>
      </c>
      <c r="AN122" s="1063"/>
      <c r="AO122" s="1063">
        <f>AF122</f>
        <v>0</v>
      </c>
      <c r="AP122" s="1132" t="s">
        <v>751</v>
      </c>
      <c r="AQ122" s="1133"/>
      <c r="AR122" s="1134"/>
      <c r="AS122" s="1069" t="s">
        <v>700</v>
      </c>
      <c r="AT122" s="1070"/>
      <c r="AU122" s="1063" t="str">
        <f>AP122</f>
        <v>2012年度</v>
      </c>
      <c r="AV122" s="1092"/>
      <c r="AW122" s="1098" t="e">
        <f t="shared" si="66"/>
        <v>#VALUE!</v>
      </c>
    </row>
    <row r="123" s="1019" customFormat="1" customHeight="1" spans="1:50">
      <c r="A123" s="1135"/>
      <c r="B123" s="1113" t="str">
        <f t="shared" ref="B123:H123" si="93">B7</f>
        <v>母公司</v>
      </c>
      <c r="C123" s="1114" t="str">
        <f t="shared" si="93"/>
        <v>飞而康新材料</v>
      </c>
      <c r="D123" s="1114" t="str">
        <f t="shared" si="93"/>
        <v>飞而康精铸</v>
      </c>
      <c r="E123" s="1115" t="str">
        <f t="shared" si="93"/>
        <v>飞而康热等静压</v>
      </c>
      <c r="F123" s="1115">
        <f t="shared" si="93"/>
        <v>0</v>
      </c>
      <c r="G123" s="1083">
        <f t="shared" si="93"/>
        <v>0</v>
      </c>
      <c r="H123" s="1083" t="str">
        <f t="shared" si="93"/>
        <v>汇总数</v>
      </c>
      <c r="I123" s="1083" t="s">
        <v>702</v>
      </c>
      <c r="J123" s="1083" t="s">
        <v>703</v>
      </c>
      <c r="K123" s="1063" t="s">
        <v>722</v>
      </c>
      <c r="L123" s="1083" t="str">
        <f t="shared" ref="L123:R123" si="94">L7</f>
        <v>母公司</v>
      </c>
      <c r="M123" s="1083" t="str">
        <f t="shared" si="94"/>
        <v>飞而康新材料</v>
      </c>
      <c r="N123" s="1083" t="str">
        <f t="shared" si="94"/>
        <v>飞而康精铸</v>
      </c>
      <c r="O123" s="1083" t="str">
        <f t="shared" si="94"/>
        <v>飞而康热等静压</v>
      </c>
      <c r="P123" s="1083">
        <f t="shared" si="94"/>
        <v>0</v>
      </c>
      <c r="Q123" s="1083">
        <f t="shared" si="94"/>
        <v>0</v>
      </c>
      <c r="R123" s="1083" t="str">
        <f t="shared" si="94"/>
        <v>汇总数</v>
      </c>
      <c r="S123" s="1083" t="s">
        <v>702</v>
      </c>
      <c r="T123" s="1083" t="s">
        <v>703</v>
      </c>
      <c r="U123" s="1063" t="s">
        <v>722</v>
      </c>
      <c r="V123" s="1116" t="str">
        <f t="shared" ref="V123:AB123" si="95">V7</f>
        <v>母公司</v>
      </c>
      <c r="W123" s="1116" t="str">
        <f t="shared" si="95"/>
        <v>飞而康新材料</v>
      </c>
      <c r="X123" s="1116" t="str">
        <f t="shared" si="95"/>
        <v>飞而康精铸</v>
      </c>
      <c r="Y123" s="1116" t="str">
        <f t="shared" si="95"/>
        <v>飞而康热等静压</v>
      </c>
      <c r="Z123" s="1116">
        <f t="shared" si="95"/>
        <v>0</v>
      </c>
      <c r="AA123" s="1116">
        <f t="shared" si="95"/>
        <v>0</v>
      </c>
      <c r="AB123" s="1083" t="str">
        <f t="shared" si="95"/>
        <v>汇总数</v>
      </c>
      <c r="AC123" s="1083" t="s">
        <v>702</v>
      </c>
      <c r="AD123" s="1083" t="s">
        <v>703</v>
      </c>
      <c r="AE123" s="1083" t="s">
        <v>704</v>
      </c>
      <c r="AF123" s="1116" t="str">
        <f t="shared" ref="AF123:AL123" si="96">AF7</f>
        <v>母公司</v>
      </c>
      <c r="AG123" s="1116" t="str">
        <f t="shared" si="96"/>
        <v>飞而康新材料</v>
      </c>
      <c r="AH123" s="1116" t="str">
        <f t="shared" si="96"/>
        <v>飞而康精铸</v>
      </c>
      <c r="AI123" s="1116" t="str">
        <f t="shared" si="96"/>
        <v>飞而康热等静压</v>
      </c>
      <c r="AJ123" s="1116">
        <f t="shared" si="96"/>
        <v>0</v>
      </c>
      <c r="AK123" s="1116">
        <f t="shared" si="96"/>
        <v>0</v>
      </c>
      <c r="AL123" s="1083" t="str">
        <f t="shared" si="96"/>
        <v>汇总数</v>
      </c>
      <c r="AM123" s="1083" t="s">
        <v>702</v>
      </c>
      <c r="AN123" s="1083" t="s">
        <v>703</v>
      </c>
      <c r="AO123" s="1083" t="s">
        <v>704</v>
      </c>
      <c r="AP123" s="1116" t="str">
        <f>AP7</f>
        <v>母公司</v>
      </c>
      <c r="AQ123" s="1116" t="str">
        <f>AQ7</f>
        <v>飞而康新材料</v>
      </c>
      <c r="AR123" s="1083" t="str">
        <f>AR7</f>
        <v>汇总数</v>
      </c>
      <c r="AS123" s="1083" t="s">
        <v>702</v>
      </c>
      <c r="AT123" s="1083" t="s">
        <v>703</v>
      </c>
      <c r="AU123" s="1083" t="s">
        <v>704</v>
      </c>
      <c r="AV123" s="1092"/>
      <c r="AW123" s="1098" t="e">
        <f t="shared" si="66"/>
        <v>#VALUE!</v>
      </c>
    </row>
    <row r="124" s="1018" customFormat="1" customHeight="1" spans="1:50">
      <c r="A124" s="1136" t="s">
        <v>752</v>
      </c>
      <c r="B124" s="1103">
        <f t="shared" ref="B124:AU124" si="97">B125+B126</f>
        <v>45633829.53</v>
      </c>
      <c r="C124" s="1119">
        <f t="shared" si="97"/>
        <v>105333550.81</v>
      </c>
      <c r="D124" s="1119">
        <f t="shared" si="97"/>
        <v>7351863.68</v>
      </c>
      <c r="E124" s="1120">
        <f t="shared" si="97"/>
        <v>20619623.41</v>
      </c>
      <c r="F124" s="1121">
        <f t="shared" si="97"/>
        <v>0</v>
      </c>
      <c r="G124" s="1103">
        <f t="shared" si="97"/>
        <v>0</v>
      </c>
      <c r="H124" s="1103">
        <f t="shared" si="97"/>
        <v>178938867.43</v>
      </c>
      <c r="I124" s="1103">
        <f t="shared" si="97"/>
        <v>44914564.37</v>
      </c>
      <c r="J124" s="1103">
        <f t="shared" si="97"/>
        <v>0</v>
      </c>
      <c r="K124" s="1103">
        <f t="shared" si="97"/>
        <v>134024303.06</v>
      </c>
      <c r="L124" s="1103">
        <v>154733439.67</v>
      </c>
      <c r="M124" s="1103">
        <v>137898043.92</v>
      </c>
      <c r="N124" s="1103">
        <v>8575345.86</v>
      </c>
      <c r="O124" s="1103">
        <v>20191223.87</v>
      </c>
      <c r="P124" s="1103">
        <f t="shared" si="97"/>
        <v>0</v>
      </c>
      <c r="Q124" s="1103">
        <f t="shared" si="97"/>
        <v>0</v>
      </c>
      <c r="R124" s="1103">
        <f t="shared" si="97"/>
        <v>321398053.32</v>
      </c>
      <c r="S124" s="1103">
        <v>136642970.2915</v>
      </c>
      <c r="T124" s="1103">
        <v>-14654852.69</v>
      </c>
      <c r="U124" s="1119">
        <f t="shared" si="97"/>
        <v>170100230.3385</v>
      </c>
      <c r="V124" s="1103">
        <v>103679395.98</v>
      </c>
      <c r="W124" s="1103">
        <v>61155530.8</v>
      </c>
      <c r="X124" s="1103">
        <v>13115410.16</v>
      </c>
      <c r="Y124" s="1103">
        <f t="shared" si="97"/>
        <v>0</v>
      </c>
      <c r="Z124" s="1103">
        <f t="shared" si="97"/>
        <v>0</v>
      </c>
      <c r="AA124" s="1103">
        <f t="shared" si="97"/>
        <v>0</v>
      </c>
      <c r="AB124" s="1103">
        <f t="shared" si="97"/>
        <v>177950336.94</v>
      </c>
      <c r="AC124" s="1103">
        <f t="shared" si="97"/>
        <v>3619572.02</v>
      </c>
      <c r="AD124" s="1103">
        <f t="shared" si="97"/>
        <v>0</v>
      </c>
      <c r="AE124" s="1103">
        <f t="shared" si="97"/>
        <v>174330764.92</v>
      </c>
      <c r="AF124" s="1103">
        <f t="shared" si="97"/>
        <v>0</v>
      </c>
      <c r="AG124" s="1103">
        <f t="shared" si="97"/>
        <v>0</v>
      </c>
      <c r="AH124" s="1103">
        <f t="shared" si="97"/>
        <v>0</v>
      </c>
      <c r="AI124" s="1103">
        <f t="shared" si="97"/>
        <v>0</v>
      </c>
      <c r="AJ124" s="1103">
        <f t="shared" si="97"/>
        <v>0</v>
      </c>
      <c r="AK124" s="1103">
        <f t="shared" si="97"/>
        <v>0</v>
      </c>
      <c r="AL124" s="1103">
        <f t="shared" si="97"/>
        <v>0</v>
      </c>
      <c r="AM124" s="1103">
        <f t="shared" si="97"/>
        <v>0</v>
      </c>
      <c r="AN124" s="1103">
        <f t="shared" si="97"/>
        <v>0</v>
      </c>
      <c r="AO124" s="1103">
        <f t="shared" si="97"/>
        <v>0</v>
      </c>
      <c r="AP124" s="1103">
        <f t="shared" si="97"/>
        <v>0</v>
      </c>
      <c r="AQ124" s="1103">
        <f t="shared" si="97"/>
        <v>0</v>
      </c>
      <c r="AR124" s="1103">
        <f t="shared" si="97"/>
        <v>0</v>
      </c>
      <c r="AS124" s="1103">
        <f t="shared" si="97"/>
        <v>0</v>
      </c>
      <c r="AT124" s="1103">
        <f t="shared" si="97"/>
        <v>0</v>
      </c>
      <c r="AU124" s="1103">
        <f t="shared" si="97"/>
        <v>0</v>
      </c>
      <c r="AV124" s="1092">
        <f>合并利润表!C5</f>
        <v>16062838.88</v>
      </c>
      <c r="AW124" s="1098">
        <f t="shared" si="66"/>
        <v>117961464.18</v>
      </c>
      <c r="AX124" s="1137">
        <f>(K125-K128)/K125</f>
        <v>0.175767016839971</v>
      </c>
    </row>
    <row r="125" s="1018" customFormat="1" customHeight="1" spans="1:50">
      <c r="A125" s="1138" t="s">
        <v>294</v>
      </c>
      <c r="B125" s="1092">
        <f>VLOOKUP(A125,快速PL新!$A$9:$D$63,4,0)</f>
        <v>30342659.99</v>
      </c>
      <c r="C125" s="1093">
        <f>VLOOKUP(A125,新材料PL新!$A$5:$D$38,4,0)</f>
        <v>103440187.84</v>
      </c>
      <c r="D125" s="1093">
        <f>VLOOKUP(A125,精铸PL新!$A$9:$D$63,4,0)</f>
        <v>7349891.38</v>
      </c>
      <c r="E125" s="1094">
        <f>VLOOKUP(A125,热等静压PL新!$A$5:$D$38,4,0)</f>
        <v>20418558.56</v>
      </c>
      <c r="F125" s="1095"/>
      <c r="G125" s="1093"/>
      <c r="H125" s="1096">
        <f>SUM(B125:G125)</f>
        <v>161551297.77</v>
      </c>
      <c r="I125" s="1103">
        <f>合并调整抵消分录!E87</f>
        <v>28024036.16</v>
      </c>
      <c r="J125" s="1103">
        <f>合并调整抵消分录!F87</f>
        <v>0</v>
      </c>
      <c r="K125" s="1103">
        <f>H125-I125+J125</f>
        <v>133527261.61</v>
      </c>
      <c r="L125" s="1097">
        <v>130351577.21</v>
      </c>
      <c r="M125" s="1097">
        <v>136273023.7</v>
      </c>
      <c r="N125" s="1097">
        <v>8571398.96</v>
      </c>
      <c r="O125" s="1093">
        <v>20191223.87</v>
      </c>
      <c r="P125" s="1093"/>
      <c r="Q125" s="1093"/>
      <c r="R125" s="1096">
        <f>SUM(L125:Q125)</f>
        <v>295387223.74</v>
      </c>
      <c r="S125" s="1103">
        <v>127292025.9115</v>
      </c>
      <c r="T125" s="1103">
        <v>0</v>
      </c>
      <c r="U125" s="1119">
        <f>R125-S125+T125</f>
        <v>168095197.8285</v>
      </c>
      <c r="V125" s="1097">
        <v>99742307.64</v>
      </c>
      <c r="W125" s="1097">
        <v>61155530.8</v>
      </c>
      <c r="X125" s="1097">
        <v>13082648.24</v>
      </c>
      <c r="Y125" s="1097"/>
      <c r="Z125" s="1097">
        <f>[6]TB子公司4!M119</f>
        <v>0</v>
      </c>
      <c r="AA125" s="1097">
        <f>[6]TB子公司5!M119</f>
        <v>0</v>
      </c>
      <c r="AB125" s="1103">
        <f>SUM(V125:AA125)</f>
        <v>173980486.68</v>
      </c>
      <c r="AC125" s="1103">
        <f>合并调整抵消分录!N87</f>
        <v>3619572.02</v>
      </c>
      <c r="AD125" s="1103">
        <f>合并调整抵消分录!O87</f>
        <v>0</v>
      </c>
      <c r="AE125" s="1103">
        <f>AB125-AC125+AD125</f>
        <v>170360914.66</v>
      </c>
      <c r="AF125" s="1097"/>
      <c r="AG125" s="1097"/>
      <c r="AH125" s="1097"/>
      <c r="AI125" s="1097"/>
      <c r="AJ125" s="1097"/>
      <c r="AK125" s="1097"/>
      <c r="AL125" s="1103">
        <f>SUM(AF125:AK125)</f>
        <v>0</v>
      </c>
      <c r="AM125" s="1103">
        <f>合并调整抵消分录!Q87</f>
        <v>0</v>
      </c>
      <c r="AN125" s="1103">
        <f>合并调整抵消分录!R87</f>
        <v>0</v>
      </c>
      <c r="AO125" s="1103">
        <f>AL125-AM125+AN125</f>
        <v>0</v>
      </c>
      <c r="AP125" s="1097"/>
      <c r="AQ125" s="1097"/>
      <c r="AR125" s="1103">
        <f>SUM(AP125:AQ125)</f>
        <v>0</v>
      </c>
      <c r="AS125" s="1103">
        <f>合并调整抵消分录!T87</f>
        <v>0</v>
      </c>
      <c r="AT125" s="1103">
        <f>合并调整抵消分录!U87</f>
        <v>0</v>
      </c>
      <c r="AU125" s="1103">
        <f>AR125-AS125+AT125</f>
        <v>0</v>
      </c>
      <c r="AV125" s="1092">
        <f>合并利润表!C6</f>
        <v>15713513.78</v>
      </c>
      <c r="AW125" s="1098">
        <f t="shared" si="66"/>
        <v>117813747.83</v>
      </c>
    </row>
    <row r="126" s="1018" customFormat="1" customHeight="1" spans="1:50">
      <c r="A126" s="1138" t="s">
        <v>296</v>
      </c>
      <c r="B126" s="1092">
        <f>VLOOKUP(A126,快速PL新!$A$9:$D$63,4,0)</f>
        <v>15291169.54</v>
      </c>
      <c r="C126" s="1093">
        <f>VLOOKUP(A126,新材料PL新!$A$5:$D$38,4,0)</f>
        <v>1893362.97</v>
      </c>
      <c r="D126" s="1093">
        <f>VLOOKUP(A126,精铸PL新!$A$9:$D$63,4,0)</f>
        <v>1972.3</v>
      </c>
      <c r="E126" s="1094">
        <f>VLOOKUP(A126,热等静压PL新!$A$5:$D$38,4,0)</f>
        <v>201064.85</v>
      </c>
      <c r="F126" s="1095"/>
      <c r="G126" s="1093"/>
      <c r="H126" s="1096">
        <f>SUM(B126:G126)</f>
        <v>17387569.66</v>
      </c>
      <c r="I126" s="1103">
        <f>合并调整抵消分录!E88</f>
        <v>16890528.21</v>
      </c>
      <c r="J126" s="1103">
        <f>合并调整抵消分录!F88</f>
        <v>0</v>
      </c>
      <c r="K126" s="1103">
        <f>H126-I126+J126</f>
        <v>497041.449999999</v>
      </c>
      <c r="L126" s="1097">
        <v>24381862.46</v>
      </c>
      <c r="M126" s="1097">
        <v>1625020.22</v>
      </c>
      <c r="N126" s="1097">
        <v>3946.9</v>
      </c>
      <c r="O126" s="1093">
        <v>0</v>
      </c>
      <c r="P126" s="1093"/>
      <c r="Q126" s="1093"/>
      <c r="R126" s="1096">
        <f>SUM(L126:Q126)</f>
        <v>26010829.58</v>
      </c>
      <c r="S126" s="1103">
        <v>9350944.38</v>
      </c>
      <c r="T126" s="1103">
        <v>-14654852.69</v>
      </c>
      <c r="U126" s="1119">
        <f>R126-S126+T126</f>
        <v>2005032.51</v>
      </c>
      <c r="V126" s="1097">
        <v>3937088.34</v>
      </c>
      <c r="W126" s="1097">
        <v>0</v>
      </c>
      <c r="X126" s="1097">
        <v>32761.92</v>
      </c>
      <c r="Y126" s="1097"/>
      <c r="Z126" s="1097">
        <f>[6]TB子公司4!M120</f>
        <v>0</v>
      </c>
      <c r="AA126" s="1097">
        <f>[6]TB子公司5!M120</f>
        <v>0</v>
      </c>
      <c r="AB126" s="1103">
        <f>SUM(V126:AA126)</f>
        <v>3969850.26</v>
      </c>
      <c r="AC126" s="1103">
        <f>合并调整抵消分录!N88</f>
        <v>0</v>
      </c>
      <c r="AD126" s="1103">
        <f>合并调整抵消分录!O88</f>
        <v>0</v>
      </c>
      <c r="AE126" s="1103">
        <f>AB126-AC126+AD126</f>
        <v>3969850.26</v>
      </c>
      <c r="AF126" s="1097"/>
      <c r="AG126" s="1097"/>
      <c r="AH126" s="1097"/>
      <c r="AI126" s="1097"/>
      <c r="AJ126" s="1097"/>
      <c r="AK126" s="1097"/>
      <c r="AL126" s="1103">
        <f>SUM(AF126:AK126)</f>
        <v>0</v>
      </c>
      <c r="AM126" s="1103">
        <f>合并调整抵消分录!Q88</f>
        <v>0</v>
      </c>
      <c r="AN126" s="1103">
        <f>合并调整抵消分录!R88</f>
        <v>0</v>
      </c>
      <c r="AO126" s="1103">
        <f>AL126-AM126+AN126</f>
        <v>0</v>
      </c>
      <c r="AP126" s="1097"/>
      <c r="AQ126" s="1097"/>
      <c r="AR126" s="1103">
        <f>SUM(AP126:AQ126)</f>
        <v>0</v>
      </c>
      <c r="AS126" s="1103">
        <f>合并调整抵消分录!T88</f>
        <v>0</v>
      </c>
      <c r="AT126" s="1103">
        <f>合并调整抵消分录!U88</f>
        <v>0</v>
      </c>
      <c r="AU126" s="1103">
        <f>AR126-AS126+AT126</f>
        <v>0</v>
      </c>
      <c r="AV126" s="1092" t="e">
        <f>VLOOKUP(A126,合并利润表!A$5:C$27,3,0)</f>
        <v>#N/A</v>
      </c>
      <c r="AW126" s="1098" t="e">
        <f t="shared" si="66"/>
        <v>#N/A</v>
      </c>
    </row>
    <row r="127" s="1018" customFormat="1" customHeight="1" spans="1:50">
      <c r="A127" s="1139" t="s">
        <v>753</v>
      </c>
      <c r="B127" s="1103">
        <f>SUM(B128:B134)</f>
        <v>60172578.34</v>
      </c>
      <c r="C127" s="1103">
        <f>SUM(C128:C134)</f>
        <v>109839516.27</v>
      </c>
      <c r="D127" s="1103">
        <f>SUM(D128:D134)</f>
        <v>7190458.83</v>
      </c>
      <c r="E127" s="1103">
        <f t="shared" ref="E127:K127" si="98">SUM(E128:E134)</f>
        <v>19402746.69</v>
      </c>
      <c r="F127" s="1121">
        <f t="shared" ref="C127:AV127" si="99">SUM(F128:F140)</f>
        <v>0</v>
      </c>
      <c r="G127" s="1103">
        <f t="shared" si="99"/>
        <v>0</v>
      </c>
      <c r="H127" s="1103">
        <f t="shared" si="98"/>
        <v>196605300.13</v>
      </c>
      <c r="I127" s="1103">
        <f t="shared" si="98"/>
        <v>0</v>
      </c>
      <c r="J127" s="1103">
        <f t="shared" si="98"/>
        <v>44892675.99</v>
      </c>
      <c r="K127" s="1103">
        <f t="shared" si="98"/>
        <v>151712624.14</v>
      </c>
      <c r="L127" s="1103">
        <v>189279091.18</v>
      </c>
      <c r="M127" s="1103">
        <v>146222404.45</v>
      </c>
      <c r="N127" s="1103">
        <v>9183754.98</v>
      </c>
      <c r="O127" s="1103">
        <v>18905572.6</v>
      </c>
      <c r="P127" s="1103">
        <f t="shared" ref="M127:R127" si="100">SUM(P128:P134)</f>
        <v>0</v>
      </c>
      <c r="Q127" s="1103">
        <f t="shared" si="100"/>
        <v>0</v>
      </c>
      <c r="R127" s="1103">
        <f t="shared" si="100"/>
        <v>363590823.21</v>
      </c>
      <c r="S127" s="1103">
        <v>-14654852.69</v>
      </c>
      <c r="T127" s="1103">
        <v>136642970.2915</v>
      </c>
      <c r="U127" s="1103">
        <f t="shared" ref="U127" si="101">SUM(U128:U134)</f>
        <v>212293000.2285</v>
      </c>
      <c r="V127" s="1103">
        <v>141119704.27</v>
      </c>
      <c r="W127" s="1103">
        <v>61661405.59</v>
      </c>
      <c r="X127" s="1103">
        <v>14256794.99</v>
      </c>
      <c r="Y127" s="1103">
        <f t="shared" si="99"/>
        <v>0</v>
      </c>
      <c r="Z127" s="1103">
        <f t="shared" si="99"/>
        <v>0</v>
      </c>
      <c r="AA127" s="1103">
        <f t="shared" si="99"/>
        <v>0</v>
      </c>
      <c r="AB127" s="1103">
        <f t="shared" si="99"/>
        <v>216800449.52</v>
      </c>
      <c r="AC127" s="1103">
        <f t="shared" si="99"/>
        <v>1626803.34</v>
      </c>
      <c r="AD127" s="1103">
        <f t="shared" si="99"/>
        <v>5246375.36</v>
      </c>
      <c r="AE127" s="1103">
        <f t="shared" si="99"/>
        <v>213180877.5</v>
      </c>
      <c r="AF127" s="1103">
        <f t="shared" si="99"/>
        <v>0</v>
      </c>
      <c r="AG127" s="1103">
        <f t="shared" si="99"/>
        <v>0</v>
      </c>
      <c r="AH127" s="1103">
        <f t="shared" si="99"/>
        <v>0</v>
      </c>
      <c r="AI127" s="1103">
        <f t="shared" si="99"/>
        <v>0</v>
      </c>
      <c r="AJ127" s="1103">
        <f t="shared" si="99"/>
        <v>0</v>
      </c>
      <c r="AK127" s="1103">
        <f t="shared" si="99"/>
        <v>0</v>
      </c>
      <c r="AL127" s="1103">
        <f t="shared" si="99"/>
        <v>0</v>
      </c>
      <c r="AM127" s="1103">
        <f t="shared" si="99"/>
        <v>0</v>
      </c>
      <c r="AN127" s="1103">
        <f t="shared" si="99"/>
        <v>0</v>
      </c>
      <c r="AO127" s="1103">
        <f t="shared" si="99"/>
        <v>0</v>
      </c>
      <c r="AP127" s="1103">
        <f t="shared" si="99"/>
        <v>0</v>
      </c>
      <c r="AQ127" s="1103">
        <f t="shared" si="99"/>
        <v>0</v>
      </c>
      <c r="AR127" s="1103">
        <f t="shared" si="99"/>
        <v>0</v>
      </c>
      <c r="AS127" s="1103">
        <f t="shared" si="99"/>
        <v>0</v>
      </c>
      <c r="AT127" s="1103">
        <f t="shared" si="99"/>
        <v>0</v>
      </c>
      <c r="AU127" s="1103">
        <f t="shared" si="99"/>
        <v>0</v>
      </c>
      <c r="AV127" s="1103" t="e">
        <f t="shared" si="99"/>
        <v>#N/A</v>
      </c>
      <c r="AW127" s="1098" t="e">
        <f t="shared" si="66"/>
        <v>#N/A</v>
      </c>
    </row>
    <row r="128" s="1018" customFormat="1" customHeight="1" spans="1:50">
      <c r="A128" s="1138" t="s">
        <v>300</v>
      </c>
      <c r="B128" s="1092">
        <f>VLOOKUP(A128,快速PL新!$A$9:$D$63,4,0)</f>
        <v>24203455.08</v>
      </c>
      <c r="C128" s="1093">
        <f>VLOOKUP(A128,新材料PL新!$A$5:$D$38,4,0)</f>
        <v>95759878.85</v>
      </c>
      <c r="D128" s="1093">
        <f>VLOOKUP(A128,精铸PL新!$A$9:$D$63,4,0)</f>
        <v>5173060.31</v>
      </c>
      <c r="E128" s="1094">
        <f>VLOOKUP(A128,热等静压PL新!$A$5:$D$38,4,0)</f>
        <v>17491062.97</v>
      </c>
      <c r="F128" s="1095"/>
      <c r="G128" s="1093"/>
      <c r="H128" s="1096">
        <f t="shared" ref="H128:H141" si="102">SUM(B128:G128)</f>
        <v>142627457.21</v>
      </c>
      <c r="I128" s="1103">
        <f>合并调整抵消分录!E89</f>
        <v>0</v>
      </c>
      <c r="J128" s="1103">
        <f>合并调整抵消分录!F89</f>
        <v>32569884.04</v>
      </c>
      <c r="K128" s="1103">
        <f>H128+I128-J128</f>
        <v>110057573.17</v>
      </c>
      <c r="L128" s="1097">
        <v>127228681.43</v>
      </c>
      <c r="M128" s="1097">
        <v>126908780.76</v>
      </c>
      <c r="N128" s="1097">
        <v>6913769.18</v>
      </c>
      <c r="O128" s="1093">
        <v>16662557.8</v>
      </c>
      <c r="P128" s="1093"/>
      <c r="Q128" s="1093"/>
      <c r="R128" s="1096">
        <f t="shared" ref="R128:R141" si="103">SUM(L128:Q128)</f>
        <v>277713789.17</v>
      </c>
      <c r="S128" s="1103">
        <v>0</v>
      </c>
      <c r="T128" s="1103">
        <v>127292025.9115</v>
      </c>
      <c r="U128" s="1119">
        <f>R128+S128-T128</f>
        <v>150421763.2585</v>
      </c>
      <c r="V128" s="1097">
        <v>92518067.28</v>
      </c>
      <c r="W128" s="1097">
        <v>59237209.95</v>
      </c>
      <c r="X128" s="1097">
        <v>10157038.73</v>
      </c>
      <c r="Y128" s="1097"/>
      <c r="Z128" s="1097"/>
      <c r="AA128" s="1097">
        <f>[6]TB子公司5!M122</f>
        <v>0</v>
      </c>
      <c r="AB128" s="1103">
        <f t="shared" ref="AB128:AB140" si="104">SUM(V128:AA128)</f>
        <v>161912315.96</v>
      </c>
      <c r="AC128" s="1103">
        <f>合并调整抵消分录!N89</f>
        <v>0</v>
      </c>
      <c r="AD128" s="1103">
        <f>合并调整抵消分录!O89</f>
        <v>3619572.02</v>
      </c>
      <c r="AE128" s="1103">
        <f>AB128+AC128-AD128</f>
        <v>158292743.94</v>
      </c>
      <c r="AF128" s="1097"/>
      <c r="AG128" s="1097"/>
      <c r="AH128" s="1097"/>
      <c r="AI128" s="1097"/>
      <c r="AJ128" s="1097"/>
      <c r="AK128" s="1097"/>
      <c r="AL128" s="1103">
        <f t="shared" ref="AL128:AL138" si="105">SUM(AF128:AK128)</f>
        <v>0</v>
      </c>
      <c r="AM128" s="1103">
        <f>合并调整抵消分录!Q89</f>
        <v>0</v>
      </c>
      <c r="AN128" s="1103">
        <f>合并调整抵消分录!R89</f>
        <v>0</v>
      </c>
      <c r="AO128" s="1103">
        <f>AL128+AM128-AN128</f>
        <v>0</v>
      </c>
      <c r="AP128" s="1097"/>
      <c r="AQ128" s="1097"/>
      <c r="AR128" s="1103">
        <f t="shared" ref="AR128:AR138" si="106">SUM(AP128:AQ128)</f>
        <v>0</v>
      </c>
      <c r="AS128" s="1103">
        <f>合并调整抵消分录!T89</f>
        <v>0</v>
      </c>
      <c r="AT128" s="1103">
        <f>合并调整抵消分录!U89</f>
        <v>0</v>
      </c>
      <c r="AU128" s="1103">
        <f>AR128+AS128-AT128</f>
        <v>0</v>
      </c>
      <c r="AV128" s="1092">
        <f>合并利润表!C9</f>
        <v>10843509.31</v>
      </c>
      <c r="AW128" s="1098">
        <f t="shared" si="66"/>
        <v>99214063.86</v>
      </c>
    </row>
    <row r="129" s="1018" customFormat="1" customHeight="1" spans="1:49">
      <c r="A129" s="1138" t="s">
        <v>302</v>
      </c>
      <c r="B129" s="1092">
        <f>VLOOKUP(A129,快速PL新!$A$9:$D$63,4,0)</f>
        <v>9153398.78</v>
      </c>
      <c r="C129" s="1093">
        <f>VLOOKUP(A129,新材料PL新!$A$5:$D$38,4,0)</f>
        <v>1902065.84</v>
      </c>
      <c r="D129" s="1093">
        <f>VLOOKUP(A129,精铸PL新!$A$9:$D$63,4,0)</f>
        <v>0</v>
      </c>
      <c r="E129" s="1094">
        <f>VLOOKUP(A129,热等静压PL新!$A$5:$D$38,4,0)</f>
        <v>215107.4</v>
      </c>
      <c r="F129" s="1095"/>
      <c r="G129" s="1093"/>
      <c r="H129" s="1096">
        <f t="shared" si="102"/>
        <v>11270572.02</v>
      </c>
      <c r="I129" s="1103">
        <f>合并调整抵消分录!E90</f>
        <v>0</v>
      </c>
      <c r="J129" s="1103">
        <f>合并调整抵消分录!F90</f>
        <v>11270572.02</v>
      </c>
      <c r="K129" s="1103">
        <f t="shared" ref="K129:K135" si="107">H129+I129-J129</f>
        <v>0</v>
      </c>
      <c r="L129" s="1097">
        <v>23149024.5</v>
      </c>
      <c r="M129" s="1097">
        <v>1340116.14</v>
      </c>
      <c r="N129" s="1097">
        <v>0</v>
      </c>
      <c r="O129" s="1093">
        <v>0</v>
      </c>
      <c r="P129" s="1093"/>
      <c r="Q129" s="1093"/>
      <c r="R129" s="1096">
        <f t="shared" si="103"/>
        <v>24489140.64</v>
      </c>
      <c r="S129" s="1103">
        <v>-14654852.69</v>
      </c>
      <c r="T129" s="1103">
        <v>9224095.35</v>
      </c>
      <c r="U129" s="1119">
        <f t="shared" ref="U129:U135" si="108">R129+S129-T129</f>
        <v>610192.600000001</v>
      </c>
      <c r="V129" s="1097">
        <v>1543845.38</v>
      </c>
      <c r="W129" s="1097">
        <v>0</v>
      </c>
      <c r="X129" s="1097">
        <v>0</v>
      </c>
      <c r="Y129" s="1097"/>
      <c r="Z129" s="1097"/>
      <c r="AA129" s="1097">
        <f>[6]TB子公司5!M123</f>
        <v>0</v>
      </c>
      <c r="AB129" s="1103">
        <f t="shared" si="104"/>
        <v>1543845.38</v>
      </c>
      <c r="AC129" s="1103">
        <f>合并调整抵消分录!N90</f>
        <v>0</v>
      </c>
      <c r="AD129" s="1103">
        <f>合并调整抵消分录!O90</f>
        <v>0</v>
      </c>
      <c r="AE129" s="1103">
        <f t="shared" ref="AE129:AE137" si="109">AB129+AC129-AD129</f>
        <v>1543845.38</v>
      </c>
      <c r="AF129" s="1097"/>
      <c r="AG129" s="1097"/>
      <c r="AH129" s="1097"/>
      <c r="AI129" s="1097"/>
      <c r="AJ129" s="1097"/>
      <c r="AK129" s="1097"/>
      <c r="AL129" s="1103">
        <f t="shared" si="105"/>
        <v>0</v>
      </c>
      <c r="AM129" s="1103">
        <f>合并调整抵消分录!Q90</f>
        <v>0</v>
      </c>
      <c r="AN129" s="1103">
        <f>合并调整抵消分录!R90</f>
        <v>0</v>
      </c>
      <c r="AO129" s="1103">
        <f>AL129+AM129-AN129</f>
        <v>0</v>
      </c>
      <c r="AP129" s="1097"/>
      <c r="AQ129" s="1097"/>
      <c r="AR129" s="1103">
        <f t="shared" si="106"/>
        <v>0</v>
      </c>
      <c r="AS129" s="1103">
        <f>合并调整抵消分录!T90</f>
        <v>0</v>
      </c>
      <c r="AT129" s="1103">
        <f>合并调整抵消分录!U90</f>
        <v>0</v>
      </c>
      <c r="AU129" s="1103">
        <f>AR129+AS129-AT129</f>
        <v>0</v>
      </c>
      <c r="AV129" s="1092" t="e">
        <f>VLOOKUP(A129,合并利润表!A$5:C$27,3,0)</f>
        <v>#N/A</v>
      </c>
      <c r="AW129" s="1098" t="e">
        <f t="shared" si="66"/>
        <v>#N/A</v>
      </c>
    </row>
    <row r="130" s="1018" customFormat="1" customHeight="1" spans="1:49">
      <c r="A130" s="1138" t="s">
        <v>304</v>
      </c>
      <c r="B130" s="1092">
        <f>VLOOKUP(A130,快速PL新!$A$9:$D$63,4,0)</f>
        <v>761818.53</v>
      </c>
      <c r="C130" s="1093">
        <f>VLOOKUP(A130,新材料PL新!$A$5:$D$38,4,0)</f>
        <v>34056.86</v>
      </c>
      <c r="D130" s="1093">
        <f>VLOOKUP(A130,精铸PL新!$A$9:$D$63,4,0)</f>
        <v>26359.78</v>
      </c>
      <c r="E130" s="1094">
        <f>VLOOKUP(A130,热等静压PL新!$A$5:$D$38,4,0)</f>
        <v>7209.21</v>
      </c>
      <c r="F130" s="1095"/>
      <c r="G130" s="1093"/>
      <c r="H130" s="1096">
        <f t="shared" si="102"/>
        <v>829444.38</v>
      </c>
      <c r="I130" s="1103">
        <f>合并调整抵消分录!E91</f>
        <v>0</v>
      </c>
      <c r="J130" s="1103">
        <f>合并调整抵消分录!F91</f>
        <v>0</v>
      </c>
      <c r="K130" s="1103">
        <f t="shared" si="107"/>
        <v>829444.38</v>
      </c>
      <c r="L130" s="1097">
        <v>1880179.91</v>
      </c>
      <c r="M130" s="1097">
        <v>115825.14</v>
      </c>
      <c r="N130" s="1097">
        <v>39407.24</v>
      </c>
      <c r="O130" s="1093">
        <v>8102.89</v>
      </c>
      <c r="P130" s="1093"/>
      <c r="Q130" s="1093"/>
      <c r="R130" s="1096">
        <f t="shared" si="103"/>
        <v>2043515.18</v>
      </c>
      <c r="S130" s="1103">
        <v>0</v>
      </c>
      <c r="T130" s="1103">
        <v>0</v>
      </c>
      <c r="U130" s="1119">
        <f t="shared" si="108"/>
        <v>2043515.18</v>
      </c>
      <c r="V130" s="1097">
        <v>742885.7</v>
      </c>
      <c r="W130" s="1097">
        <v>85950.42</v>
      </c>
      <c r="X130" s="1097">
        <v>93128.93</v>
      </c>
      <c r="Y130" s="1097"/>
      <c r="Z130" s="1097"/>
      <c r="AA130" s="1097">
        <f>[6]TB子公司5!M124</f>
        <v>0</v>
      </c>
      <c r="AB130" s="1103">
        <f t="shared" si="104"/>
        <v>921965.05</v>
      </c>
      <c r="AC130" s="1103">
        <f>合并调整抵消分录!N91</f>
        <v>0</v>
      </c>
      <c r="AD130" s="1103">
        <f>合并调整抵消分录!O91</f>
        <v>0</v>
      </c>
      <c r="AE130" s="1103">
        <f t="shared" si="109"/>
        <v>921965.05</v>
      </c>
      <c r="AF130" s="1097"/>
      <c r="AG130" s="1097"/>
      <c r="AH130" s="1097"/>
      <c r="AI130" s="1097"/>
      <c r="AJ130" s="1097"/>
      <c r="AK130" s="1097"/>
      <c r="AL130" s="1103">
        <f t="shared" si="105"/>
        <v>0</v>
      </c>
      <c r="AM130" s="1103">
        <f>合并调整抵消分录!Q91</f>
        <v>0</v>
      </c>
      <c r="AN130" s="1103">
        <f>合并调整抵消分录!R91</f>
        <v>0</v>
      </c>
      <c r="AO130" s="1103">
        <f>AL130+AM130-AN130</f>
        <v>0</v>
      </c>
      <c r="AP130" s="1097"/>
      <c r="AQ130" s="1097"/>
      <c r="AR130" s="1103">
        <f t="shared" si="106"/>
        <v>0</v>
      </c>
      <c r="AS130" s="1103">
        <f>合并调整抵消分录!T91</f>
        <v>0</v>
      </c>
      <c r="AT130" s="1103">
        <f>合并调整抵消分录!U91</f>
        <v>0</v>
      </c>
      <c r="AU130" s="1103">
        <f>AR130+AS130-AT130</f>
        <v>0</v>
      </c>
      <c r="AV130" s="1092" t="e">
        <f>VLOOKUP(A130,合并利润表!A$5:C$27,3,0)</f>
        <v>#N/A</v>
      </c>
      <c r="AW130" s="1098" t="e">
        <f t="shared" si="66"/>
        <v>#N/A</v>
      </c>
    </row>
    <row r="131" s="1018" customFormat="1" customHeight="1" spans="1:49">
      <c r="A131" s="1138" t="s">
        <v>306</v>
      </c>
      <c r="B131" s="1092">
        <f>VLOOKUP(A131,快速PL新!$A$9:$D$63,4,0)</f>
        <v>1157856.27</v>
      </c>
      <c r="C131" s="1093">
        <f>VLOOKUP(A131,新材料PL新!$A$5:$D$38,4,0)</f>
        <v>5951833.88</v>
      </c>
      <c r="D131" s="1093">
        <f>VLOOKUP(A131,精铸PL新!$A$9:$D$63,4,0)</f>
        <v>580641.56</v>
      </c>
      <c r="E131" s="1094">
        <f>VLOOKUP(A131,热等静压PL新!$A$5:$D$38,4,0)</f>
        <v>556431.11</v>
      </c>
      <c r="F131" s="1095"/>
      <c r="G131" s="1093"/>
      <c r="H131" s="1096">
        <f t="shared" si="102"/>
        <v>8246762.82</v>
      </c>
      <c r="I131" s="1103">
        <f>合并调整抵消分录!E92</f>
        <v>0</v>
      </c>
      <c r="J131" s="1103">
        <f>合并调整抵消分录!F92</f>
        <v>201064.85</v>
      </c>
      <c r="K131" s="1103">
        <f t="shared" si="107"/>
        <v>8045697.97</v>
      </c>
      <c r="L131" s="1097">
        <v>2738905.23</v>
      </c>
      <c r="M131" s="1097">
        <v>9110764.47</v>
      </c>
      <c r="N131" s="1097">
        <v>628797.75</v>
      </c>
      <c r="O131" s="1093">
        <v>782018.61</v>
      </c>
      <c r="P131" s="1093"/>
      <c r="Q131" s="1093"/>
      <c r="R131" s="1096">
        <f t="shared" si="103"/>
        <v>13260486.06</v>
      </c>
      <c r="S131" s="1103">
        <v>0</v>
      </c>
      <c r="T131" s="1103">
        <v>0</v>
      </c>
      <c r="U131" s="1119">
        <f t="shared" si="108"/>
        <v>13260486.06</v>
      </c>
      <c r="V131" s="1097">
        <v>9994968.22</v>
      </c>
      <c r="W131" s="1097">
        <v>832562.81</v>
      </c>
      <c r="X131" s="1097">
        <v>756564.23</v>
      </c>
      <c r="Y131" s="1097"/>
      <c r="Z131" s="1097"/>
      <c r="AA131" s="1097">
        <f>[6]TB子公司5!M125</f>
        <v>0</v>
      </c>
      <c r="AB131" s="1103">
        <f t="shared" si="104"/>
        <v>11584095.26</v>
      </c>
      <c r="AC131" s="1103">
        <f>合并调整抵消分录!N92</f>
        <v>0</v>
      </c>
      <c r="AD131" s="1103">
        <f>合并调整抵消分录!O92</f>
        <v>0</v>
      </c>
      <c r="AE131" s="1103">
        <f t="shared" si="109"/>
        <v>11584095.26</v>
      </c>
      <c r="AF131" s="1097"/>
      <c r="AG131" s="1097"/>
      <c r="AH131" s="1097"/>
      <c r="AI131" s="1097"/>
      <c r="AJ131" s="1097"/>
      <c r="AK131" s="1097"/>
      <c r="AL131" s="1103">
        <f t="shared" si="105"/>
        <v>0</v>
      </c>
      <c r="AM131" s="1103">
        <f>合并调整抵消分录!Q92</f>
        <v>0</v>
      </c>
      <c r="AN131" s="1103">
        <f>合并调整抵消分录!R92</f>
        <v>0</v>
      </c>
      <c r="AO131" s="1103">
        <f>AL131+AM131-AN131</f>
        <v>0</v>
      </c>
      <c r="AP131" s="1097"/>
      <c r="AQ131" s="1097"/>
      <c r="AR131" s="1103">
        <f t="shared" si="106"/>
        <v>0</v>
      </c>
      <c r="AS131" s="1103">
        <f>合并调整抵消分录!T92</f>
        <v>0</v>
      </c>
      <c r="AT131" s="1103">
        <f>合并调整抵消分录!U92</f>
        <v>0</v>
      </c>
      <c r="AU131" s="1103">
        <f>AR131+AS131-AT131</f>
        <v>0</v>
      </c>
      <c r="AV131" s="1092" t="e">
        <f>VLOOKUP(A131,合并利润表!A$5:C$27,3,0)</f>
        <v>#N/A</v>
      </c>
      <c r="AW131" s="1098" t="e">
        <f t="shared" si="66"/>
        <v>#N/A</v>
      </c>
    </row>
    <row r="132" s="1018" customFormat="1" customHeight="1" spans="1:49">
      <c r="A132" s="1138" t="s">
        <v>308</v>
      </c>
      <c r="B132" s="1092">
        <f>VLOOKUP(A132,快速PL新!$A$9:$D$63,4,0)</f>
        <v>7601010.42</v>
      </c>
      <c r="C132" s="1093">
        <f>VLOOKUP(A132,新材料PL新!$A$5:$D$38,4,0)</f>
        <v>411474.94</v>
      </c>
      <c r="D132" s="1093">
        <f>VLOOKUP(A132,精铸PL新!$A$9:$D$63,4,0)</f>
        <v>100618.84</v>
      </c>
      <c r="E132" s="1094">
        <f>VLOOKUP(A132,热等静压PL新!$A$5:$D$38,4,0)</f>
        <v>237860.86</v>
      </c>
      <c r="F132" s="1095"/>
      <c r="G132" s="1093"/>
      <c r="H132" s="1096">
        <f t="shared" si="102"/>
        <v>8350965.06</v>
      </c>
      <c r="I132" s="1103">
        <f>合并调整抵消分录!E93</f>
        <v>0</v>
      </c>
      <c r="J132" s="1103">
        <f>合并调整抵消分录!F93</f>
        <v>0</v>
      </c>
      <c r="K132" s="1103">
        <f t="shared" si="107"/>
        <v>8350965.06</v>
      </c>
      <c r="L132" s="1097">
        <v>9763336.94</v>
      </c>
      <c r="M132" s="1097">
        <v>2564708.92</v>
      </c>
      <c r="N132" s="1097">
        <v>655191.33</v>
      </c>
      <c r="O132" s="1093">
        <v>367446.08</v>
      </c>
      <c r="P132" s="1093"/>
      <c r="Q132" s="1093"/>
      <c r="R132" s="1096">
        <f t="shared" si="103"/>
        <v>13350683.27</v>
      </c>
      <c r="S132" s="1103">
        <v>0</v>
      </c>
      <c r="T132" s="1103">
        <v>126849.03</v>
      </c>
      <c r="U132" s="1119">
        <f t="shared" si="108"/>
        <v>13223834.24</v>
      </c>
      <c r="V132" s="1097">
        <v>9246704.35</v>
      </c>
      <c r="W132" s="1097">
        <v>817794.7</v>
      </c>
      <c r="X132" s="1097">
        <v>1030652.12</v>
      </c>
      <c r="Y132" s="1097"/>
      <c r="Z132" s="1097"/>
      <c r="AA132" s="1097">
        <f>[6]TB子公司5!M126</f>
        <v>0</v>
      </c>
      <c r="AB132" s="1103">
        <f t="shared" si="104"/>
        <v>11095151.17</v>
      </c>
      <c r="AC132" s="1103">
        <f>合并调整抵消分录!N93</f>
        <v>0</v>
      </c>
      <c r="AD132" s="1103">
        <f>合并调整抵消分录!O93</f>
        <v>0</v>
      </c>
      <c r="AE132" s="1103">
        <f t="shared" si="109"/>
        <v>11095151.17</v>
      </c>
      <c r="AF132" s="1097"/>
      <c r="AG132" s="1097"/>
      <c r="AH132" s="1097"/>
      <c r="AI132" s="1097"/>
      <c r="AJ132" s="1097"/>
      <c r="AK132" s="1097"/>
      <c r="AL132" s="1103">
        <f t="shared" si="105"/>
        <v>0</v>
      </c>
      <c r="AM132" s="1103">
        <f>合并调整抵消分录!Q93</f>
        <v>0</v>
      </c>
      <c r="AN132" s="1103">
        <f>合并调整抵消分录!R93</f>
        <v>0</v>
      </c>
      <c r="AO132" s="1103">
        <f>AL132+AM132-AN132</f>
        <v>0</v>
      </c>
      <c r="AP132" s="1097"/>
      <c r="AQ132" s="1097"/>
      <c r="AR132" s="1103">
        <f t="shared" si="106"/>
        <v>0</v>
      </c>
      <c r="AS132" s="1103">
        <f>合并调整抵消分录!T93</f>
        <v>0</v>
      </c>
      <c r="AT132" s="1103">
        <f>合并调整抵消分录!U93</f>
        <v>0</v>
      </c>
      <c r="AU132" s="1103">
        <f>AR132+AS132-AT132</f>
        <v>0</v>
      </c>
      <c r="AV132" s="1092" t="e">
        <f>VLOOKUP(A132,合并利润表!A$5:C$27,3,0)</f>
        <v>#N/A</v>
      </c>
      <c r="AW132" s="1098" t="e">
        <f t="shared" si="66"/>
        <v>#N/A</v>
      </c>
    </row>
    <row r="133" s="1018" customFormat="1" customHeight="1" spans="1:49">
      <c r="A133" s="1138" t="s">
        <v>310</v>
      </c>
      <c r="B133" s="1092">
        <f>VLOOKUP(A133,快速PL新!$A$9:$D$63,4,0)</f>
        <v>13707935.34</v>
      </c>
      <c r="C133" s="1093">
        <f>VLOOKUP(A133,新材料PL新!$A$5:$D$38,4,0)</f>
        <v>5045417.48</v>
      </c>
      <c r="D133" s="1093">
        <f>VLOOKUP(A133,精铸PL新!$A$9:$D$63,4,0)</f>
        <v>1123957.13</v>
      </c>
      <c r="E133" s="1094">
        <f>VLOOKUP(A133,热等静压PL新!$A$5:$D$38,4,0)</f>
        <v>894023.38</v>
      </c>
      <c r="F133" s="1095"/>
      <c r="G133" s="1093"/>
      <c r="H133" s="1096">
        <f t="shared" si="102"/>
        <v>20771333.33</v>
      </c>
      <c r="I133" s="1103">
        <f>合并调整抵消分录!E94</f>
        <v>0</v>
      </c>
      <c r="J133" s="1103">
        <f>合并调整抵消分录!F94</f>
        <v>851155.08</v>
      </c>
      <c r="K133" s="1103">
        <f t="shared" si="107"/>
        <v>19920178.25</v>
      </c>
      <c r="L133" s="1097">
        <v>19189997.09</v>
      </c>
      <c r="M133" s="1097">
        <v>5941071.93</v>
      </c>
      <c r="N133" s="1097">
        <v>705217.56</v>
      </c>
      <c r="O133" s="1093">
        <v>1088615.66</v>
      </c>
      <c r="P133" s="1093"/>
      <c r="Q133" s="1093"/>
      <c r="R133" s="1096">
        <f t="shared" si="103"/>
        <v>26924902.24</v>
      </c>
      <c r="S133" s="1103">
        <v>0</v>
      </c>
      <c r="T133" s="1103">
        <v>0</v>
      </c>
      <c r="U133" s="1119">
        <f t="shared" si="108"/>
        <v>26924902.24</v>
      </c>
      <c r="V133" s="1097">
        <v>20900480.69</v>
      </c>
      <c r="W133" s="1097">
        <v>864761.21</v>
      </c>
      <c r="X133" s="1097">
        <v>1874355.71</v>
      </c>
      <c r="Y133" s="1097"/>
      <c r="Z133" s="1097"/>
      <c r="AA133" s="1097"/>
      <c r="AB133" s="1103">
        <f t="shared" si="104"/>
        <v>23639597.61</v>
      </c>
      <c r="AC133" s="1103"/>
      <c r="AD133" s="1103"/>
      <c r="AE133" s="1103">
        <f t="shared" si="109"/>
        <v>23639597.61</v>
      </c>
      <c r="AF133" s="1097"/>
      <c r="AG133" s="1097"/>
      <c r="AH133" s="1097"/>
      <c r="AI133" s="1097"/>
      <c r="AJ133" s="1097"/>
      <c r="AK133" s="1097"/>
      <c r="AL133" s="1103"/>
      <c r="AM133" s="1103"/>
      <c r="AN133" s="1103"/>
      <c r="AO133" s="1103"/>
      <c r="AP133" s="1097"/>
      <c r="AQ133" s="1097"/>
      <c r="AR133" s="1103"/>
      <c r="AS133" s="1103"/>
      <c r="AT133" s="1103"/>
      <c r="AU133" s="1103"/>
      <c r="AV133" s="1092" t="e">
        <f>VLOOKUP(A133,合并利润表!A$5:C$27,3,0)</f>
        <v>#N/A</v>
      </c>
      <c r="AW133" s="1098" t="e">
        <f t="shared" si="66"/>
        <v>#N/A</v>
      </c>
    </row>
    <row r="134" s="1018" customFormat="1" customHeight="1" spans="1:49">
      <c r="A134" s="1138" t="s">
        <v>312</v>
      </c>
      <c r="B134" s="1092">
        <f>VLOOKUP(A134,快速PL新!$A$9:$D$63,4,0)</f>
        <v>3587103.92</v>
      </c>
      <c r="C134" s="1093">
        <f>VLOOKUP(A134,新材料PL新!$A$5:$D$38,4,0)</f>
        <v>734788.42</v>
      </c>
      <c r="D134" s="1093">
        <f>VLOOKUP(A134,精铸PL新!$A$9:$D$63,4,0)</f>
        <v>185821.21</v>
      </c>
      <c r="E134" s="1094">
        <f>VLOOKUP(A134,热等静压PL新!$A$5:$D$38,4,0)</f>
        <v>1051.76</v>
      </c>
      <c r="F134" s="1095"/>
      <c r="G134" s="1093"/>
      <c r="H134" s="1096">
        <f t="shared" si="102"/>
        <v>4508765.31</v>
      </c>
      <c r="I134" s="1103">
        <f>合并调整抵消分录!E95</f>
        <v>0</v>
      </c>
      <c r="J134" s="1103">
        <f>合并调整抵消分录!F95</f>
        <v>0</v>
      </c>
      <c r="K134" s="1103">
        <f t="shared" si="107"/>
        <v>4508765.31</v>
      </c>
      <c r="L134" s="1097">
        <v>5328966.08</v>
      </c>
      <c r="M134" s="1097">
        <v>241137.09</v>
      </c>
      <c r="N134" s="1097">
        <v>241371.92</v>
      </c>
      <c r="O134" s="1093">
        <v>-3168.44</v>
      </c>
      <c r="P134" s="1093"/>
      <c r="Q134" s="1093"/>
      <c r="R134" s="1096">
        <f t="shared" si="103"/>
        <v>5808306.65</v>
      </c>
      <c r="S134" s="1103">
        <v>0</v>
      </c>
      <c r="T134" s="1103">
        <v>0</v>
      </c>
      <c r="U134" s="1119">
        <f t="shared" si="108"/>
        <v>5808306.65</v>
      </c>
      <c r="V134" s="1097">
        <v>6172752.65</v>
      </c>
      <c r="W134" s="1097">
        <v>-176873.5</v>
      </c>
      <c r="X134" s="1097">
        <v>345055.27</v>
      </c>
      <c r="Y134" s="1097"/>
      <c r="Z134" s="1097"/>
      <c r="AA134" s="1097">
        <f>[6]TB子公司5!M127</f>
        <v>0</v>
      </c>
      <c r="AB134" s="1103">
        <f t="shared" si="104"/>
        <v>6340934.42</v>
      </c>
      <c r="AC134" s="1103">
        <f>合并调整抵消分录!N95</f>
        <v>0</v>
      </c>
      <c r="AD134" s="1103">
        <f>合并调整抵消分录!O95</f>
        <v>0</v>
      </c>
      <c r="AE134" s="1103">
        <f t="shared" si="109"/>
        <v>6340934.42</v>
      </c>
      <c r="AF134" s="1097"/>
      <c r="AG134" s="1097"/>
      <c r="AH134" s="1097"/>
      <c r="AI134" s="1097"/>
      <c r="AJ134" s="1097"/>
      <c r="AK134" s="1097"/>
      <c r="AL134" s="1103">
        <f t="shared" si="105"/>
        <v>0</v>
      </c>
      <c r="AM134" s="1103">
        <f>合并调整抵消分录!Q95</f>
        <v>0</v>
      </c>
      <c r="AN134" s="1103">
        <f>合并调整抵消分录!R95</f>
        <v>0</v>
      </c>
      <c r="AO134" s="1103">
        <f>AL134+AM134-AN134</f>
        <v>0</v>
      </c>
      <c r="AP134" s="1097"/>
      <c r="AQ134" s="1097"/>
      <c r="AR134" s="1103">
        <f t="shared" si="106"/>
        <v>0</v>
      </c>
      <c r="AS134" s="1103">
        <f>合并调整抵消分录!T95</f>
        <v>0</v>
      </c>
      <c r="AT134" s="1103">
        <f>合并调整抵消分录!U95</f>
        <v>0</v>
      </c>
      <c r="AU134" s="1103">
        <f>AR134+AS134-AT134</f>
        <v>0</v>
      </c>
      <c r="AV134" s="1092" t="e">
        <f>VLOOKUP(A134,合并利润表!A$5:C$27,3,0)</f>
        <v>#N/A</v>
      </c>
      <c r="AW134" s="1098" t="e">
        <f t="shared" si="66"/>
        <v>#N/A</v>
      </c>
    </row>
    <row r="135" s="1018" customFormat="1" customHeight="1" spans="1:49">
      <c r="A135" s="1138" t="s">
        <v>318</v>
      </c>
      <c r="B135" s="1092">
        <f>VLOOKUP(A135,快速PL新!$A$9:$D$63,4,0)</f>
        <v>915234.83</v>
      </c>
      <c r="C135" s="1093">
        <f>VLOOKUP(A135,新材料PL新!$A$5:$D$38,4,0)</f>
        <v>353487.25</v>
      </c>
      <c r="D135" s="1093">
        <f>VLOOKUP(A135,精铸PL新!$A$9:$D$63,4,0)</f>
        <v>34962.89</v>
      </c>
      <c r="E135" s="1094">
        <f>VLOOKUP(A135,热等静压PL新!$A$5:$D$38,4,0)</f>
        <v>1843.34</v>
      </c>
      <c r="F135" s="1095"/>
      <c r="G135" s="1093"/>
      <c r="H135" s="1096">
        <f t="shared" si="102"/>
        <v>1305528.31</v>
      </c>
      <c r="I135" s="1103">
        <f>合并调整抵消分录!E102</f>
        <v>0</v>
      </c>
      <c r="J135" s="1103">
        <f>合并调整抵消分录!F102</f>
        <v>0</v>
      </c>
      <c r="K135" s="1103">
        <f>H135-I135+J135</f>
        <v>1305528.31</v>
      </c>
      <c r="L135" s="1097">
        <v>2689569.03</v>
      </c>
      <c r="M135" s="1097">
        <v>17487</v>
      </c>
      <c r="N135" s="1097">
        <v>567696.27</v>
      </c>
      <c r="O135" s="1093">
        <v>0</v>
      </c>
      <c r="P135" s="1093"/>
      <c r="Q135" s="1093"/>
      <c r="R135" s="1096">
        <f t="shared" si="103"/>
        <v>3274752.3</v>
      </c>
      <c r="S135" s="1103">
        <v>0</v>
      </c>
      <c r="T135" s="1103">
        <v>0</v>
      </c>
      <c r="U135" s="1119">
        <f>R135-S135+T135</f>
        <v>3274752.3</v>
      </c>
      <c r="V135" s="1097">
        <v>2152563.12</v>
      </c>
      <c r="W135" s="1097">
        <v>0</v>
      </c>
      <c r="X135" s="1097">
        <v>268730.04</v>
      </c>
      <c r="Y135" s="1097"/>
      <c r="Z135" s="1097"/>
      <c r="AA135" s="1097"/>
      <c r="AB135" s="1103">
        <f t="shared" si="104"/>
        <v>2421293.16</v>
      </c>
      <c r="AC135" s="1103"/>
      <c r="AD135" s="1103"/>
      <c r="AE135" s="1103">
        <f t="shared" si="109"/>
        <v>2421293.16</v>
      </c>
      <c r="AF135" s="1097"/>
      <c r="AG135" s="1097"/>
      <c r="AH135" s="1097"/>
      <c r="AI135" s="1097"/>
      <c r="AJ135" s="1097"/>
      <c r="AK135" s="1097"/>
      <c r="AL135" s="1103"/>
      <c r="AM135" s="1103"/>
      <c r="AN135" s="1103"/>
      <c r="AO135" s="1103"/>
      <c r="AP135" s="1097"/>
      <c r="AQ135" s="1097"/>
      <c r="AR135" s="1103"/>
      <c r="AS135" s="1103"/>
      <c r="AT135" s="1103"/>
      <c r="AU135" s="1103"/>
      <c r="AV135" s="1092"/>
      <c r="AW135" s="1098">
        <f t="shared" si="66"/>
        <v>1305528.31</v>
      </c>
    </row>
    <row r="136" s="1018" customFormat="1" customHeight="1" spans="1:49">
      <c r="A136" s="1138" t="s">
        <v>320</v>
      </c>
      <c r="B136" s="1092">
        <f>VLOOKUP(A136,快速PL新!$A$9:$D$63,4,0)</f>
        <v>853056.55</v>
      </c>
      <c r="C136" s="1093">
        <f>VLOOKUP(A136,新材料PL新!$A$5:$D$38,4,0)</f>
        <v>0</v>
      </c>
      <c r="D136" s="1093">
        <f>VLOOKUP(A136,精铸PL新!$A$9:$D$63,4,0)</f>
        <v>0</v>
      </c>
      <c r="E136" s="1094">
        <f>VLOOKUP(A136,热等静压PL新!$A$5:$D$38,4,0)</f>
        <v>0</v>
      </c>
      <c r="F136" s="1095"/>
      <c r="G136" s="1093"/>
      <c r="H136" s="1096">
        <f t="shared" si="102"/>
        <v>853056.55</v>
      </c>
      <c r="I136" s="1103">
        <f>合并调整抵消分录!E99</f>
        <v>-3847293.9</v>
      </c>
      <c r="J136" s="1103">
        <f>合并调整抵消分录!F99</f>
        <v>-3847293.9</v>
      </c>
      <c r="K136" s="1103">
        <f>H136-I136+J136</f>
        <v>853056.55</v>
      </c>
      <c r="L136" s="1097">
        <v>139259.61</v>
      </c>
      <c r="M136" s="1097">
        <v>0</v>
      </c>
      <c r="N136" s="1097">
        <v>0</v>
      </c>
      <c r="O136" s="1093">
        <v>0</v>
      </c>
      <c r="P136" s="1093"/>
      <c r="Q136" s="1093"/>
      <c r="R136" s="1096">
        <f t="shared" si="103"/>
        <v>139259.61</v>
      </c>
      <c r="S136" s="1103">
        <v>-8382211.28</v>
      </c>
      <c r="T136" s="1103">
        <v>-8382211.28</v>
      </c>
      <c r="U136" s="1119">
        <f>R136-S136+T136</f>
        <v>139259.61</v>
      </c>
      <c r="V136" s="1097">
        <v>327578.51</v>
      </c>
      <c r="W136" s="1097">
        <v>0</v>
      </c>
      <c r="X136" s="1097"/>
      <c r="Y136" s="1097"/>
      <c r="Z136" s="1097"/>
      <c r="AA136" s="1097">
        <f>[6]TB子公司5!M130</f>
        <v>0</v>
      </c>
      <c r="AB136" s="1103">
        <f t="shared" si="104"/>
        <v>327578.51</v>
      </c>
      <c r="AC136" s="1103">
        <f>合并调整抵消分录!N99</f>
        <v>1626803.34</v>
      </c>
      <c r="AD136" s="1103">
        <f>合并调整抵消分录!O99</f>
        <v>1626803.34</v>
      </c>
      <c r="AE136" s="1103">
        <f t="shared" si="109"/>
        <v>327578.51</v>
      </c>
      <c r="AF136" s="1097"/>
      <c r="AG136" s="1097"/>
      <c r="AH136" s="1097"/>
      <c r="AI136" s="1097"/>
      <c r="AJ136" s="1097"/>
      <c r="AK136" s="1097"/>
      <c r="AL136" s="1103">
        <f>SUM(AF136:AK136)</f>
        <v>0</v>
      </c>
      <c r="AM136" s="1103">
        <f>合并调整抵消分录!Q99</f>
        <v>0</v>
      </c>
      <c r="AN136" s="1103">
        <f>合并调整抵消分录!R99</f>
        <v>0</v>
      </c>
      <c r="AO136" s="1103">
        <f>AL136-AM136+AN136</f>
        <v>0</v>
      </c>
      <c r="AP136" s="1097"/>
      <c r="AQ136" s="1097"/>
      <c r="AR136" s="1103">
        <f>SUM(AP136:AQ136)</f>
        <v>0</v>
      </c>
      <c r="AS136" s="1103">
        <f>合并调整抵消分录!T99</f>
        <v>0</v>
      </c>
      <c r="AT136" s="1103">
        <f>合并调整抵消分录!U99</f>
        <v>0</v>
      </c>
      <c r="AU136" s="1103">
        <f>AR136-AS136+AT136</f>
        <v>0</v>
      </c>
      <c r="AV136" s="1092">
        <f>合并利润表!C18</f>
        <v>15780.82</v>
      </c>
      <c r="AW136" s="1098">
        <f t="shared" si="66"/>
        <v>837275.73</v>
      </c>
    </row>
    <row r="137" s="1018" customFormat="1" customHeight="1" spans="1:49">
      <c r="A137" s="1138" t="s">
        <v>754</v>
      </c>
      <c r="B137" s="1092"/>
      <c r="C137" s="1093"/>
      <c r="D137" s="1093"/>
      <c r="E137" s="1094"/>
      <c r="F137" s="1095"/>
      <c r="G137" s="1093"/>
      <c r="H137" s="1096">
        <f t="shared" si="102"/>
        <v>0</v>
      </c>
      <c r="I137" s="1103">
        <f>合并调整抵消分录!E100</f>
        <v>0</v>
      </c>
      <c r="J137" s="1103">
        <f>合并调整抵消分录!F100</f>
        <v>0</v>
      </c>
      <c r="K137" s="1103">
        <f>H137-I137+J137</f>
        <v>0</v>
      </c>
      <c r="L137" s="1097"/>
      <c r="M137" s="1097"/>
      <c r="N137" s="1097"/>
      <c r="O137" s="1093"/>
      <c r="P137" s="1093"/>
      <c r="Q137" s="1093"/>
      <c r="R137" s="1096">
        <f t="shared" si="103"/>
        <v>0</v>
      </c>
      <c r="S137" s="1103">
        <v>0</v>
      </c>
      <c r="T137" s="1103">
        <v>0</v>
      </c>
      <c r="U137" s="1119">
        <f>R137-S137+T137</f>
        <v>0</v>
      </c>
      <c r="V137" s="1097"/>
      <c r="W137" s="1097"/>
      <c r="X137" s="1097"/>
      <c r="Y137" s="1097"/>
      <c r="Z137" s="1097"/>
      <c r="AA137" s="1097">
        <f>[6]TB子公司5!M131</f>
        <v>0</v>
      </c>
      <c r="AB137" s="1103">
        <f t="shared" si="104"/>
        <v>0</v>
      </c>
      <c r="AC137" s="1103">
        <f>合并调整抵消分录!N100</f>
        <v>0</v>
      </c>
      <c r="AD137" s="1103">
        <f>合并调整抵消分录!O100</f>
        <v>0</v>
      </c>
      <c r="AE137" s="1103">
        <f t="shared" si="109"/>
        <v>0</v>
      </c>
      <c r="AF137" s="1097"/>
      <c r="AG137" s="1097"/>
      <c r="AH137" s="1097"/>
      <c r="AI137" s="1097"/>
      <c r="AJ137" s="1097"/>
      <c r="AK137" s="1097"/>
      <c r="AL137" s="1103">
        <f>SUM(AF137:AK137)</f>
        <v>0</v>
      </c>
      <c r="AM137" s="1103">
        <f>合并调整抵消分录!Q100</f>
        <v>0</v>
      </c>
      <c r="AN137" s="1103">
        <f>合并调整抵消分录!R100</f>
        <v>0</v>
      </c>
      <c r="AO137" s="1103">
        <f>AL137-AM137+AN137</f>
        <v>0</v>
      </c>
      <c r="AP137" s="1097"/>
      <c r="AQ137" s="1097"/>
      <c r="AR137" s="1103">
        <f>SUM(AP137:AQ137)</f>
        <v>0</v>
      </c>
      <c r="AS137" s="1103">
        <f>合并调整抵消分录!T100</f>
        <v>0</v>
      </c>
      <c r="AT137" s="1103">
        <f>合并调整抵消分录!U100</f>
        <v>0</v>
      </c>
      <c r="AU137" s="1103">
        <f>AR137-AS137+AT137</f>
        <v>0</v>
      </c>
      <c r="AV137" s="1092"/>
      <c r="AW137" s="1098">
        <f t="shared" si="66"/>
        <v>0</v>
      </c>
    </row>
    <row r="138" s="1018" customFormat="1" customHeight="1" spans="1:49">
      <c r="A138" s="1138" t="s">
        <v>328</v>
      </c>
      <c r="B138" s="1092">
        <f>VLOOKUP(A138,快速PL新!$A$9:$D$63,4,0)</f>
        <v>0</v>
      </c>
      <c r="C138" s="1093">
        <f>VLOOKUP(A138,新材料PL新!$A$5:$D$38,4,0)</f>
        <v>0</v>
      </c>
      <c r="D138" s="1093">
        <f>VLOOKUP(A138,精铸PL新!$A$9:$D$63,4,0)</f>
        <v>0</v>
      </c>
      <c r="E138" s="1094">
        <f>VLOOKUP(A138,热等静压PL新!$A$5:$D$38,4,0)</f>
        <v>0</v>
      </c>
      <c r="F138" s="1095"/>
      <c r="G138" s="1093"/>
      <c r="H138" s="1096">
        <f t="shared" si="102"/>
        <v>0</v>
      </c>
      <c r="I138" s="1103">
        <f>合并调整抵消分录!E97</f>
        <v>0</v>
      </c>
      <c r="J138" s="1103">
        <f>合并调整抵消分录!F97</f>
        <v>0</v>
      </c>
      <c r="K138" s="1103">
        <f>H138-I138+J138</f>
        <v>0</v>
      </c>
      <c r="L138" s="1097">
        <v>6225288.11</v>
      </c>
      <c r="M138" s="1097">
        <v>0</v>
      </c>
      <c r="N138" s="1097">
        <v>0</v>
      </c>
      <c r="O138" s="1093">
        <v>0</v>
      </c>
      <c r="P138" s="1093"/>
      <c r="Q138" s="1093"/>
      <c r="R138" s="1096">
        <f t="shared" si="103"/>
        <v>6225288.11</v>
      </c>
      <c r="S138" s="1103">
        <v>0</v>
      </c>
      <c r="T138" s="1103">
        <v>0</v>
      </c>
      <c r="U138" s="1119">
        <f>R138-S138+T138</f>
        <v>6225288.11</v>
      </c>
      <c r="V138" s="1097"/>
      <c r="W138" s="1097"/>
      <c r="X138" s="1097"/>
      <c r="Y138" s="1097"/>
      <c r="Z138" s="1097"/>
      <c r="AA138" s="1097"/>
      <c r="AB138" s="1103"/>
      <c r="AC138" s="1103"/>
      <c r="AD138" s="1103"/>
      <c r="AE138" s="1103"/>
      <c r="AF138" s="1097"/>
      <c r="AG138" s="1097"/>
      <c r="AH138" s="1097"/>
      <c r="AI138" s="1097"/>
      <c r="AJ138" s="1097"/>
      <c r="AK138" s="1097"/>
      <c r="AL138" s="1103"/>
      <c r="AM138" s="1103"/>
      <c r="AN138" s="1103"/>
      <c r="AO138" s="1103"/>
      <c r="AP138" s="1097"/>
      <c r="AQ138" s="1097"/>
      <c r="AR138" s="1103"/>
      <c r="AS138" s="1103"/>
      <c r="AT138" s="1103"/>
      <c r="AU138" s="1103"/>
      <c r="AV138" s="1092"/>
      <c r="AW138" s="1098"/>
    </row>
    <row r="139" s="1018" customFormat="1" customHeight="1" spans="1:49">
      <c r="A139" s="1099" t="s">
        <v>330</v>
      </c>
      <c r="B139" s="1092">
        <f>VLOOKUP(A139,快速PL新!$A$9:$D$63,4,0)</f>
        <v>-451706.29</v>
      </c>
      <c r="C139" s="1093">
        <f>VLOOKUP(A139,新材料PL新!$A$5:$D$38,4,0)</f>
        <v>-918525.26</v>
      </c>
      <c r="D139" s="1093">
        <f>VLOOKUP(A139,精铸PL新!$A$9:$D$63,4,0)</f>
        <v>0</v>
      </c>
      <c r="E139" s="1094">
        <f>VLOOKUP(A139,热等静压PL新!$A$5:$D$38,4,0)</f>
        <v>-170766.3</v>
      </c>
      <c r="F139" s="1095"/>
      <c r="G139" s="1093"/>
      <c r="H139" s="1096">
        <f t="shared" si="102"/>
        <v>-1540997.85</v>
      </c>
      <c r="I139" s="1103">
        <f>合并调整抵消分录!E98</f>
        <v>0</v>
      </c>
      <c r="J139" s="1103">
        <f>合并调整抵消分录!F98</f>
        <v>-239060.41</v>
      </c>
      <c r="K139" s="1103">
        <f>H139-I139+J139</f>
        <v>-1780058.26</v>
      </c>
      <c r="L139" s="1097">
        <v>-937755.31</v>
      </c>
      <c r="M139" s="1097">
        <v>-1374617.14</v>
      </c>
      <c r="N139" s="1097">
        <v>45991.45</v>
      </c>
      <c r="O139" s="1093">
        <v>-194035.63</v>
      </c>
      <c r="P139" s="1093"/>
      <c r="Q139" s="1093"/>
      <c r="R139" s="1096">
        <f t="shared" si="103"/>
        <v>-2460416.63</v>
      </c>
      <c r="S139" s="1103">
        <v>0</v>
      </c>
      <c r="T139" s="1103">
        <v>0</v>
      </c>
      <c r="U139" s="1119">
        <f>R139-S139+T139</f>
        <v>-2460416.63</v>
      </c>
      <c r="V139" s="1097">
        <v>-2993827</v>
      </c>
      <c r="W139" s="1097">
        <v>7500</v>
      </c>
      <c r="X139" s="1097"/>
      <c r="Y139" s="1097"/>
      <c r="Z139" s="1097"/>
      <c r="AA139" s="1097">
        <f>[6]TB子公司5!M129</f>
        <v>0</v>
      </c>
      <c r="AB139" s="1103">
        <f>SUM(V139:AA139)</f>
        <v>-2986327</v>
      </c>
      <c r="AC139" s="1103">
        <f>合并调整抵消分录!N97</f>
        <v>0</v>
      </c>
      <c r="AD139" s="1103">
        <f>合并调整抵消分录!O97</f>
        <v>0</v>
      </c>
      <c r="AE139" s="1103">
        <f>AB139+AC139-AD139</f>
        <v>-2986327</v>
      </c>
      <c r="AF139" s="1097"/>
      <c r="AG139" s="1097"/>
      <c r="AH139" s="1097"/>
      <c r="AI139" s="1097"/>
      <c r="AJ139" s="1097"/>
      <c r="AK139" s="1097"/>
      <c r="AL139" s="1103">
        <f>SUM(AF139:AK139)</f>
        <v>0</v>
      </c>
      <c r="AM139" s="1103">
        <f>合并调整抵消分录!Q97</f>
        <v>0</v>
      </c>
      <c r="AN139" s="1103">
        <f>合并调整抵消分录!R97</f>
        <v>0</v>
      </c>
      <c r="AO139" s="1103">
        <f>AL139-AM139+AN139</f>
        <v>0</v>
      </c>
      <c r="AP139" s="1097"/>
      <c r="AQ139" s="1097"/>
      <c r="AR139" s="1103">
        <f>SUM(AP139:AQ139)</f>
        <v>0</v>
      </c>
      <c r="AS139" s="1103">
        <f>合并调整抵消分录!T97</f>
        <v>0</v>
      </c>
      <c r="AT139" s="1103">
        <f>合并调整抵消分录!U97</f>
        <v>0</v>
      </c>
      <c r="AU139" s="1103">
        <f>AR139-AS139+AT139</f>
        <v>0</v>
      </c>
      <c r="AV139" s="1092"/>
      <c r="AW139" s="1098">
        <f>K139-AV139</f>
        <v>-1780058.26</v>
      </c>
    </row>
    <row r="140" s="1018" customFormat="1" customHeight="1" spans="1:49">
      <c r="A140" s="1138" t="s">
        <v>332</v>
      </c>
      <c r="B140" s="1092">
        <f>VLOOKUP(A140,快速PL新!$A$9:$D$63,4,0)</f>
        <v>0</v>
      </c>
      <c r="C140" s="1093">
        <f>VLOOKUP(A140,新材料PL新!$A$5:$D$38,4,0)</f>
        <v>0</v>
      </c>
      <c r="D140" s="1093">
        <f>VLOOKUP(A140,精铸PL新!$A$9:$D$63,4,0)</f>
        <v>0</v>
      </c>
      <c r="E140" s="1094">
        <f>VLOOKUP(A140,热等静压PL新!$A$5:$D$38,4,0)</f>
        <v>0</v>
      </c>
      <c r="F140" s="1095"/>
      <c r="G140" s="1093"/>
      <c r="H140" s="1096">
        <f t="shared" si="102"/>
        <v>0</v>
      </c>
      <c r="I140" s="1103">
        <f>合并调整抵消分录!E96</f>
        <v>0</v>
      </c>
      <c r="J140" s="1103">
        <f>合并调整抵消分录!F96</f>
        <v>0</v>
      </c>
      <c r="K140" s="1103">
        <f>H140+I140-J140</f>
        <v>0</v>
      </c>
      <c r="L140" s="1097">
        <v>1627102.62</v>
      </c>
      <c r="M140" s="1097">
        <v>0</v>
      </c>
      <c r="N140" s="1097">
        <v>0</v>
      </c>
      <c r="O140" s="1093">
        <v>0</v>
      </c>
      <c r="P140" s="1093"/>
      <c r="Q140" s="1093"/>
      <c r="R140" s="1096">
        <f t="shared" si="103"/>
        <v>1627102.62</v>
      </c>
      <c r="S140" s="1103">
        <v>0</v>
      </c>
      <c r="T140" s="1103">
        <v>0</v>
      </c>
      <c r="U140" s="1119">
        <f>R140+S140-T140</f>
        <v>1627102.62</v>
      </c>
      <c r="V140" s="1097">
        <v>0</v>
      </c>
      <c r="W140" s="1097">
        <v>0</v>
      </c>
      <c r="X140" s="1097">
        <v>0</v>
      </c>
      <c r="Y140" s="1097"/>
      <c r="Z140" s="1097"/>
      <c r="AA140" s="1097">
        <f>[6]TB子公司5!M128</f>
        <v>0</v>
      </c>
      <c r="AB140" s="1103">
        <f>SUM(V140:AA140)</f>
        <v>0</v>
      </c>
      <c r="AC140" s="1103">
        <f>合并调整抵消分录!N96</f>
        <v>0</v>
      </c>
      <c r="AD140" s="1103">
        <f>合并调整抵消分录!O96</f>
        <v>0</v>
      </c>
      <c r="AE140" s="1103">
        <f>AB140+AC140-AD140</f>
        <v>0</v>
      </c>
      <c r="AF140" s="1097"/>
      <c r="AG140" s="1097"/>
      <c r="AH140" s="1097"/>
      <c r="AI140" s="1097"/>
      <c r="AJ140" s="1097"/>
      <c r="AK140" s="1097"/>
      <c r="AL140" s="1103">
        <f>SUM(AF140:AK140)</f>
        <v>0</v>
      </c>
      <c r="AM140" s="1103">
        <f>合并调整抵消分录!Q96</f>
        <v>0</v>
      </c>
      <c r="AN140" s="1103">
        <f>合并调整抵消分录!R96</f>
        <v>0</v>
      </c>
      <c r="AO140" s="1103">
        <f>AL140+AM140-AN140</f>
        <v>0</v>
      </c>
      <c r="AP140" s="1097"/>
      <c r="AQ140" s="1097"/>
      <c r="AR140" s="1103">
        <f>SUM(AP140:AQ140)</f>
        <v>0</v>
      </c>
      <c r="AS140" s="1103">
        <f>合并调整抵消分录!T96</f>
        <v>0</v>
      </c>
      <c r="AT140" s="1103">
        <f>合并调整抵消分录!U96</f>
        <v>0</v>
      </c>
      <c r="AU140" s="1103">
        <f>AR140+AS140-AT140</f>
        <v>0</v>
      </c>
      <c r="AV140" s="1092" t="e">
        <f>VLOOKUP(A140,合并利润表!A$5:C$27,3,0)</f>
        <v>#N/A</v>
      </c>
      <c r="AW140" s="1098" t="e">
        <f>K140-AV140</f>
        <v>#N/A</v>
      </c>
    </row>
    <row r="141" s="1018" customFormat="1" customHeight="1" spans="1:49">
      <c r="A141" s="1138" t="s">
        <v>334</v>
      </c>
      <c r="B141" s="1092">
        <f>VLOOKUP(A141,快速PL新!$A$9:$D$63,4,0)</f>
        <v>0</v>
      </c>
      <c r="C141" s="1093">
        <f>VLOOKUP(A141,新材料PL新!$A$5:$D$38,4,0)</f>
        <v>0</v>
      </c>
      <c r="D141" s="1093">
        <f>VLOOKUP(A141,精铸PL新!$A$9:$D$63,4,0)</f>
        <v>0</v>
      </c>
      <c r="E141" s="1094">
        <f>VLOOKUP(A141,热等静压PL新!$A$5:$D$38,4,0)</f>
        <v>0</v>
      </c>
      <c r="F141" s="1095"/>
      <c r="G141" s="1093"/>
      <c r="H141" s="1096">
        <f t="shared" si="102"/>
        <v>0</v>
      </c>
      <c r="I141" s="1103">
        <f>合并调整抵消分录!E101</f>
        <v>0</v>
      </c>
      <c r="J141" s="1103">
        <f>合并调整抵消分录!F101</f>
        <v>0</v>
      </c>
      <c r="K141" s="1103">
        <f>H141-I141+J141</f>
        <v>0</v>
      </c>
      <c r="L141" s="1097">
        <v>0</v>
      </c>
      <c r="M141" s="1097">
        <v>0</v>
      </c>
      <c r="N141" s="1097">
        <v>0</v>
      </c>
      <c r="O141" s="1093">
        <v>0</v>
      </c>
      <c r="P141" s="1093"/>
      <c r="Q141" s="1093"/>
      <c r="R141" s="1096">
        <f t="shared" si="103"/>
        <v>0</v>
      </c>
      <c r="S141" s="1103">
        <v>0</v>
      </c>
      <c r="T141" s="1103">
        <v>0</v>
      </c>
      <c r="U141" s="1119">
        <f>R141-S141+T141</f>
        <v>0</v>
      </c>
      <c r="V141" s="1097"/>
      <c r="W141" s="1097"/>
      <c r="X141" s="1097"/>
      <c r="Y141" s="1097"/>
      <c r="Z141" s="1097"/>
      <c r="AA141" s="1097"/>
      <c r="AB141" s="1103">
        <f>SUM(V141:AA141)</f>
        <v>0</v>
      </c>
      <c r="AC141" s="1103"/>
      <c r="AD141" s="1103"/>
      <c r="AE141" s="1103">
        <f>AB141+AC141-AD141</f>
        <v>0</v>
      </c>
      <c r="AF141" s="1097"/>
      <c r="AG141" s="1097"/>
      <c r="AH141" s="1097"/>
      <c r="AI141" s="1097"/>
      <c r="AJ141" s="1097"/>
      <c r="AK141" s="1097"/>
      <c r="AL141" s="1103"/>
      <c r="AM141" s="1103"/>
      <c r="AN141" s="1103"/>
      <c r="AO141" s="1103"/>
      <c r="AP141" s="1097"/>
      <c r="AQ141" s="1097"/>
      <c r="AR141" s="1103"/>
      <c r="AS141" s="1103"/>
      <c r="AT141" s="1103"/>
      <c r="AU141" s="1103"/>
      <c r="AV141" s="1092"/>
      <c r="AW141" s="1098">
        <f>K141-AV141</f>
        <v>0</v>
      </c>
    </row>
    <row r="142" s="1018" customFormat="1" customHeight="1" spans="1:49">
      <c r="A142" s="1139" t="s">
        <v>755</v>
      </c>
      <c r="B142" s="1103">
        <f>B124-B127+B139+B136+B141+B135+B140+B138</f>
        <v>-13222163.72</v>
      </c>
      <c r="C142" s="1103">
        <f>C124-C127+C139+C136+C141+C135+C140+C138</f>
        <v>-5071003.46999999</v>
      </c>
      <c r="D142" s="1103">
        <f>D124-D127+D139+D136+D141+D135+D140+D138</f>
        <v>196367.74</v>
      </c>
      <c r="E142" s="1103">
        <f>E124-E127+E139+E136+E141+E135+E140+E138</f>
        <v>1047953.76</v>
      </c>
      <c r="F142" s="1121">
        <f>F124-F127+F139+F136+F141+F135</f>
        <v>0</v>
      </c>
      <c r="G142" s="1121">
        <f>G124-G127+G139+G136+G141+G135</f>
        <v>0</v>
      </c>
      <c r="H142" s="1103">
        <f>H124-H127+H139+H136+H141+H135+H140+H138</f>
        <v>-17048845.69</v>
      </c>
      <c r="I142" s="1140">
        <f>SUM(I124,I127,I136,I138:I141)</f>
        <v>41067270.47</v>
      </c>
      <c r="J142" s="1140">
        <f>SUM(J124,J127,J136,J138:J141)</f>
        <v>40806321.68</v>
      </c>
      <c r="K142" s="1103">
        <f>K124-K127+K139+K136+K141+K135+K140+K138</f>
        <v>-17309794.48</v>
      </c>
      <c r="L142" s="1103">
        <v>-24802187.45</v>
      </c>
      <c r="M142" s="1103">
        <v>-9681490.67000003</v>
      </c>
      <c r="N142" s="1103">
        <v>5278.60000000079</v>
      </c>
      <c r="O142" s="1103">
        <v>1091615.64</v>
      </c>
      <c r="P142" s="1103">
        <f>P124-P127+P139+P136+P141+P135+P140</f>
        <v>0</v>
      </c>
      <c r="Q142" s="1103">
        <f>Q124-Q127+Q139+Q136+Q141+Q135+Q140</f>
        <v>0</v>
      </c>
      <c r="R142" s="1103">
        <f>R124-R127+R139+R136+R141+R135+R140+R138</f>
        <v>-33386783.8800001</v>
      </c>
      <c r="S142" s="1103">
        <v>121988117.6015</v>
      </c>
      <c r="T142" s="1103">
        <v>121988117.6015</v>
      </c>
      <c r="U142" s="1103">
        <f>U124-U127+U139+U136+U141+U135+U140+U138</f>
        <v>-33386783.8800001</v>
      </c>
      <c r="V142" s="1103">
        <v>-37953993.66</v>
      </c>
      <c r="W142" s="1103">
        <v>-498374.790000014</v>
      </c>
      <c r="X142" s="1103">
        <v>-872654.789999998</v>
      </c>
      <c r="Y142" s="1103">
        <f t="shared" ref="Y142:AL142" si="110">Y124-Y127+Y139+Y136</f>
        <v>0</v>
      </c>
      <c r="Z142" s="1103">
        <f t="shared" si="110"/>
        <v>0</v>
      </c>
      <c r="AA142" s="1103">
        <f t="shared" si="110"/>
        <v>0</v>
      </c>
      <c r="AB142" s="1103">
        <f>AB124-AB127+AB139+AB136+AB141+AB135</f>
        <v>-39087567.91</v>
      </c>
      <c r="AC142" s="1103">
        <f>AC124-AC127+AC139+AC136+AC141+AC135</f>
        <v>3619572.02</v>
      </c>
      <c r="AD142" s="1103">
        <f>SUM(AD124,AD127,AD137:AD137)</f>
        <v>5246375.36</v>
      </c>
      <c r="AE142" s="1103">
        <f>AE124-AE127+AE139+AE136+AE141+AE135</f>
        <v>-39087567.91</v>
      </c>
      <c r="AF142" s="1103">
        <f t="shared" si="110"/>
        <v>0</v>
      </c>
      <c r="AG142" s="1103">
        <f t="shared" si="110"/>
        <v>0</v>
      </c>
      <c r="AH142" s="1103">
        <f t="shared" si="110"/>
        <v>0</v>
      </c>
      <c r="AI142" s="1103">
        <f t="shared" si="110"/>
        <v>0</v>
      </c>
      <c r="AJ142" s="1103">
        <f t="shared" si="110"/>
        <v>0</v>
      </c>
      <c r="AK142" s="1103">
        <f t="shared" si="110"/>
        <v>0</v>
      </c>
      <c r="AL142" s="1103">
        <f t="shared" si="110"/>
        <v>0</v>
      </c>
      <c r="AM142" s="1103">
        <f>SUM(AM124,AM127,AM137:AM137)</f>
        <v>0</v>
      </c>
      <c r="AN142" s="1103">
        <f>SUM(AN124,AN127,AN137:AN137)</f>
        <v>0</v>
      </c>
      <c r="AO142" s="1103">
        <f>AO124-AO127+AO139+AO136</f>
        <v>0</v>
      </c>
      <c r="AP142" s="1103">
        <f>AP124-AP127+AP139+AP136</f>
        <v>0</v>
      </c>
      <c r="AQ142" s="1103">
        <f>AQ124-AQ127+AQ139+AQ136</f>
        <v>0</v>
      </c>
      <c r="AR142" s="1103">
        <f>AR124-AR127+AR139+AR136</f>
        <v>0</v>
      </c>
      <c r="AS142" s="1103">
        <f>SUM(AS124,AS127,AS137:AS137)</f>
        <v>0</v>
      </c>
      <c r="AT142" s="1103">
        <f>SUM(AT124,AT127,AT137:AT137)</f>
        <v>0</v>
      </c>
      <c r="AU142" s="1103">
        <f>AU124-AU127+AU139+AU136</f>
        <v>0</v>
      </c>
      <c r="AV142" s="1103" t="e">
        <f>AV124-AV127+AV139+AV136</f>
        <v>#N/A</v>
      </c>
      <c r="AW142" s="1098" t="e">
        <f>K142-AV142</f>
        <v>#N/A</v>
      </c>
    </row>
    <row r="143" s="1018" customFormat="1" customHeight="1" spans="1:49">
      <c r="A143" s="391" t="s">
        <v>338</v>
      </c>
      <c r="B143" s="1092">
        <f>VLOOKUP(A143,快速PL新!$A$9:$D$63,4,0)</f>
        <v>120.02</v>
      </c>
      <c r="C143" s="1093">
        <f>VLOOKUP(A143,新材料PL新!$A$5:$D$38,4,0)</f>
        <v>70000.01</v>
      </c>
      <c r="D143" s="1093">
        <f>VLOOKUP(A143,精铸PL新!$A$9:$D$63,4,0)</f>
        <v>0</v>
      </c>
      <c r="E143" s="1094">
        <f>VLOOKUP(A143,热等静压PL新!$A$5:$D$38,4,0)</f>
        <v>0</v>
      </c>
      <c r="F143" s="1095"/>
      <c r="G143" s="1093"/>
      <c r="H143" s="1096">
        <f>SUM(B143:G143)</f>
        <v>70120.03</v>
      </c>
      <c r="I143" s="1103">
        <f>合并调整抵消分录!E103</f>
        <v>0</v>
      </c>
      <c r="J143" s="1103">
        <f>合并调整抵消分录!F103</f>
        <v>0</v>
      </c>
      <c r="K143" s="1103">
        <f>H143-I143+J143</f>
        <v>70120.03</v>
      </c>
      <c r="L143" s="1093">
        <v>1000.07</v>
      </c>
      <c r="M143" s="1093">
        <v>279939.17</v>
      </c>
      <c r="N143" s="1093">
        <v>3.03</v>
      </c>
      <c r="O143" s="1093">
        <v>1.73</v>
      </c>
      <c r="P143" s="1093"/>
      <c r="Q143" s="1093"/>
      <c r="R143" s="1096">
        <f>SUM(L143:Q143)</f>
        <v>280944</v>
      </c>
      <c r="S143" s="1103">
        <v>0</v>
      </c>
      <c r="T143" s="1103">
        <v>0</v>
      </c>
      <c r="U143" s="1119">
        <f>R143-S143+T143</f>
        <v>280944</v>
      </c>
      <c r="V143" s="1097">
        <v>163501.7</v>
      </c>
      <c r="W143" s="1097">
        <v>211660.25</v>
      </c>
      <c r="X143" s="1097">
        <v>20973.17</v>
      </c>
      <c r="Y143" s="1097"/>
      <c r="Z143" s="1097"/>
      <c r="AA143" s="1097"/>
      <c r="AB143" s="1103">
        <f>SUM(V143:AA143)</f>
        <v>396135.12</v>
      </c>
      <c r="AC143" s="1103">
        <f>合并调整抵消分录!N103</f>
        <v>0</v>
      </c>
      <c r="AD143" s="1103">
        <f>合并调整抵消分录!O103</f>
        <v>0</v>
      </c>
      <c r="AE143" s="1103">
        <f>AB143-AC143+AD143</f>
        <v>396135.12</v>
      </c>
      <c r="AF143" s="1097"/>
      <c r="AG143" s="1097"/>
      <c r="AH143" s="1097"/>
      <c r="AI143" s="1097"/>
      <c r="AJ143" s="1097"/>
      <c r="AK143" s="1097"/>
      <c r="AL143" s="1103">
        <f>SUM(AF143:AK143)</f>
        <v>0</v>
      </c>
      <c r="AM143" s="1103">
        <f>合并调整抵消分录!Q103</f>
        <v>0</v>
      </c>
      <c r="AN143" s="1103">
        <f>合并调整抵消分录!R103</f>
        <v>0</v>
      </c>
      <c r="AO143" s="1103">
        <f>AL143-AM143+AN143</f>
        <v>0</v>
      </c>
      <c r="AP143" s="1097"/>
      <c r="AQ143" s="1097"/>
      <c r="AR143" s="1103">
        <f>SUM(AP143:AQ143)</f>
        <v>0</v>
      </c>
      <c r="AS143" s="1103">
        <f>合并调整抵消分录!T103</f>
        <v>0</v>
      </c>
      <c r="AT143" s="1103">
        <f>合并调整抵消分录!U103</f>
        <v>0</v>
      </c>
      <c r="AU143" s="1103">
        <f>AR143-AS143+AT143</f>
        <v>0</v>
      </c>
      <c r="AV143" s="1092">
        <f>合并利润表!C21</f>
        <v>65759.05</v>
      </c>
      <c r="AW143" s="1098">
        <f>K143-AV143</f>
        <v>4360.98</v>
      </c>
    </row>
    <row r="144" s="1018" customFormat="1" customHeight="1" spans="1:49">
      <c r="A144" s="1138" t="s">
        <v>756</v>
      </c>
      <c r="B144" s="1092"/>
      <c r="C144" s="1093"/>
      <c r="D144" s="1093"/>
      <c r="E144" s="1095"/>
      <c r="F144" s="1095"/>
      <c r="G144" s="1093"/>
      <c r="H144" s="1096">
        <f>SUM(B144:G144)</f>
        <v>0</v>
      </c>
      <c r="I144" s="1103">
        <f>合并调整抵消分录!E104</f>
        <v>0</v>
      </c>
      <c r="J144" s="1103">
        <f>合并调整抵消分录!F104</f>
        <v>0</v>
      </c>
      <c r="K144" s="1103">
        <f>H144-I144+J144</f>
        <v>0</v>
      </c>
      <c r="L144" s="1093"/>
      <c r="M144" s="1093"/>
      <c r="N144" s="1093"/>
      <c r="O144" s="1093"/>
      <c r="P144" s="1093"/>
      <c r="Q144" s="1093"/>
      <c r="R144" s="1096">
        <f>SUM(L144:Q144)</f>
        <v>0</v>
      </c>
      <c r="S144" s="1103">
        <v>0</v>
      </c>
      <c r="T144" s="1103">
        <v>0</v>
      </c>
      <c r="U144" s="1119">
        <f>R144-S144+T144</f>
        <v>0</v>
      </c>
      <c r="V144" s="1097"/>
      <c r="W144" s="1097"/>
      <c r="X144" s="1097"/>
      <c r="Y144" s="1097"/>
      <c r="Z144" s="1097"/>
      <c r="AA144" s="1097"/>
      <c r="AB144" s="1103">
        <f>SUM(V144:AA144)</f>
        <v>0</v>
      </c>
      <c r="AC144" s="1103">
        <f>合并调整抵消分录!N104</f>
        <v>0</v>
      </c>
      <c r="AD144" s="1103">
        <f>合并调整抵消分录!O104</f>
        <v>0</v>
      </c>
      <c r="AE144" s="1103">
        <f>AB144-AC144+AD144</f>
        <v>0</v>
      </c>
      <c r="AF144" s="1097"/>
      <c r="AG144" s="1097"/>
      <c r="AH144" s="1097"/>
      <c r="AI144" s="1097"/>
      <c r="AJ144" s="1097"/>
      <c r="AK144" s="1097"/>
      <c r="AL144" s="1103">
        <f>SUM(AF144:AK144)</f>
        <v>0</v>
      </c>
      <c r="AM144" s="1103">
        <f>合并调整抵消分录!Q104</f>
        <v>0</v>
      </c>
      <c r="AN144" s="1103">
        <f>合并调整抵消分录!R104</f>
        <v>0</v>
      </c>
      <c r="AO144" s="1103">
        <f>AL144-AM144+AN144</f>
        <v>0</v>
      </c>
      <c r="AP144" s="1097"/>
      <c r="AQ144" s="1097"/>
      <c r="AR144" s="1103">
        <f>SUM(AP144:AQ144)</f>
        <v>0</v>
      </c>
      <c r="AS144" s="1103">
        <f>合并调整抵消分录!T104</f>
        <v>0</v>
      </c>
      <c r="AT144" s="1103">
        <f>合并调整抵消分录!U104</f>
        <v>0</v>
      </c>
      <c r="AU144" s="1103">
        <f>AR144-AS144+AT144</f>
        <v>0</v>
      </c>
      <c r="AV144" s="1092"/>
      <c r="AW144" s="1098">
        <f t="shared" ref="AW144:AW169" si="111">K144-AV144</f>
        <v>0</v>
      </c>
    </row>
    <row r="145" s="1018" customFormat="1" customHeight="1" spans="1:49">
      <c r="A145" s="391" t="s">
        <v>340</v>
      </c>
      <c r="B145" s="1092">
        <f>VLOOKUP(A145,快速PL新!$A$9:$D$63,4,0)</f>
        <v>22488.42</v>
      </c>
      <c r="C145" s="1093">
        <f>VLOOKUP(A145,新材料PL新!$A$5:$D$38,4,0)</f>
        <v>-0.01</v>
      </c>
      <c r="D145" s="1093">
        <f>VLOOKUP(A145,精铸PL新!$A$9:$D$63,4,0)</f>
        <v>1714.8</v>
      </c>
      <c r="E145" s="1094">
        <f>VLOOKUP(A145,热等静压PL新!$A$5:$D$38,4,0)</f>
        <v>0</v>
      </c>
      <c r="F145" s="1095"/>
      <c r="G145" s="1093"/>
      <c r="H145" s="1096">
        <f>SUM(B145:G145)</f>
        <v>24203.21</v>
      </c>
      <c r="I145" s="1103">
        <f>合并调整抵消分录!E105</f>
        <v>0</v>
      </c>
      <c r="J145" s="1103">
        <f>合并调整抵消分录!F105</f>
        <v>0</v>
      </c>
      <c r="K145" s="1103">
        <f>H145+I145-J145</f>
        <v>24203.21</v>
      </c>
      <c r="L145" s="1093">
        <v>7316.79</v>
      </c>
      <c r="M145" s="1093">
        <v>1050.02</v>
      </c>
      <c r="N145" s="1093">
        <v>3130.45</v>
      </c>
      <c r="O145" s="1093">
        <v>0</v>
      </c>
      <c r="P145" s="1093"/>
      <c r="Q145" s="1093"/>
      <c r="R145" s="1096">
        <f>SUM(L145:Q145)</f>
        <v>11497.26</v>
      </c>
      <c r="S145" s="1103">
        <v>0</v>
      </c>
      <c r="T145" s="1103">
        <v>0</v>
      </c>
      <c r="U145" s="1119">
        <f>R145+S145-T145</f>
        <v>11497.26</v>
      </c>
      <c r="V145" s="1097">
        <v>24072.43</v>
      </c>
      <c r="W145" s="1097">
        <v>43.54</v>
      </c>
      <c r="X145" s="1097">
        <v>32.14</v>
      </c>
      <c r="Y145" s="1097"/>
      <c r="Z145" s="1097"/>
      <c r="AA145" s="1097"/>
      <c r="AB145" s="1103">
        <f>SUM(V145:AA145)</f>
        <v>24148.11</v>
      </c>
      <c r="AC145" s="1103">
        <f>合并调整抵消分录!N105</f>
        <v>0</v>
      </c>
      <c r="AD145" s="1103">
        <f>合并调整抵消分录!O105</f>
        <v>0</v>
      </c>
      <c r="AE145" s="1103">
        <f>AB145+AC145-AD145</f>
        <v>24148.11</v>
      </c>
      <c r="AF145" s="1097"/>
      <c r="AG145" s="1097"/>
      <c r="AH145" s="1097"/>
      <c r="AI145" s="1097"/>
      <c r="AJ145" s="1097"/>
      <c r="AK145" s="1097"/>
      <c r="AL145" s="1103">
        <f>SUM(AF145:AK145)</f>
        <v>0</v>
      </c>
      <c r="AM145" s="1103">
        <f>合并调整抵消分录!Q105</f>
        <v>0</v>
      </c>
      <c r="AN145" s="1103">
        <f>合并调整抵消分录!R105</f>
        <v>0</v>
      </c>
      <c r="AO145" s="1103">
        <f>AL145+AM145-AN145</f>
        <v>0</v>
      </c>
      <c r="AP145" s="1097"/>
      <c r="AQ145" s="1097"/>
      <c r="AR145" s="1103">
        <f>SUM(AP145:AQ145)</f>
        <v>0</v>
      </c>
      <c r="AS145" s="1103">
        <f>合并调整抵消分录!T105</f>
        <v>0</v>
      </c>
      <c r="AT145" s="1103">
        <f>合并调整抵消分录!U105</f>
        <v>0</v>
      </c>
      <c r="AU145" s="1103">
        <f>AR145+AS145-AT145</f>
        <v>0</v>
      </c>
      <c r="AV145" s="1092" t="e">
        <f>VLOOKUP(A145,合并利润表!A$5:C$27,3,0)</f>
        <v>#N/A</v>
      </c>
      <c r="AW145" s="1098" t="e">
        <f t="shared" si="111"/>
        <v>#N/A</v>
      </c>
    </row>
    <row r="146" s="1018" customFormat="1" customHeight="1" spans="1:49">
      <c r="A146" s="1138" t="s">
        <v>757</v>
      </c>
      <c r="B146" s="1092"/>
      <c r="C146" s="1093"/>
      <c r="D146" s="1093"/>
      <c r="E146" s="1095"/>
      <c r="F146" s="1095"/>
      <c r="G146" s="1093"/>
      <c r="H146" s="1096">
        <f>SUM(B146:G146)</f>
        <v>0</v>
      </c>
      <c r="I146" s="1103">
        <f>合并调整抵消分录!E106</f>
        <v>0</v>
      </c>
      <c r="J146" s="1103">
        <f>合并调整抵消分录!F106</f>
        <v>0</v>
      </c>
      <c r="K146" s="1103">
        <f>H146+I146-J146</f>
        <v>0</v>
      </c>
      <c r="L146" s="1093"/>
      <c r="M146" s="1093"/>
      <c r="N146" s="1093"/>
      <c r="O146" s="1093"/>
      <c r="P146" s="1093"/>
      <c r="Q146" s="1093"/>
      <c r="R146" s="1096">
        <f t="shared" ref="R146:R154" si="112">SUM(L146:Q146)</f>
        <v>0</v>
      </c>
      <c r="S146" s="1103">
        <v>0</v>
      </c>
      <c r="T146" s="1103">
        <v>0</v>
      </c>
      <c r="U146" s="1119">
        <f>R146+S146-T146</f>
        <v>0</v>
      </c>
      <c r="V146" s="1097"/>
      <c r="W146" s="1097"/>
      <c r="X146" s="1097"/>
      <c r="Y146" s="1097"/>
      <c r="Z146" s="1097"/>
      <c r="AA146" s="1097"/>
      <c r="AB146" s="1103">
        <f>SUM(V146:AA146)</f>
        <v>0</v>
      </c>
      <c r="AC146" s="1103">
        <f>合并调整抵消分录!N106</f>
        <v>0</v>
      </c>
      <c r="AD146" s="1103">
        <f>合并调整抵消分录!O106</f>
        <v>0</v>
      </c>
      <c r="AE146" s="1103">
        <f>AB146+AC146-AD146</f>
        <v>0</v>
      </c>
      <c r="AF146" s="1097"/>
      <c r="AG146" s="1097"/>
      <c r="AH146" s="1097"/>
      <c r="AI146" s="1097"/>
      <c r="AJ146" s="1097"/>
      <c r="AK146" s="1097"/>
      <c r="AL146" s="1103">
        <f>SUM(AF146:AK146)</f>
        <v>0</v>
      </c>
      <c r="AM146" s="1103">
        <f>合并调整抵消分录!Q106</f>
        <v>0</v>
      </c>
      <c r="AN146" s="1103">
        <f>合并调整抵消分录!R106</f>
        <v>0</v>
      </c>
      <c r="AO146" s="1103">
        <f>AL146+AM146-AN146</f>
        <v>0</v>
      </c>
      <c r="AP146" s="1097"/>
      <c r="AQ146" s="1097"/>
      <c r="AR146" s="1103">
        <f>SUM(AP146:AQ146)</f>
        <v>0</v>
      </c>
      <c r="AS146" s="1103">
        <f>合并调整抵消分录!T106</f>
        <v>0</v>
      </c>
      <c r="AT146" s="1103">
        <f>合并调整抵消分录!U106</f>
        <v>0</v>
      </c>
      <c r="AU146" s="1103">
        <f>AR146+AS146-AT146</f>
        <v>0</v>
      </c>
      <c r="AV146" s="1092"/>
      <c r="AW146" s="1098">
        <f t="shared" si="111"/>
        <v>0</v>
      </c>
    </row>
    <row r="147" s="1018" customFormat="1" customHeight="1" spans="1:49">
      <c r="A147" s="1139" t="s">
        <v>758</v>
      </c>
      <c r="B147" s="1103">
        <f>B142+B143-B145</f>
        <v>-13244532.12</v>
      </c>
      <c r="C147" s="1119">
        <f>C142+C143-C145</f>
        <v>-5001003.44999999</v>
      </c>
      <c r="D147" s="1119">
        <f t="shared" ref="C147:H147" si="113">D142+D143-D145</f>
        <v>194652.94</v>
      </c>
      <c r="E147" s="1120">
        <f t="shared" si="113"/>
        <v>1047953.76</v>
      </c>
      <c r="F147" s="1121">
        <f t="shared" si="113"/>
        <v>0</v>
      </c>
      <c r="G147" s="1103">
        <f t="shared" si="113"/>
        <v>0</v>
      </c>
      <c r="H147" s="1103">
        <f t="shared" si="113"/>
        <v>-17002928.87</v>
      </c>
      <c r="I147" s="1103">
        <f>I142+I143+I145</f>
        <v>41067270.47</v>
      </c>
      <c r="J147" s="1103">
        <f>J142+J143+J145</f>
        <v>40806321.68</v>
      </c>
      <c r="K147" s="1103">
        <f>K142+K143-K145</f>
        <v>-17263877.66</v>
      </c>
      <c r="L147" s="1103">
        <v>-24808504.17</v>
      </c>
      <c r="M147" s="1103">
        <v>-9402601.52000003</v>
      </c>
      <c r="N147" s="1103">
        <v>2151.18000000079</v>
      </c>
      <c r="O147" s="1103">
        <v>1091617.37</v>
      </c>
      <c r="P147" s="1103">
        <f>P142+P143-P145</f>
        <v>0</v>
      </c>
      <c r="Q147" s="1103">
        <f>Q142+Q143-Q145</f>
        <v>0</v>
      </c>
      <c r="R147" s="1103">
        <f>R142+R143-R145</f>
        <v>-33117337.1400001</v>
      </c>
      <c r="S147" s="1103">
        <v>121988117.6015</v>
      </c>
      <c r="T147" s="1103">
        <v>121988117.6015</v>
      </c>
      <c r="U147" s="1119">
        <f t="shared" ref="U147:AL147" si="114">U142+U143-U145</f>
        <v>-33117337.1400001</v>
      </c>
      <c r="V147" s="1103">
        <v>-37814564.39</v>
      </c>
      <c r="W147" s="1103">
        <v>-286758.080000014</v>
      </c>
      <c r="X147" s="1103">
        <v>-851713.759999998</v>
      </c>
      <c r="Y147" s="1103">
        <f t="shared" si="114"/>
        <v>0</v>
      </c>
      <c r="Z147" s="1103">
        <f t="shared" si="114"/>
        <v>0</v>
      </c>
      <c r="AA147" s="1103">
        <f t="shared" si="114"/>
        <v>0</v>
      </c>
      <c r="AB147" s="1103">
        <f t="shared" si="114"/>
        <v>-38715580.9</v>
      </c>
      <c r="AC147" s="1103">
        <f>AC142+AC143+AC145</f>
        <v>3619572.02</v>
      </c>
      <c r="AD147" s="1103">
        <f>AD142+AD143+AD145</f>
        <v>5246375.36</v>
      </c>
      <c r="AE147" s="1103">
        <f>AE142+AE143-AE145</f>
        <v>-38715580.9</v>
      </c>
      <c r="AF147" s="1103">
        <f t="shared" si="114"/>
        <v>0</v>
      </c>
      <c r="AG147" s="1103">
        <f t="shared" si="114"/>
        <v>0</v>
      </c>
      <c r="AH147" s="1103">
        <f t="shared" si="114"/>
        <v>0</v>
      </c>
      <c r="AI147" s="1103">
        <f t="shared" si="114"/>
        <v>0</v>
      </c>
      <c r="AJ147" s="1103">
        <f t="shared" si="114"/>
        <v>0</v>
      </c>
      <c r="AK147" s="1103">
        <f t="shared" si="114"/>
        <v>0</v>
      </c>
      <c r="AL147" s="1103">
        <f t="shared" si="114"/>
        <v>0</v>
      </c>
      <c r="AM147" s="1103">
        <f>AM142+AM143+AM145</f>
        <v>0</v>
      </c>
      <c r="AN147" s="1103">
        <f>AN142+AN143+AN145</f>
        <v>0</v>
      </c>
      <c r="AO147" s="1103">
        <f>AO142+AO143-AO145</f>
        <v>0</v>
      </c>
      <c r="AP147" s="1103">
        <f>AP142+AP143-AP145</f>
        <v>0</v>
      </c>
      <c r="AQ147" s="1103">
        <f>AQ142+AQ143-AQ145</f>
        <v>0</v>
      </c>
      <c r="AR147" s="1103">
        <f>AR142+AR143-AR145</f>
        <v>0</v>
      </c>
      <c r="AS147" s="1103">
        <f>AS142+AS143+AS145</f>
        <v>0</v>
      </c>
      <c r="AT147" s="1103">
        <f>AT142+AT143+AT145</f>
        <v>0</v>
      </c>
      <c r="AU147" s="1103">
        <f>AU142+AU143-AU145</f>
        <v>0</v>
      </c>
      <c r="AV147" s="1103" t="e">
        <f>AV142+AV143-AV145</f>
        <v>#N/A</v>
      </c>
      <c r="AW147" s="1098" t="e">
        <f t="shared" si="111"/>
        <v>#N/A</v>
      </c>
    </row>
    <row r="148" s="1018" customFormat="1" customHeight="1" spans="1:49">
      <c r="A148" s="1138" t="s">
        <v>344</v>
      </c>
      <c r="B148" s="1092">
        <f>VLOOKUP(A148,快速PL新!$A$9:$D$63,4,0)</f>
        <v>0</v>
      </c>
      <c r="C148" s="1093">
        <f>VLOOKUP(A148,新材料PL新!$A$5:$D$38,4,0)</f>
        <v>0</v>
      </c>
      <c r="D148" s="1093">
        <f>VLOOKUP(A148,精铸PL新!$A$9:$D$63,4,0)</f>
        <v>0</v>
      </c>
      <c r="E148" s="1094">
        <f>VLOOKUP(A148,热等静压PL新!$A$5:$D$38,4,0)</f>
        <v>45634.12</v>
      </c>
      <c r="F148" s="1095"/>
      <c r="G148" s="1093"/>
      <c r="H148" s="1096">
        <f>SUM(B148:G148)</f>
        <v>45634.12</v>
      </c>
      <c r="I148" s="1103">
        <f>合并调整抵消分录!E107</f>
        <v>0</v>
      </c>
      <c r="J148" s="1103">
        <f>合并调整抵消分录!F107</f>
        <v>0</v>
      </c>
      <c r="K148" s="1103">
        <f>H148+I148-J148</f>
        <v>45634.12</v>
      </c>
      <c r="L148" s="1093">
        <v>0</v>
      </c>
      <c r="M148" s="1093">
        <v>0</v>
      </c>
      <c r="N148" s="1093">
        <v>0</v>
      </c>
      <c r="O148" s="1093">
        <v>72900.31</v>
      </c>
      <c r="P148" s="1093"/>
      <c r="Q148" s="1093"/>
      <c r="R148" s="1096">
        <f t="shared" si="112"/>
        <v>72900.31</v>
      </c>
      <c r="S148" s="1103">
        <v>0</v>
      </c>
      <c r="T148" s="1103">
        <v>0</v>
      </c>
      <c r="U148" s="1119">
        <f>R148+S148-T148</f>
        <v>72900.31</v>
      </c>
      <c r="V148" s="1097">
        <v>0</v>
      </c>
      <c r="W148" s="1097">
        <v>11520.73</v>
      </c>
      <c r="X148" s="1097">
        <v>0</v>
      </c>
      <c r="Y148" s="1097"/>
      <c r="Z148" s="1097"/>
      <c r="AA148" s="1097"/>
      <c r="AB148" s="1103">
        <f>SUM(V148:AA148)</f>
        <v>11520.73</v>
      </c>
      <c r="AC148" s="1103">
        <f>合并调整抵消分录!N107</f>
        <v>0</v>
      </c>
      <c r="AD148" s="1103">
        <f>合并调整抵消分录!O107</f>
        <v>0</v>
      </c>
      <c r="AE148" s="1103">
        <f>AB148+AC148-AD148</f>
        <v>11520.73</v>
      </c>
      <c r="AF148" s="1097"/>
      <c r="AG148" s="1097"/>
      <c r="AH148" s="1097"/>
      <c r="AI148" s="1097"/>
      <c r="AJ148" s="1097"/>
      <c r="AK148" s="1097"/>
      <c r="AL148" s="1103">
        <f>SUM(AF148:AK148)</f>
        <v>0</v>
      </c>
      <c r="AM148" s="1103">
        <f>合并调整抵消分录!Q107</f>
        <v>0</v>
      </c>
      <c r="AN148" s="1103">
        <f>合并调整抵消分录!R107</f>
        <v>0</v>
      </c>
      <c r="AO148" s="1103">
        <f>AL148+AM148-AN148</f>
        <v>0</v>
      </c>
      <c r="AP148" s="1097"/>
      <c r="AQ148" s="1097"/>
      <c r="AR148" s="1103">
        <f>SUM(AP148:AQ148)</f>
        <v>0</v>
      </c>
      <c r="AS148" s="1103">
        <f>合并调整抵消分录!T107</f>
        <v>0</v>
      </c>
      <c r="AT148" s="1103">
        <f>合并调整抵消分录!U107</f>
        <v>0</v>
      </c>
      <c r="AU148" s="1103">
        <f>AR148+AS148-AT148</f>
        <v>0</v>
      </c>
      <c r="AV148" s="1092" t="e">
        <f>VLOOKUP(A148,合并利润表!A$5:C$27,3,0)</f>
        <v>#N/A</v>
      </c>
      <c r="AW148" s="1098" t="e">
        <f t="shared" si="111"/>
        <v>#N/A</v>
      </c>
    </row>
    <row r="149" s="1018" customFormat="1" customHeight="1" spans="1:49">
      <c r="A149" s="1139" t="s">
        <v>759</v>
      </c>
      <c r="B149" s="1103">
        <f>B147-B148</f>
        <v>-13244532.12</v>
      </c>
      <c r="C149" s="1119">
        <f>C147-C148</f>
        <v>-5001003.44999999</v>
      </c>
      <c r="D149" s="1119">
        <f t="shared" ref="C149:H149" si="115">D147-D148</f>
        <v>194652.94</v>
      </c>
      <c r="E149" s="1120">
        <f t="shared" si="115"/>
        <v>1002319.64</v>
      </c>
      <c r="F149" s="1121">
        <f t="shared" si="115"/>
        <v>0</v>
      </c>
      <c r="G149" s="1103">
        <f t="shared" si="115"/>
        <v>0</v>
      </c>
      <c r="H149" s="1103">
        <f t="shared" si="115"/>
        <v>-17048562.99</v>
      </c>
      <c r="I149" s="1103">
        <f>I147+I148</f>
        <v>41067270.47</v>
      </c>
      <c r="J149" s="1103">
        <f>J147+J148</f>
        <v>40806321.68</v>
      </c>
      <c r="K149" s="1103">
        <f>K147-K148</f>
        <v>-17309511.78</v>
      </c>
      <c r="L149" s="1103">
        <v>-24808504.17</v>
      </c>
      <c r="M149" s="1103">
        <v>-9402601.52000003</v>
      </c>
      <c r="N149" s="1103">
        <v>2151.18000000079</v>
      </c>
      <c r="O149" s="1103">
        <v>1018717.06</v>
      </c>
      <c r="P149" s="1103">
        <f>P147-P148</f>
        <v>0</v>
      </c>
      <c r="Q149" s="1103">
        <f>Q147-Q148</f>
        <v>0</v>
      </c>
      <c r="R149" s="1103">
        <f>R147-R148</f>
        <v>-33190237.4500001</v>
      </c>
      <c r="S149" s="1103">
        <v>121988117.6015</v>
      </c>
      <c r="T149" s="1103">
        <v>121988117.6015</v>
      </c>
      <c r="U149" s="1119">
        <f t="shared" ref="U149:AB149" si="116">U147-U148</f>
        <v>-33190237.4500001</v>
      </c>
      <c r="V149" s="1103">
        <v>-37814564.39</v>
      </c>
      <c r="W149" s="1103">
        <v>-298278.810000014</v>
      </c>
      <c r="X149" s="1103">
        <v>-851713.759999998</v>
      </c>
      <c r="Y149" s="1103">
        <f t="shared" si="116"/>
        <v>0</v>
      </c>
      <c r="Z149" s="1103">
        <f t="shared" si="116"/>
        <v>0</v>
      </c>
      <c r="AA149" s="1103">
        <f t="shared" si="116"/>
        <v>0</v>
      </c>
      <c r="AB149" s="1103">
        <f t="shared" si="116"/>
        <v>-38727101.63</v>
      </c>
      <c r="AC149" s="1103">
        <f>AC147+AC148</f>
        <v>3619572.02</v>
      </c>
      <c r="AD149" s="1103">
        <f>AD147+AD148</f>
        <v>5246375.36</v>
      </c>
      <c r="AE149" s="1103">
        <f t="shared" ref="AE149:AL149" si="117">AE147-AE148</f>
        <v>-38727101.63</v>
      </c>
      <c r="AF149" s="1103">
        <f t="shared" si="117"/>
        <v>0</v>
      </c>
      <c r="AG149" s="1103">
        <f t="shared" si="117"/>
        <v>0</v>
      </c>
      <c r="AH149" s="1103">
        <f t="shared" si="117"/>
        <v>0</v>
      </c>
      <c r="AI149" s="1103">
        <f t="shared" si="117"/>
        <v>0</v>
      </c>
      <c r="AJ149" s="1103">
        <f t="shared" si="117"/>
        <v>0</v>
      </c>
      <c r="AK149" s="1103">
        <f t="shared" si="117"/>
        <v>0</v>
      </c>
      <c r="AL149" s="1103">
        <f t="shared" si="117"/>
        <v>0</v>
      </c>
      <c r="AM149" s="1103">
        <f>AM147+AM148</f>
        <v>0</v>
      </c>
      <c r="AN149" s="1103">
        <f>AN147+AN148</f>
        <v>0</v>
      </c>
      <c r="AO149" s="1103">
        <f>AO147-AO148</f>
        <v>0</v>
      </c>
      <c r="AP149" s="1103">
        <f>AP147-AP148</f>
        <v>0</v>
      </c>
      <c r="AQ149" s="1103">
        <f>AQ147-AQ148</f>
        <v>0</v>
      </c>
      <c r="AR149" s="1103">
        <f>AR147-AR148</f>
        <v>0</v>
      </c>
      <c r="AS149" s="1103">
        <f>AS147+AS148</f>
        <v>0</v>
      </c>
      <c r="AT149" s="1103">
        <f>AT147+AT148</f>
        <v>0</v>
      </c>
      <c r="AU149" s="1103">
        <f>AU147-AU148</f>
        <v>0</v>
      </c>
      <c r="AV149" s="1103" t="e">
        <f>AV147-AV148</f>
        <v>#N/A</v>
      </c>
      <c r="AW149" s="1098" t="e">
        <f t="shared" si="111"/>
        <v>#N/A</v>
      </c>
    </row>
    <row r="150" s="1018" customFormat="1" customHeight="1" spans="1:49">
      <c r="A150" s="1138" t="s">
        <v>760</v>
      </c>
      <c r="B150" s="1103">
        <f>B149-B151</f>
        <v>-13244532.12</v>
      </c>
      <c r="C150" s="1119">
        <f t="shared" ref="C150:H150" si="118">C149-C151</f>
        <v>-5001003.44999999</v>
      </c>
      <c r="D150" s="1119">
        <f t="shared" si="118"/>
        <v>194652.94</v>
      </c>
      <c r="E150" s="1120">
        <f t="shared" si="118"/>
        <v>1002319.64</v>
      </c>
      <c r="F150" s="1121">
        <f t="shared" si="118"/>
        <v>0</v>
      </c>
      <c r="G150" s="1103">
        <f t="shared" si="118"/>
        <v>0</v>
      </c>
      <c r="H150" s="1103">
        <f t="shared" si="118"/>
        <v>-17048562.99</v>
      </c>
      <c r="I150" s="1103">
        <f>I149+I151</f>
        <v>41110522.353268</v>
      </c>
      <c r="J150" s="1103">
        <f>J149+J151</f>
        <v>40806321.68</v>
      </c>
      <c r="K150" s="1103">
        <f>K149-K151</f>
        <v>-17352763.663268</v>
      </c>
      <c r="L150" s="1103">
        <v>-24808504.17</v>
      </c>
      <c r="M150" s="1103">
        <v>-9402601.52000003</v>
      </c>
      <c r="N150" s="1103">
        <v>2151.18000000079</v>
      </c>
      <c r="O150" s="1103">
        <v>1018717.06</v>
      </c>
      <c r="P150" s="1103">
        <f t="shared" ref="M150:AR150" si="119">P149-P151</f>
        <v>0</v>
      </c>
      <c r="Q150" s="1103">
        <f t="shared" si="119"/>
        <v>0</v>
      </c>
      <c r="R150" s="1103">
        <f t="shared" si="119"/>
        <v>-33190237.4500001</v>
      </c>
      <c r="S150" s="1103">
        <v>121988595.593696</v>
      </c>
      <c r="T150" s="1103">
        <v>121988117.6015</v>
      </c>
      <c r="U150" s="1119">
        <f t="shared" si="119"/>
        <v>-33190715.4421961</v>
      </c>
      <c r="V150" s="1103">
        <v>-37814564.39</v>
      </c>
      <c r="W150" s="1103">
        <v>-298278.810000014</v>
      </c>
      <c r="X150" s="1103">
        <v>-851713.759999998</v>
      </c>
      <c r="Y150" s="1103">
        <f t="shared" si="119"/>
        <v>0</v>
      </c>
      <c r="Z150" s="1103">
        <f t="shared" si="119"/>
        <v>0</v>
      </c>
      <c r="AA150" s="1103">
        <f t="shared" si="119"/>
        <v>0</v>
      </c>
      <c r="AB150" s="1103">
        <f t="shared" si="119"/>
        <v>-38727101.63</v>
      </c>
      <c r="AC150" s="1103">
        <f>AC149+AC151</f>
        <v>3832555.2</v>
      </c>
      <c r="AD150" s="1103">
        <f>AD149+AD151</f>
        <v>5246375.36</v>
      </c>
      <c r="AE150" s="1103">
        <f>AE149-AE151</f>
        <v>-38940084.81</v>
      </c>
      <c r="AF150" s="1103">
        <f t="shared" si="119"/>
        <v>0</v>
      </c>
      <c r="AG150" s="1103">
        <f t="shared" si="119"/>
        <v>0</v>
      </c>
      <c r="AH150" s="1103">
        <f t="shared" si="119"/>
        <v>0</v>
      </c>
      <c r="AI150" s="1103">
        <f t="shared" si="119"/>
        <v>0</v>
      </c>
      <c r="AJ150" s="1103">
        <f t="shared" si="119"/>
        <v>0</v>
      </c>
      <c r="AK150" s="1103">
        <f t="shared" si="119"/>
        <v>0</v>
      </c>
      <c r="AL150" s="1103">
        <f t="shared" si="119"/>
        <v>0</v>
      </c>
      <c r="AM150" s="1103">
        <f>AM149+AM151</f>
        <v>0</v>
      </c>
      <c r="AN150" s="1103">
        <f>AN149+AN151</f>
        <v>0</v>
      </c>
      <c r="AO150" s="1103">
        <f t="shared" si="119"/>
        <v>0</v>
      </c>
      <c r="AP150" s="1103">
        <f t="shared" si="119"/>
        <v>0</v>
      </c>
      <c r="AQ150" s="1103">
        <f t="shared" si="119"/>
        <v>0</v>
      </c>
      <c r="AR150" s="1103">
        <f t="shared" si="119"/>
        <v>0</v>
      </c>
      <c r="AS150" s="1103">
        <f>AS149+AS151</f>
        <v>0</v>
      </c>
      <c r="AT150" s="1103">
        <f>AT149+AT151</f>
        <v>0</v>
      </c>
      <c r="AU150" s="1103">
        <f>AU149-AU151</f>
        <v>0</v>
      </c>
      <c r="AV150" s="1048">
        <f>合并利润表!C28</f>
        <v>-6038078.21349</v>
      </c>
      <c r="AW150" s="1098">
        <f t="shared" si="111"/>
        <v>-11314685.449778</v>
      </c>
    </row>
    <row r="151" s="1018" customFormat="1" customHeight="1" spans="1:49">
      <c r="A151" s="1138" t="s">
        <v>761</v>
      </c>
      <c r="B151" s="1103"/>
      <c r="C151" s="1119"/>
      <c r="D151" s="1119"/>
      <c r="E151" s="1121"/>
      <c r="F151" s="1121"/>
      <c r="G151" s="1103"/>
      <c r="H151" s="1103"/>
      <c r="I151" s="1103">
        <f>合并调整抵消分录!E121</f>
        <v>43251.8832679999</v>
      </c>
      <c r="J151" s="1103">
        <f>合并调整抵消分录!F121</f>
        <v>0</v>
      </c>
      <c r="K151" s="1103">
        <f>H151+I151-J151</f>
        <v>43251.8832679999</v>
      </c>
      <c r="L151" s="1103"/>
      <c r="M151" s="1103"/>
      <c r="N151" s="1103"/>
      <c r="O151" s="1103"/>
      <c r="P151" s="1103"/>
      <c r="Q151" s="1103"/>
      <c r="R151" s="1096">
        <f t="shared" si="112"/>
        <v>0</v>
      </c>
      <c r="S151" s="1103">
        <v>477.992196000176</v>
      </c>
      <c r="T151" s="1103">
        <v>0</v>
      </c>
      <c r="U151" s="1119">
        <f>R151+S151-T151</f>
        <v>477.992196000176</v>
      </c>
      <c r="V151" s="1103"/>
      <c r="W151" s="1103"/>
      <c r="X151" s="1103"/>
      <c r="Y151" s="1103"/>
      <c r="Z151" s="1103"/>
      <c r="AA151" s="1103"/>
      <c r="AB151" s="1103"/>
      <c r="AC151" s="1103">
        <f>合并调整抵消分录!N121</f>
        <v>212983.18</v>
      </c>
      <c r="AD151" s="1103">
        <f>合并调整抵消分录!O121</f>
        <v>0</v>
      </c>
      <c r="AE151" s="1103">
        <f>AB151+AC151-AD151</f>
        <v>212983.18</v>
      </c>
      <c r="AF151" s="1103"/>
      <c r="AG151" s="1103"/>
      <c r="AH151" s="1103"/>
      <c r="AI151" s="1103"/>
      <c r="AJ151" s="1103"/>
      <c r="AK151" s="1103"/>
      <c r="AL151" s="1103"/>
      <c r="AM151" s="1103">
        <f>合并调整抵消分录!Q121</f>
        <v>0</v>
      </c>
      <c r="AN151" s="1103">
        <f>合并调整抵消分录!R121</f>
        <v>0</v>
      </c>
      <c r="AO151" s="1103">
        <f>AL151+AM151-AN151</f>
        <v>0</v>
      </c>
      <c r="AP151" s="1103"/>
      <c r="AQ151" s="1103"/>
      <c r="AR151" s="1103"/>
      <c r="AS151" s="1103">
        <f>合并调整抵消分录!T121</f>
        <v>0</v>
      </c>
      <c r="AT151" s="1103">
        <f>合并调整抵消分录!U121</f>
        <v>0</v>
      </c>
      <c r="AU151" s="1103">
        <f>AR151+AS151-AT151</f>
        <v>0</v>
      </c>
      <c r="AV151" s="1048">
        <f>合并利润表!C27</f>
        <v>-187538.36651</v>
      </c>
      <c r="AW151" s="1098">
        <f t="shared" si="111"/>
        <v>230790.249778</v>
      </c>
    </row>
    <row r="152" s="1018" customFormat="1" customHeight="1" spans="1:49">
      <c r="A152" s="1138" t="s">
        <v>762</v>
      </c>
      <c r="B152" s="1092">
        <v>-164766292.09</v>
      </c>
      <c r="C152" s="1093">
        <v>-9911248.13</v>
      </c>
      <c r="D152" s="1093">
        <v>-10142449.18</v>
      </c>
      <c r="E152" s="1095">
        <v>951987.69</v>
      </c>
      <c r="F152" s="1095"/>
      <c r="G152" s="1093"/>
      <c r="H152" s="1096">
        <f>SUM(B152:G152)</f>
        <v>-183868001.71</v>
      </c>
      <c r="I152" s="1103">
        <f>合并调整抵消分录!E108</f>
        <v>-17313367.77</v>
      </c>
      <c r="J152" s="1103">
        <f>合并调整抵消分录!F108</f>
        <v>-10660588.42</v>
      </c>
      <c r="K152" s="1103">
        <f>H152-I152+J152</f>
        <v>-177215222.36</v>
      </c>
      <c r="L152" s="1093">
        <v>-139793299.12</v>
      </c>
      <c r="M152" s="1093">
        <v>-145097.89</v>
      </c>
      <c r="N152" s="1093">
        <v>-9635595.58</v>
      </c>
      <c r="O152" s="1093">
        <v>0</v>
      </c>
      <c r="P152" s="1093"/>
      <c r="Q152" s="1093"/>
      <c r="R152" s="1096">
        <f t="shared" si="112"/>
        <v>-149573992.59</v>
      </c>
      <c r="S152" s="1103">
        <v>-8477528.12</v>
      </c>
      <c r="T152" s="1103">
        <v>-1557982.7</v>
      </c>
      <c r="U152" s="1119">
        <f>R152-S152+T152</f>
        <v>-142654447.17</v>
      </c>
      <c r="V152" s="1097">
        <v>-103847191.06</v>
      </c>
      <c r="W152" s="1097">
        <v>1401823.74</v>
      </c>
      <c r="X152" s="1097">
        <v>-8727987.65</v>
      </c>
      <c r="Y152" s="1097"/>
      <c r="Z152" s="1097"/>
      <c r="AA152" s="1097"/>
      <c r="AB152" s="1103">
        <f>SUM(V152:AA152)</f>
        <v>-111173354.97</v>
      </c>
      <c r="AC152" s="1103">
        <f>合并调整抵消分录!N108</f>
        <v>-5518621.87</v>
      </c>
      <c r="AD152" s="1103">
        <f>合并调整抵消分录!O108</f>
        <v>1769158.58</v>
      </c>
      <c r="AE152" s="1103">
        <f>AB152-AC152+AD152</f>
        <v>-103885574.52</v>
      </c>
      <c r="AF152" s="1097"/>
      <c r="AG152" s="1097"/>
      <c r="AH152" s="1097"/>
      <c r="AI152" s="1097"/>
      <c r="AJ152" s="1097"/>
      <c r="AK152" s="1097"/>
      <c r="AL152" s="1103">
        <f>SUM(AF152:AK152)</f>
        <v>0</v>
      </c>
      <c r="AM152" s="1103">
        <f>合并调整抵消分录!Q108</f>
        <v>0</v>
      </c>
      <c r="AN152" s="1103">
        <f>合并调整抵消分录!R108</f>
        <v>0</v>
      </c>
      <c r="AO152" s="1103">
        <f>AL152-AM152+AN152</f>
        <v>0</v>
      </c>
      <c r="AP152" s="1097"/>
      <c r="AQ152" s="1097"/>
      <c r="AR152" s="1103">
        <f>SUM(AP152:AQ152)</f>
        <v>0</v>
      </c>
      <c r="AS152" s="1103">
        <f>合并调整抵消分录!T108</f>
        <v>0</v>
      </c>
      <c r="AT152" s="1103">
        <f>合并调整抵消分录!U108</f>
        <v>0</v>
      </c>
      <c r="AU152" s="1103">
        <f>AR152-AS152+AT152</f>
        <v>0</v>
      </c>
      <c r="AV152" s="1048"/>
      <c r="AW152" s="1098">
        <f t="shared" si="111"/>
        <v>-177215222.36</v>
      </c>
    </row>
    <row r="153" s="1018" customFormat="1" customHeight="1" spans="1:49">
      <c r="A153" s="1138" t="s">
        <v>763</v>
      </c>
      <c r="B153" s="1092"/>
      <c r="C153" s="1093"/>
      <c r="D153" s="1093"/>
      <c r="E153" s="1095"/>
      <c r="F153" s="1095"/>
      <c r="G153" s="1093"/>
      <c r="H153" s="1096">
        <f>SUM(B153:G153)</f>
        <v>0</v>
      </c>
      <c r="I153" s="1103">
        <f>合并调整抵消分录!H109</f>
        <v>0</v>
      </c>
      <c r="J153" s="1103">
        <f>合并调整抵消分录!I109</f>
        <v>0</v>
      </c>
      <c r="K153" s="1103">
        <f>H153-I153+J153</f>
        <v>0</v>
      </c>
      <c r="L153" s="1093"/>
      <c r="M153" s="1093"/>
      <c r="N153" s="1093"/>
      <c r="O153" s="1093"/>
      <c r="P153" s="1093"/>
      <c r="Q153" s="1093"/>
      <c r="R153" s="1096">
        <f t="shared" si="112"/>
        <v>0</v>
      </c>
      <c r="S153" s="1103">
        <v>0</v>
      </c>
      <c r="T153" s="1103">
        <v>0</v>
      </c>
      <c r="U153" s="1119">
        <f>R153-S153+T153</f>
        <v>0</v>
      </c>
      <c r="V153" s="1097"/>
      <c r="W153" s="1097"/>
      <c r="X153" s="1097"/>
      <c r="Y153" s="1097"/>
      <c r="Z153" s="1097"/>
      <c r="AA153" s="1097"/>
      <c r="AB153" s="1103">
        <f>SUM(V153:AA153)</f>
        <v>0</v>
      </c>
      <c r="AC153" s="1103">
        <f>合并调整抵消分录!N109</f>
        <v>0</v>
      </c>
      <c r="AD153" s="1103">
        <f>合并调整抵消分录!O109</f>
        <v>0</v>
      </c>
      <c r="AE153" s="1103">
        <f>AB153-AC153+AD153</f>
        <v>0</v>
      </c>
      <c r="AF153" s="1097"/>
      <c r="AG153" s="1097"/>
      <c r="AH153" s="1097"/>
      <c r="AI153" s="1097"/>
      <c r="AJ153" s="1097"/>
      <c r="AK153" s="1097"/>
      <c r="AL153" s="1103">
        <f>SUM(AF153:AK153)</f>
        <v>0</v>
      </c>
      <c r="AM153" s="1103">
        <f>合并调整抵消分录!Q109</f>
        <v>0</v>
      </c>
      <c r="AN153" s="1103">
        <f>合并调整抵消分录!R109</f>
        <v>0</v>
      </c>
      <c r="AO153" s="1103">
        <f>AL153-AM153+AN153</f>
        <v>0</v>
      </c>
      <c r="AP153" s="1097">
        <v>0</v>
      </c>
      <c r="AQ153" s="1097">
        <v>0</v>
      </c>
      <c r="AR153" s="1103">
        <f>SUM(AP153:AQ153)</f>
        <v>0</v>
      </c>
      <c r="AS153" s="1103">
        <f>合并调整抵消分录!T109</f>
        <v>0</v>
      </c>
      <c r="AT153" s="1103">
        <f>合并调整抵消分录!U109</f>
        <v>0</v>
      </c>
      <c r="AU153" s="1103">
        <f>AR153-AS153+AT153</f>
        <v>0</v>
      </c>
      <c r="AV153" s="1048"/>
      <c r="AW153" s="1098">
        <f t="shared" si="111"/>
        <v>0</v>
      </c>
    </row>
    <row r="154" s="1018" customFormat="1" customHeight="1" spans="1:49">
      <c r="A154" s="1138" t="s">
        <v>764</v>
      </c>
      <c r="B154" s="1105"/>
      <c r="C154" s="1093"/>
      <c r="D154" s="1093"/>
      <c r="E154" s="1095"/>
      <c r="F154" s="1095"/>
      <c r="G154" s="1093"/>
      <c r="H154" s="1096">
        <f>SUM(B154:G154)</f>
        <v>0</v>
      </c>
      <c r="I154" s="1103">
        <f>合并调整抵消分录!H110</f>
        <v>0</v>
      </c>
      <c r="J154" s="1103">
        <f>合并调整抵消分录!I110</f>
        <v>0</v>
      </c>
      <c r="K154" s="1103">
        <f>H154-I154+J154</f>
        <v>0</v>
      </c>
      <c r="L154" s="1093"/>
      <c r="M154" s="1093"/>
      <c r="N154" s="1093"/>
      <c r="O154" s="1093"/>
      <c r="P154" s="1093"/>
      <c r="Q154" s="1093"/>
      <c r="R154" s="1096">
        <f t="shared" si="112"/>
        <v>0</v>
      </c>
      <c r="S154" s="1103">
        <v>0</v>
      </c>
      <c r="T154" s="1103">
        <v>0</v>
      </c>
      <c r="U154" s="1119">
        <f>R154-S154+T154</f>
        <v>0</v>
      </c>
      <c r="V154" s="1097"/>
      <c r="W154" s="1097"/>
      <c r="X154" s="1097"/>
      <c r="Y154" s="1097"/>
      <c r="Z154" s="1097"/>
      <c r="AA154" s="1097"/>
      <c r="AB154" s="1103">
        <f>SUM(V154:AA154)</f>
        <v>0</v>
      </c>
      <c r="AC154" s="1103">
        <f>合并调整抵消分录!N110</f>
        <v>0</v>
      </c>
      <c r="AD154" s="1103">
        <f>合并调整抵消分录!O110</f>
        <v>0</v>
      </c>
      <c r="AE154" s="1103">
        <f>AB154-AC154+AD154</f>
        <v>0</v>
      </c>
      <c r="AF154" s="1097"/>
      <c r="AG154" s="1097"/>
      <c r="AH154" s="1097"/>
      <c r="AI154" s="1097"/>
      <c r="AJ154" s="1097"/>
      <c r="AK154" s="1097"/>
      <c r="AL154" s="1103">
        <f>SUM(AF154:AK154)</f>
        <v>0</v>
      </c>
      <c r="AM154" s="1103">
        <f>合并调整抵消分录!Q110</f>
        <v>0</v>
      </c>
      <c r="AN154" s="1103">
        <f>合并调整抵消分录!R110</f>
        <v>0</v>
      </c>
      <c r="AO154" s="1103">
        <f>AL154-AM154+AN154</f>
        <v>0</v>
      </c>
      <c r="AP154" s="1097">
        <v>0</v>
      </c>
      <c r="AQ154" s="1097">
        <v>0</v>
      </c>
      <c r="AR154" s="1103">
        <f>SUM(AP154:AQ154)</f>
        <v>0</v>
      </c>
      <c r="AS154" s="1103">
        <f>合并调整抵消分录!T110</f>
        <v>0</v>
      </c>
      <c r="AT154" s="1103">
        <f>合并调整抵消分录!U110</f>
        <v>0</v>
      </c>
      <c r="AU154" s="1103">
        <f>AR154-AS154+AT154</f>
        <v>0</v>
      </c>
      <c r="AV154" s="1048"/>
      <c r="AW154" s="1098">
        <f t="shared" si="111"/>
        <v>0</v>
      </c>
    </row>
    <row r="155" s="1018" customFormat="1" customHeight="1" spans="1:49">
      <c r="A155" s="1139" t="s">
        <v>765</v>
      </c>
      <c r="B155" s="1103">
        <f>SUM(B150,B152:B154)</f>
        <v>-178010824.21</v>
      </c>
      <c r="C155" s="1119">
        <f>SUM(C150,C152:C154)</f>
        <v>-14912251.58</v>
      </c>
      <c r="D155" s="1119">
        <f>SUM(D150,D152:D154)</f>
        <v>-9947796.24</v>
      </c>
      <c r="E155" s="1121">
        <f>SUM(E150,E152:E154)</f>
        <v>1954307.33</v>
      </c>
      <c r="F155" s="1121">
        <f t="shared" ref="C155:AU155" si="120">SUM(F150,F152:F154)</f>
        <v>0</v>
      </c>
      <c r="G155" s="1103">
        <f t="shared" si="120"/>
        <v>0</v>
      </c>
      <c r="H155" s="1103">
        <f t="shared" si="120"/>
        <v>-200916564.7</v>
      </c>
      <c r="I155" s="1103">
        <f t="shared" si="120"/>
        <v>23797154.583268</v>
      </c>
      <c r="J155" s="1103">
        <f t="shared" si="120"/>
        <v>30145733.26</v>
      </c>
      <c r="K155" s="1103">
        <f t="shared" si="120"/>
        <v>-194567986.023268</v>
      </c>
      <c r="L155" s="1103">
        <v>-164601803.29</v>
      </c>
      <c r="M155" s="1103">
        <v>-9547699.41000003</v>
      </c>
      <c r="N155" s="1103">
        <v>-9633444.4</v>
      </c>
      <c r="O155" s="1103">
        <v>1018717.06</v>
      </c>
      <c r="P155" s="1103">
        <f t="shared" si="120"/>
        <v>0</v>
      </c>
      <c r="Q155" s="1103">
        <f t="shared" si="120"/>
        <v>0</v>
      </c>
      <c r="R155" s="1103">
        <f t="shared" si="120"/>
        <v>-182764230.04</v>
      </c>
      <c r="S155" s="1103">
        <v>113511067.473696</v>
      </c>
      <c r="T155" s="1103">
        <v>120430134.9015</v>
      </c>
      <c r="U155" s="1119">
        <f t="shared" si="120"/>
        <v>-175845162.612196</v>
      </c>
      <c r="V155" s="1103">
        <v>-141661755.45</v>
      </c>
      <c r="W155" s="1103">
        <v>1103544.92999999</v>
      </c>
      <c r="X155" s="1103">
        <v>-9579701.41</v>
      </c>
      <c r="Y155" s="1103">
        <f t="shared" si="120"/>
        <v>0</v>
      </c>
      <c r="Z155" s="1103">
        <f t="shared" si="120"/>
        <v>0</v>
      </c>
      <c r="AA155" s="1103">
        <f t="shared" si="120"/>
        <v>0</v>
      </c>
      <c r="AB155" s="1103">
        <f t="shared" si="120"/>
        <v>-149900456.6</v>
      </c>
      <c r="AC155" s="1103">
        <f t="shared" si="120"/>
        <v>-1686066.67</v>
      </c>
      <c r="AD155" s="1103">
        <f t="shared" si="120"/>
        <v>7015533.94</v>
      </c>
      <c r="AE155" s="1103">
        <f t="shared" si="120"/>
        <v>-142825659.33</v>
      </c>
      <c r="AF155" s="1103">
        <f t="shared" si="120"/>
        <v>0</v>
      </c>
      <c r="AG155" s="1103">
        <f t="shared" si="120"/>
        <v>0</v>
      </c>
      <c r="AH155" s="1103">
        <f t="shared" si="120"/>
        <v>0</v>
      </c>
      <c r="AI155" s="1103">
        <f t="shared" si="120"/>
        <v>0</v>
      </c>
      <c r="AJ155" s="1103">
        <f t="shared" si="120"/>
        <v>0</v>
      </c>
      <c r="AK155" s="1103">
        <f t="shared" si="120"/>
        <v>0</v>
      </c>
      <c r="AL155" s="1103">
        <f t="shared" si="120"/>
        <v>0</v>
      </c>
      <c r="AM155" s="1103">
        <f t="shared" si="120"/>
        <v>0</v>
      </c>
      <c r="AN155" s="1103">
        <f t="shared" si="120"/>
        <v>0</v>
      </c>
      <c r="AO155" s="1103">
        <f t="shared" si="120"/>
        <v>0</v>
      </c>
      <c r="AP155" s="1103">
        <f t="shared" si="120"/>
        <v>0</v>
      </c>
      <c r="AQ155" s="1103">
        <f t="shared" si="120"/>
        <v>0</v>
      </c>
      <c r="AR155" s="1103">
        <f t="shared" si="120"/>
        <v>0</v>
      </c>
      <c r="AS155" s="1103">
        <f t="shared" si="120"/>
        <v>0</v>
      </c>
      <c r="AT155" s="1103">
        <f t="shared" si="120"/>
        <v>0</v>
      </c>
      <c r="AU155" s="1103">
        <f t="shared" si="120"/>
        <v>0</v>
      </c>
      <c r="AV155" s="1048"/>
      <c r="AW155" s="1098">
        <f t="shared" si="111"/>
        <v>-194567986.023268</v>
      </c>
    </row>
    <row r="156" s="1018" customFormat="1" customHeight="1" spans="1:49">
      <c r="A156" s="1138" t="s">
        <v>766</v>
      </c>
      <c r="B156" s="1092"/>
      <c r="C156" s="1093"/>
      <c r="D156" s="1093"/>
      <c r="E156" s="1095"/>
      <c r="F156" s="1095"/>
      <c r="G156" s="1093"/>
      <c r="H156" s="1096">
        <f t="shared" ref="H156:H164" si="121">SUM(B156:G156)</f>
        <v>0</v>
      </c>
      <c r="I156" s="1103">
        <f>合并调整抵消分录!H111</f>
        <v>0</v>
      </c>
      <c r="J156" s="1103">
        <f>合并调整抵消分录!I111</f>
        <v>0</v>
      </c>
      <c r="K156" s="1103">
        <f t="shared" ref="K156:K164" si="122">H156+I156-J156</f>
        <v>0</v>
      </c>
      <c r="L156" s="1093"/>
      <c r="M156" s="1093"/>
      <c r="N156" s="1093"/>
      <c r="O156" s="1093"/>
      <c r="P156" s="1093"/>
      <c r="Q156" s="1093"/>
      <c r="R156" s="1096">
        <f t="shared" ref="R156:R164" si="123">SUM(L156:Q156)</f>
        <v>0</v>
      </c>
      <c r="S156" s="1103">
        <v>0</v>
      </c>
      <c r="T156" s="1103">
        <v>0</v>
      </c>
      <c r="U156" s="1119">
        <f t="shared" ref="U156:U164" si="124">R156+S156-T156</f>
        <v>0</v>
      </c>
      <c r="V156" s="1097"/>
      <c r="W156" s="1097"/>
      <c r="X156" s="1097"/>
      <c r="Y156" s="1097"/>
      <c r="Z156" s="1097"/>
      <c r="AA156" s="1097"/>
      <c r="AB156" s="1103">
        <f t="shared" ref="AB156:AB165" si="125">SUM(V156:AA156)</f>
        <v>0</v>
      </c>
      <c r="AC156" s="1103">
        <f>合并调整抵消分录!N111</f>
        <v>0</v>
      </c>
      <c r="AD156" s="1103">
        <f>合并调整抵消分录!O111</f>
        <v>0</v>
      </c>
      <c r="AE156" s="1103">
        <f t="shared" ref="AE156:AE164" si="126">AB156+AC156-AD156</f>
        <v>0</v>
      </c>
      <c r="AF156" s="1097"/>
      <c r="AG156" s="1097"/>
      <c r="AH156" s="1097"/>
      <c r="AI156" s="1097"/>
      <c r="AJ156" s="1097"/>
      <c r="AK156" s="1097"/>
      <c r="AL156" s="1103">
        <f t="shared" ref="AL156:AL164" si="127">SUM(AF156:AK156)</f>
        <v>0</v>
      </c>
      <c r="AM156" s="1103">
        <f>合并调整抵消分录!Q111</f>
        <v>0</v>
      </c>
      <c r="AN156" s="1103">
        <f>合并调整抵消分录!R111</f>
        <v>0</v>
      </c>
      <c r="AO156" s="1103">
        <f t="shared" ref="AO156:AO164" si="128">AL156+AM156-AN156</f>
        <v>0</v>
      </c>
      <c r="AP156" s="1097"/>
      <c r="AQ156" s="1097"/>
      <c r="AR156" s="1103">
        <f t="shared" ref="AR156:AR164" si="129">SUM(AP156:AQ156)</f>
        <v>0</v>
      </c>
      <c r="AS156" s="1103">
        <f>合并调整抵消分录!T111</f>
        <v>0</v>
      </c>
      <c r="AT156" s="1103">
        <f>合并调整抵消分录!U111</f>
        <v>0</v>
      </c>
      <c r="AU156" s="1103">
        <f t="shared" ref="AU156:AU164" si="130">AR156+AS156-AT156</f>
        <v>0</v>
      </c>
      <c r="AV156" s="1048"/>
      <c r="AW156" s="1098">
        <f t="shared" si="111"/>
        <v>0</v>
      </c>
    </row>
    <row r="157" s="1018" customFormat="1" customHeight="1" spans="1:49">
      <c r="A157" s="1138" t="s">
        <v>767</v>
      </c>
      <c r="B157" s="1092"/>
      <c r="C157" s="1093"/>
      <c r="D157" s="1093"/>
      <c r="E157" s="1095"/>
      <c r="F157" s="1095"/>
      <c r="G157" s="1093"/>
      <c r="H157" s="1096">
        <f t="shared" si="121"/>
        <v>0</v>
      </c>
      <c r="I157" s="1103">
        <f>合并调整抵消分录!H112</f>
        <v>0</v>
      </c>
      <c r="J157" s="1103">
        <f>合并调整抵消分录!I112</f>
        <v>0</v>
      </c>
      <c r="K157" s="1103">
        <f t="shared" si="122"/>
        <v>0</v>
      </c>
      <c r="L157" s="1093"/>
      <c r="M157" s="1093"/>
      <c r="N157" s="1093"/>
      <c r="O157" s="1093"/>
      <c r="P157" s="1093"/>
      <c r="Q157" s="1093"/>
      <c r="R157" s="1096">
        <f t="shared" si="123"/>
        <v>0</v>
      </c>
      <c r="S157" s="1103">
        <v>0</v>
      </c>
      <c r="T157" s="1103">
        <v>0</v>
      </c>
      <c r="U157" s="1119">
        <f t="shared" si="124"/>
        <v>0</v>
      </c>
      <c r="V157" s="1097"/>
      <c r="W157" s="1097"/>
      <c r="X157" s="1097"/>
      <c r="Y157" s="1097"/>
      <c r="Z157" s="1097"/>
      <c r="AA157" s="1097"/>
      <c r="AB157" s="1103">
        <f t="shared" si="125"/>
        <v>0</v>
      </c>
      <c r="AC157" s="1103">
        <f>合并调整抵消分录!N112</f>
        <v>0</v>
      </c>
      <c r="AD157" s="1103">
        <f>合并调整抵消分录!O112</f>
        <v>0</v>
      </c>
      <c r="AE157" s="1103">
        <f t="shared" si="126"/>
        <v>0</v>
      </c>
      <c r="AF157" s="1097"/>
      <c r="AG157" s="1097"/>
      <c r="AH157" s="1097"/>
      <c r="AI157" s="1097"/>
      <c r="AJ157" s="1097"/>
      <c r="AK157" s="1097"/>
      <c r="AL157" s="1103">
        <f t="shared" si="127"/>
        <v>0</v>
      </c>
      <c r="AM157" s="1103">
        <f>合并调整抵消分录!Q112</f>
        <v>0</v>
      </c>
      <c r="AN157" s="1103">
        <f>合并调整抵消分录!R112</f>
        <v>0</v>
      </c>
      <c r="AO157" s="1103">
        <f t="shared" si="128"/>
        <v>0</v>
      </c>
      <c r="AP157" s="1097">
        <v>0</v>
      </c>
      <c r="AQ157" s="1097">
        <v>0</v>
      </c>
      <c r="AR157" s="1103">
        <f t="shared" si="129"/>
        <v>0</v>
      </c>
      <c r="AS157" s="1103">
        <f>合并调整抵消分录!T112</f>
        <v>0</v>
      </c>
      <c r="AT157" s="1103">
        <f>合并调整抵消分录!U112</f>
        <v>0</v>
      </c>
      <c r="AU157" s="1103">
        <f t="shared" si="130"/>
        <v>0</v>
      </c>
      <c r="AV157" s="1048"/>
      <c r="AW157" s="1098">
        <f t="shared" si="111"/>
        <v>0</v>
      </c>
    </row>
    <row r="158" s="1018" customFormat="1" customHeight="1" spans="1:49">
      <c r="A158" s="1138" t="s">
        <v>768</v>
      </c>
      <c r="B158" s="1092"/>
      <c r="C158" s="1093"/>
      <c r="D158" s="1093"/>
      <c r="E158" s="1095"/>
      <c r="F158" s="1095"/>
      <c r="G158" s="1093"/>
      <c r="H158" s="1096">
        <f t="shared" si="121"/>
        <v>0</v>
      </c>
      <c r="I158" s="1103">
        <f>合并调整抵消分录!H113</f>
        <v>0</v>
      </c>
      <c r="J158" s="1103">
        <f>合并调整抵消分录!I113</f>
        <v>0</v>
      </c>
      <c r="K158" s="1103">
        <f t="shared" si="122"/>
        <v>0</v>
      </c>
      <c r="L158" s="1093"/>
      <c r="M158" s="1093"/>
      <c r="N158" s="1093"/>
      <c r="O158" s="1093"/>
      <c r="P158" s="1093"/>
      <c r="Q158" s="1093"/>
      <c r="R158" s="1096">
        <f t="shared" si="123"/>
        <v>0</v>
      </c>
      <c r="S158" s="1103">
        <v>0</v>
      </c>
      <c r="T158" s="1103">
        <v>0</v>
      </c>
      <c r="U158" s="1119">
        <f t="shared" si="124"/>
        <v>0</v>
      </c>
      <c r="V158" s="1097"/>
      <c r="W158" s="1097"/>
      <c r="X158" s="1097"/>
      <c r="Y158" s="1097"/>
      <c r="Z158" s="1097"/>
      <c r="AA158" s="1097"/>
      <c r="AB158" s="1103">
        <f t="shared" si="125"/>
        <v>0</v>
      </c>
      <c r="AC158" s="1103">
        <f>合并调整抵消分录!N113</f>
        <v>0</v>
      </c>
      <c r="AD158" s="1103">
        <f>合并调整抵消分录!O113</f>
        <v>0</v>
      </c>
      <c r="AE158" s="1103">
        <f t="shared" si="126"/>
        <v>0</v>
      </c>
      <c r="AF158" s="1097"/>
      <c r="AG158" s="1097"/>
      <c r="AH158" s="1097"/>
      <c r="AI158" s="1097"/>
      <c r="AJ158" s="1097"/>
      <c r="AK158" s="1097"/>
      <c r="AL158" s="1103">
        <f t="shared" si="127"/>
        <v>0</v>
      </c>
      <c r="AM158" s="1103">
        <f>合并调整抵消分录!Q113</f>
        <v>0</v>
      </c>
      <c r="AN158" s="1103">
        <f>合并调整抵消分录!R113</f>
        <v>0</v>
      </c>
      <c r="AO158" s="1103">
        <f t="shared" si="128"/>
        <v>0</v>
      </c>
      <c r="AP158" s="1097">
        <v>0</v>
      </c>
      <c r="AQ158" s="1097">
        <v>0</v>
      </c>
      <c r="AR158" s="1103">
        <f t="shared" si="129"/>
        <v>0</v>
      </c>
      <c r="AS158" s="1103">
        <f>合并调整抵消分录!T113</f>
        <v>0</v>
      </c>
      <c r="AT158" s="1103">
        <f>合并调整抵消分录!U113</f>
        <v>0</v>
      </c>
      <c r="AU158" s="1103">
        <f t="shared" si="130"/>
        <v>0</v>
      </c>
      <c r="AV158" s="1048"/>
      <c r="AW158" s="1098">
        <f t="shared" si="111"/>
        <v>0</v>
      </c>
    </row>
    <row r="159" s="1018" customFormat="1" customHeight="1" spans="1:49">
      <c r="A159" s="1138" t="s">
        <v>769</v>
      </c>
      <c r="B159" s="1092"/>
      <c r="C159" s="1093"/>
      <c r="D159" s="1093"/>
      <c r="E159" s="1095"/>
      <c r="F159" s="1095"/>
      <c r="G159" s="1093"/>
      <c r="H159" s="1096">
        <f t="shared" si="121"/>
        <v>0</v>
      </c>
      <c r="I159" s="1103">
        <f>合并调整抵消分录!H114</f>
        <v>0</v>
      </c>
      <c r="J159" s="1103">
        <f>合并调整抵消分录!I114</f>
        <v>0</v>
      </c>
      <c r="K159" s="1103">
        <f t="shared" si="122"/>
        <v>0</v>
      </c>
      <c r="L159" s="1093"/>
      <c r="M159" s="1093"/>
      <c r="N159" s="1093"/>
      <c r="O159" s="1093"/>
      <c r="P159" s="1093"/>
      <c r="Q159" s="1093"/>
      <c r="R159" s="1096">
        <f t="shared" si="123"/>
        <v>0</v>
      </c>
      <c r="S159" s="1103">
        <v>0</v>
      </c>
      <c r="T159" s="1103">
        <v>0</v>
      </c>
      <c r="U159" s="1119">
        <f t="shared" si="124"/>
        <v>0</v>
      </c>
      <c r="V159" s="1097"/>
      <c r="W159" s="1097"/>
      <c r="X159" s="1097"/>
      <c r="Y159" s="1097"/>
      <c r="Z159" s="1097"/>
      <c r="AA159" s="1097"/>
      <c r="AB159" s="1103">
        <f t="shared" si="125"/>
        <v>0</v>
      </c>
      <c r="AC159" s="1103">
        <f>合并调整抵消分录!N114</f>
        <v>0</v>
      </c>
      <c r="AD159" s="1103">
        <f>合并调整抵消分录!O114</f>
        <v>0</v>
      </c>
      <c r="AE159" s="1103">
        <f t="shared" si="126"/>
        <v>0</v>
      </c>
      <c r="AF159" s="1097"/>
      <c r="AG159" s="1097"/>
      <c r="AH159" s="1097"/>
      <c r="AI159" s="1097"/>
      <c r="AJ159" s="1097"/>
      <c r="AK159" s="1097"/>
      <c r="AL159" s="1103">
        <f t="shared" si="127"/>
        <v>0</v>
      </c>
      <c r="AM159" s="1103">
        <f>合并调整抵消分录!Q114</f>
        <v>0</v>
      </c>
      <c r="AN159" s="1103">
        <f>合并调整抵消分录!R114</f>
        <v>0</v>
      </c>
      <c r="AO159" s="1103">
        <f t="shared" si="128"/>
        <v>0</v>
      </c>
      <c r="AP159" s="1097">
        <v>0</v>
      </c>
      <c r="AQ159" s="1097">
        <v>0</v>
      </c>
      <c r="AR159" s="1103">
        <f t="shared" si="129"/>
        <v>0</v>
      </c>
      <c r="AS159" s="1103">
        <f>合并调整抵消分录!T114</f>
        <v>0</v>
      </c>
      <c r="AT159" s="1103">
        <f>合并调整抵消分录!U114</f>
        <v>0</v>
      </c>
      <c r="AU159" s="1103">
        <f t="shared" si="130"/>
        <v>0</v>
      </c>
      <c r="AV159" s="1048"/>
      <c r="AW159" s="1098">
        <f t="shared" si="111"/>
        <v>0</v>
      </c>
    </row>
    <row r="160" s="1018" customFormat="1" customHeight="1" spans="1:49">
      <c r="A160" s="1138" t="s">
        <v>770</v>
      </c>
      <c r="B160" s="1092"/>
      <c r="C160" s="1093"/>
      <c r="D160" s="1093"/>
      <c r="E160" s="1095"/>
      <c r="F160" s="1095"/>
      <c r="G160" s="1093"/>
      <c r="H160" s="1096">
        <f t="shared" si="121"/>
        <v>0</v>
      </c>
      <c r="I160" s="1103">
        <f>合并调整抵消分录!H115</f>
        <v>0</v>
      </c>
      <c r="J160" s="1103">
        <f>合并调整抵消分录!I115</f>
        <v>0</v>
      </c>
      <c r="K160" s="1103">
        <f t="shared" si="122"/>
        <v>0</v>
      </c>
      <c r="L160" s="1093"/>
      <c r="M160" s="1093"/>
      <c r="N160" s="1093"/>
      <c r="O160" s="1093"/>
      <c r="P160" s="1093"/>
      <c r="Q160" s="1093"/>
      <c r="R160" s="1096">
        <f t="shared" si="123"/>
        <v>0</v>
      </c>
      <c r="S160" s="1103">
        <v>0</v>
      </c>
      <c r="T160" s="1103">
        <v>0</v>
      </c>
      <c r="U160" s="1119">
        <f t="shared" si="124"/>
        <v>0</v>
      </c>
      <c r="V160" s="1097"/>
      <c r="W160" s="1097"/>
      <c r="X160" s="1097"/>
      <c r="Y160" s="1097"/>
      <c r="Z160" s="1097"/>
      <c r="AA160" s="1097"/>
      <c r="AB160" s="1103">
        <f t="shared" si="125"/>
        <v>0</v>
      </c>
      <c r="AC160" s="1103">
        <f>合并调整抵消分录!N115</f>
        <v>0</v>
      </c>
      <c r="AD160" s="1103">
        <f>合并调整抵消分录!O115</f>
        <v>0</v>
      </c>
      <c r="AE160" s="1103">
        <f t="shared" si="126"/>
        <v>0</v>
      </c>
      <c r="AF160" s="1097"/>
      <c r="AG160" s="1097"/>
      <c r="AH160" s="1097"/>
      <c r="AI160" s="1097"/>
      <c r="AJ160" s="1097"/>
      <c r="AK160" s="1097"/>
      <c r="AL160" s="1103">
        <f t="shared" si="127"/>
        <v>0</v>
      </c>
      <c r="AM160" s="1103">
        <f>合并调整抵消分录!Q115</f>
        <v>0</v>
      </c>
      <c r="AN160" s="1103">
        <f>合并调整抵消分录!R115</f>
        <v>0</v>
      </c>
      <c r="AO160" s="1103">
        <f t="shared" si="128"/>
        <v>0</v>
      </c>
      <c r="AP160" s="1097">
        <v>0</v>
      </c>
      <c r="AQ160" s="1097">
        <v>0</v>
      </c>
      <c r="AR160" s="1103">
        <f t="shared" si="129"/>
        <v>0</v>
      </c>
      <c r="AS160" s="1103">
        <f>合并调整抵消分录!T115</f>
        <v>0</v>
      </c>
      <c r="AT160" s="1103">
        <f>合并调整抵消分录!U115</f>
        <v>0</v>
      </c>
      <c r="AU160" s="1103">
        <f t="shared" si="130"/>
        <v>0</v>
      </c>
      <c r="AV160" s="1048"/>
      <c r="AW160" s="1098">
        <f t="shared" si="111"/>
        <v>0</v>
      </c>
    </row>
    <row r="161" s="1018" customFormat="1" customHeight="1" spans="1:49">
      <c r="A161" s="1138" t="s">
        <v>771</v>
      </c>
      <c r="B161" s="1092"/>
      <c r="C161" s="1093"/>
      <c r="D161" s="1093"/>
      <c r="E161" s="1095"/>
      <c r="F161" s="1095"/>
      <c r="G161" s="1093"/>
      <c r="H161" s="1096">
        <f t="shared" si="121"/>
        <v>0</v>
      </c>
      <c r="I161" s="1103">
        <f>合并调整抵消分录!H116</f>
        <v>0</v>
      </c>
      <c r="J161" s="1103">
        <f>合并调整抵消分录!I116</f>
        <v>0</v>
      </c>
      <c r="K161" s="1103">
        <f t="shared" si="122"/>
        <v>0</v>
      </c>
      <c r="L161" s="1093"/>
      <c r="M161" s="1093"/>
      <c r="N161" s="1093"/>
      <c r="O161" s="1093"/>
      <c r="P161" s="1093"/>
      <c r="Q161" s="1093"/>
      <c r="R161" s="1096">
        <f t="shared" si="123"/>
        <v>0</v>
      </c>
      <c r="S161" s="1103">
        <v>0</v>
      </c>
      <c r="T161" s="1103">
        <v>0</v>
      </c>
      <c r="U161" s="1119">
        <f t="shared" si="124"/>
        <v>0</v>
      </c>
      <c r="V161" s="1097"/>
      <c r="W161" s="1097"/>
      <c r="X161" s="1097"/>
      <c r="Y161" s="1097"/>
      <c r="Z161" s="1097"/>
      <c r="AA161" s="1097"/>
      <c r="AB161" s="1103">
        <f t="shared" si="125"/>
        <v>0</v>
      </c>
      <c r="AC161" s="1103">
        <f>合并调整抵消分录!N116</f>
        <v>0</v>
      </c>
      <c r="AD161" s="1103">
        <f>合并调整抵消分录!O116</f>
        <v>0</v>
      </c>
      <c r="AE161" s="1103">
        <f t="shared" si="126"/>
        <v>0</v>
      </c>
      <c r="AF161" s="1097"/>
      <c r="AG161" s="1097"/>
      <c r="AH161" s="1097"/>
      <c r="AI161" s="1097"/>
      <c r="AJ161" s="1097"/>
      <c r="AK161" s="1097"/>
      <c r="AL161" s="1103">
        <f t="shared" si="127"/>
        <v>0</v>
      </c>
      <c r="AM161" s="1103">
        <f>合并调整抵消分录!Q116</f>
        <v>0</v>
      </c>
      <c r="AN161" s="1103">
        <f>合并调整抵消分录!R116</f>
        <v>0</v>
      </c>
      <c r="AO161" s="1103">
        <f t="shared" si="128"/>
        <v>0</v>
      </c>
      <c r="AP161" s="1097">
        <v>0</v>
      </c>
      <c r="AQ161" s="1097">
        <v>0</v>
      </c>
      <c r="AR161" s="1103">
        <f t="shared" si="129"/>
        <v>0</v>
      </c>
      <c r="AS161" s="1103">
        <f>合并调整抵消分录!T116</f>
        <v>0</v>
      </c>
      <c r="AT161" s="1103">
        <f>合并调整抵消分录!U116</f>
        <v>0</v>
      </c>
      <c r="AU161" s="1103">
        <f t="shared" si="130"/>
        <v>0</v>
      </c>
      <c r="AV161" s="1048"/>
      <c r="AW161" s="1098">
        <f t="shared" si="111"/>
        <v>0</v>
      </c>
    </row>
    <row r="162" s="1018" customFormat="1" customHeight="1" spans="1:49">
      <c r="A162" s="1138" t="s">
        <v>124</v>
      </c>
      <c r="B162" s="1092"/>
      <c r="C162" s="1093"/>
      <c r="D162" s="1093"/>
      <c r="E162" s="1095"/>
      <c r="F162" s="1095"/>
      <c r="G162" s="1093"/>
      <c r="H162" s="1096">
        <f t="shared" si="121"/>
        <v>0</v>
      </c>
      <c r="I162" s="1103">
        <f>合并调整抵消分录!H117</f>
        <v>0</v>
      </c>
      <c r="J162" s="1103">
        <f>合并调整抵消分录!I117</f>
        <v>0</v>
      </c>
      <c r="K162" s="1103">
        <f t="shared" si="122"/>
        <v>0</v>
      </c>
      <c r="L162" s="1093"/>
      <c r="M162" s="1093"/>
      <c r="N162" s="1093"/>
      <c r="O162" s="1093"/>
      <c r="P162" s="1093"/>
      <c r="Q162" s="1093"/>
      <c r="R162" s="1096">
        <f t="shared" si="123"/>
        <v>0</v>
      </c>
      <c r="S162" s="1103">
        <v>0</v>
      </c>
      <c r="T162" s="1103">
        <v>0</v>
      </c>
      <c r="U162" s="1119">
        <f t="shared" si="124"/>
        <v>0</v>
      </c>
      <c r="V162" s="1097"/>
      <c r="W162" s="1097"/>
      <c r="X162" s="1097"/>
      <c r="Y162" s="1097"/>
      <c r="Z162" s="1097"/>
      <c r="AA162" s="1097"/>
      <c r="AB162" s="1103">
        <f t="shared" si="125"/>
        <v>0</v>
      </c>
      <c r="AC162" s="1103">
        <f>合并调整抵消分录!N117</f>
        <v>0</v>
      </c>
      <c r="AD162" s="1103">
        <f>合并调整抵消分录!O117</f>
        <v>0</v>
      </c>
      <c r="AE162" s="1103">
        <f t="shared" si="126"/>
        <v>0</v>
      </c>
      <c r="AF162" s="1097"/>
      <c r="AG162" s="1097"/>
      <c r="AH162" s="1097"/>
      <c r="AI162" s="1097"/>
      <c r="AJ162" s="1097"/>
      <c r="AK162" s="1097"/>
      <c r="AL162" s="1103">
        <f t="shared" si="127"/>
        <v>0</v>
      </c>
      <c r="AM162" s="1103">
        <f>合并调整抵消分录!Q117</f>
        <v>0</v>
      </c>
      <c r="AN162" s="1103">
        <f>合并调整抵消分录!R117</f>
        <v>0</v>
      </c>
      <c r="AO162" s="1103">
        <f t="shared" si="128"/>
        <v>0</v>
      </c>
      <c r="AP162" s="1097">
        <v>0</v>
      </c>
      <c r="AQ162" s="1097">
        <v>0</v>
      </c>
      <c r="AR162" s="1103">
        <f t="shared" si="129"/>
        <v>0</v>
      </c>
      <c r="AS162" s="1103">
        <f>合并调整抵消分录!T117</f>
        <v>0</v>
      </c>
      <c r="AT162" s="1103">
        <f>合并调整抵消分录!U117</f>
        <v>0</v>
      </c>
      <c r="AU162" s="1103">
        <f t="shared" si="130"/>
        <v>0</v>
      </c>
      <c r="AV162" s="1048"/>
      <c r="AW162" s="1098">
        <f t="shared" si="111"/>
        <v>0</v>
      </c>
    </row>
    <row r="163" s="1018" customFormat="1" customHeight="1" spans="1:49">
      <c r="A163" s="1138" t="s">
        <v>772</v>
      </c>
      <c r="B163" s="1092"/>
      <c r="C163" s="1093"/>
      <c r="D163" s="1093"/>
      <c r="E163" s="1095"/>
      <c r="F163" s="1095"/>
      <c r="G163" s="1093"/>
      <c r="H163" s="1096">
        <f t="shared" si="121"/>
        <v>0</v>
      </c>
      <c r="I163" s="1103">
        <f>合并调整抵消分录!H118</f>
        <v>0</v>
      </c>
      <c r="J163" s="1103">
        <f>合并调整抵消分录!I118</f>
        <v>0</v>
      </c>
      <c r="K163" s="1103">
        <f t="shared" si="122"/>
        <v>0</v>
      </c>
      <c r="L163" s="1093"/>
      <c r="M163" s="1093"/>
      <c r="N163" s="1093"/>
      <c r="O163" s="1093"/>
      <c r="P163" s="1093"/>
      <c r="Q163" s="1093"/>
      <c r="R163" s="1096">
        <f t="shared" si="123"/>
        <v>0</v>
      </c>
      <c r="S163" s="1103">
        <v>0</v>
      </c>
      <c r="T163" s="1103">
        <v>0</v>
      </c>
      <c r="U163" s="1119">
        <f t="shared" si="124"/>
        <v>0</v>
      </c>
      <c r="V163" s="1097"/>
      <c r="W163" s="1097"/>
      <c r="X163" s="1097"/>
      <c r="Y163" s="1097"/>
      <c r="Z163" s="1097"/>
      <c r="AA163" s="1097"/>
      <c r="AB163" s="1103">
        <f t="shared" si="125"/>
        <v>0</v>
      </c>
      <c r="AC163" s="1103">
        <f>合并调整抵消分录!N118</f>
        <v>0</v>
      </c>
      <c r="AD163" s="1103">
        <f>合并调整抵消分录!O118</f>
        <v>0</v>
      </c>
      <c r="AE163" s="1103">
        <f t="shared" si="126"/>
        <v>0</v>
      </c>
      <c r="AF163" s="1097"/>
      <c r="AG163" s="1097"/>
      <c r="AH163" s="1097"/>
      <c r="AI163" s="1097"/>
      <c r="AJ163" s="1097"/>
      <c r="AK163" s="1097"/>
      <c r="AL163" s="1103">
        <f t="shared" si="127"/>
        <v>0</v>
      </c>
      <c r="AM163" s="1103">
        <f>合并调整抵消分录!Q118</f>
        <v>0</v>
      </c>
      <c r="AN163" s="1103">
        <f>合并调整抵消分录!R118</f>
        <v>0</v>
      </c>
      <c r="AO163" s="1103">
        <f t="shared" si="128"/>
        <v>0</v>
      </c>
      <c r="AP163" s="1097">
        <v>0</v>
      </c>
      <c r="AQ163" s="1097">
        <v>0</v>
      </c>
      <c r="AR163" s="1103">
        <f t="shared" si="129"/>
        <v>0</v>
      </c>
      <c r="AS163" s="1103">
        <f>合并调整抵消分录!T118</f>
        <v>0</v>
      </c>
      <c r="AT163" s="1103">
        <f>合并调整抵消分录!U118</f>
        <v>0</v>
      </c>
      <c r="AU163" s="1103">
        <f t="shared" si="130"/>
        <v>0</v>
      </c>
      <c r="AV163" s="1048"/>
      <c r="AW163" s="1098">
        <f t="shared" si="111"/>
        <v>0</v>
      </c>
    </row>
    <row r="164" s="1018" customFormat="1" customHeight="1" spans="1:49">
      <c r="A164" s="1138" t="s">
        <v>773</v>
      </c>
      <c r="B164" s="1092"/>
      <c r="C164" s="1093"/>
      <c r="D164" s="1093"/>
      <c r="E164" s="1095"/>
      <c r="F164" s="1095"/>
      <c r="G164" s="1093"/>
      <c r="H164" s="1103">
        <f t="shared" si="121"/>
        <v>0</v>
      </c>
      <c r="I164" s="1103">
        <f>合并调整抵消分录!H119</f>
        <v>0</v>
      </c>
      <c r="J164" s="1103">
        <f>合并调整抵消分录!I119</f>
        <v>0</v>
      </c>
      <c r="K164" s="1103">
        <f t="shared" si="122"/>
        <v>0</v>
      </c>
      <c r="L164" s="1093"/>
      <c r="M164" s="1093"/>
      <c r="N164" s="1093"/>
      <c r="O164" s="1093"/>
      <c r="P164" s="1093"/>
      <c r="Q164" s="1093"/>
      <c r="R164" s="1096">
        <f t="shared" si="123"/>
        <v>0</v>
      </c>
      <c r="S164" s="1103">
        <v>0</v>
      </c>
      <c r="T164" s="1103">
        <v>0</v>
      </c>
      <c r="U164" s="1119">
        <f t="shared" si="124"/>
        <v>0</v>
      </c>
      <c r="V164" s="1097"/>
      <c r="W164" s="1097"/>
      <c r="X164" s="1097"/>
      <c r="Y164" s="1097"/>
      <c r="Z164" s="1097"/>
      <c r="AA164" s="1097"/>
      <c r="AB164" s="1103">
        <f t="shared" si="125"/>
        <v>0</v>
      </c>
      <c r="AC164" s="1103">
        <f>合并调整抵消分录!N119</f>
        <v>0</v>
      </c>
      <c r="AD164" s="1103">
        <f>合并调整抵消分录!O119</f>
        <v>0</v>
      </c>
      <c r="AE164" s="1103">
        <f t="shared" si="126"/>
        <v>0</v>
      </c>
      <c r="AF164" s="1097"/>
      <c r="AG164" s="1097"/>
      <c r="AH164" s="1097"/>
      <c r="AI164" s="1097"/>
      <c r="AJ164" s="1097"/>
      <c r="AK164" s="1097"/>
      <c r="AL164" s="1103">
        <f t="shared" si="127"/>
        <v>0</v>
      </c>
      <c r="AM164" s="1103">
        <f>合并调整抵消分录!Q119</f>
        <v>0</v>
      </c>
      <c r="AN164" s="1103">
        <f>合并调整抵消分录!R119</f>
        <v>0</v>
      </c>
      <c r="AO164" s="1103">
        <f t="shared" si="128"/>
        <v>0</v>
      </c>
      <c r="AP164" s="1097">
        <v>0</v>
      </c>
      <c r="AQ164" s="1097">
        <v>0</v>
      </c>
      <c r="AR164" s="1103">
        <f t="shared" si="129"/>
        <v>0</v>
      </c>
      <c r="AS164" s="1103">
        <f>合并调整抵消分录!T119</f>
        <v>0</v>
      </c>
      <c r="AT164" s="1103">
        <f>合并调整抵消分录!U119</f>
        <v>0</v>
      </c>
      <c r="AU164" s="1103">
        <f t="shared" si="130"/>
        <v>0</v>
      </c>
      <c r="AV164" s="1048"/>
      <c r="AW164" s="1098">
        <f t="shared" si="111"/>
        <v>0</v>
      </c>
    </row>
    <row r="165" s="1018" customFormat="1" customHeight="1" spans="1:49">
      <c r="A165" s="1136" t="s">
        <v>774</v>
      </c>
      <c r="B165" s="1103">
        <f>B155-SUM(B156:B164)</f>
        <v>-178010824.21</v>
      </c>
      <c r="C165" s="1119">
        <f>C155-SUM(C156:C164)</f>
        <v>-14912251.58</v>
      </c>
      <c r="D165" s="1119">
        <f t="shared" ref="B165:H165" si="131">D155-SUM(D156:D164)</f>
        <v>-9947796.24</v>
      </c>
      <c r="E165" s="1121">
        <f t="shared" si="131"/>
        <v>1954307.33</v>
      </c>
      <c r="F165" s="1121">
        <f t="shared" si="131"/>
        <v>0</v>
      </c>
      <c r="G165" s="1103">
        <f t="shared" si="131"/>
        <v>0</v>
      </c>
      <c r="H165" s="1103">
        <f t="shared" si="131"/>
        <v>-200916564.7</v>
      </c>
      <c r="I165" s="1103">
        <f>SUM(I155:I164)</f>
        <v>23797154.583268</v>
      </c>
      <c r="J165" s="1103">
        <f>SUM(J155:J164)</f>
        <v>30145733.26</v>
      </c>
      <c r="K165" s="1103">
        <f>K155-SUM(K156:K164)</f>
        <v>-194567986.023268</v>
      </c>
      <c r="L165" s="1103">
        <v>-164766292.09</v>
      </c>
      <c r="M165" s="1103">
        <v>-9911248.13</v>
      </c>
      <c r="N165" s="1103">
        <v>-10142449.18</v>
      </c>
      <c r="O165" s="1103">
        <v>951987.69</v>
      </c>
      <c r="P165" s="1103">
        <f>P155-SUM(P156:P164)</f>
        <v>0</v>
      </c>
      <c r="Q165" s="1103">
        <f>Q155-SUM(Q156:Q164)</f>
        <v>0</v>
      </c>
      <c r="R165" s="1103">
        <f>L165+M165+N165+O165</f>
        <v>-183868001.71</v>
      </c>
      <c r="S165" s="1103">
        <v>113511067.473696</v>
      </c>
      <c r="T165" s="1103">
        <v>120430134.9015</v>
      </c>
      <c r="U165" s="1103">
        <f>U155-SUM(U156:U164)</f>
        <v>-175845162.612196</v>
      </c>
      <c r="V165" s="1103">
        <v>-139793299.12</v>
      </c>
      <c r="W165" s="1103">
        <v>-145097.89</v>
      </c>
      <c r="X165" s="1103">
        <v>-9635595.58</v>
      </c>
      <c r="Y165" s="1103">
        <f t="shared" ref="Y165:AB165" si="132">Y155-SUM(Y156:Y164)</f>
        <v>0</v>
      </c>
      <c r="Z165" s="1103">
        <f t="shared" si="132"/>
        <v>0</v>
      </c>
      <c r="AA165" s="1103">
        <f t="shared" si="132"/>
        <v>0</v>
      </c>
      <c r="AB165" s="1103">
        <f t="shared" si="125"/>
        <v>-149573992.59</v>
      </c>
      <c r="AC165" s="1103">
        <f>SUM(AC155:AC164)</f>
        <v>-1686066.67</v>
      </c>
      <c r="AD165" s="1103">
        <f>SUM(AD155:AD164)</f>
        <v>7015533.94</v>
      </c>
      <c r="AE165" s="1103">
        <f>AE155-SUM(AE156:AE164)</f>
        <v>-142825659.33</v>
      </c>
      <c r="AF165" s="1103">
        <f t="shared" ref="AF165:AL165" si="133">AF155-SUM(AF156:AF164)</f>
        <v>0</v>
      </c>
      <c r="AG165" s="1103">
        <f t="shared" si="133"/>
        <v>0</v>
      </c>
      <c r="AH165" s="1103">
        <f t="shared" si="133"/>
        <v>0</v>
      </c>
      <c r="AI165" s="1103">
        <f t="shared" si="133"/>
        <v>0</v>
      </c>
      <c r="AJ165" s="1103">
        <f t="shared" si="133"/>
        <v>0</v>
      </c>
      <c r="AK165" s="1103">
        <f t="shared" si="133"/>
        <v>0</v>
      </c>
      <c r="AL165" s="1103">
        <f t="shared" si="133"/>
        <v>0</v>
      </c>
      <c r="AM165" s="1103">
        <f>SUM(AM155:AM164)</f>
        <v>0</v>
      </c>
      <c r="AN165" s="1103">
        <f>SUM(AN155:AN164)</f>
        <v>0</v>
      </c>
      <c r="AO165" s="1103">
        <f>AO155-SUM(AO156:AO164)</f>
        <v>0</v>
      </c>
      <c r="AP165" s="1103">
        <f>AP155-SUM(AP156:AP164)</f>
        <v>0</v>
      </c>
      <c r="AQ165" s="1103">
        <f>AQ155-SUM(AQ156:AQ164)</f>
        <v>0</v>
      </c>
      <c r="AR165" s="1103">
        <f>AR155-SUM(AR156:AR164)</f>
        <v>0</v>
      </c>
      <c r="AS165" s="1103">
        <f>SUM(AS155:AS164)</f>
        <v>0</v>
      </c>
      <c r="AT165" s="1103">
        <f>SUM(AT155:AT164)</f>
        <v>0</v>
      </c>
      <c r="AU165" s="1103">
        <f>AU155-SUM(AU156:AU164)</f>
        <v>0</v>
      </c>
      <c r="AV165" s="1048"/>
      <c r="AW165" s="1098">
        <f t="shared" si="111"/>
        <v>-194567986.023268</v>
      </c>
    </row>
    <row r="166" customHeight="1" spans="1:49">
      <c r="B166" s="1022">
        <v>-94873655.65</v>
      </c>
      <c r="L166" s="1141">
        <v>-164601803.29</v>
      </c>
      <c r="M166" s="1141">
        <v>-9547699.41000003</v>
      </c>
      <c r="N166" s="1141">
        <v>-9633444.4</v>
      </c>
      <c r="O166" s="1141">
        <v>1018717.06</v>
      </c>
      <c r="P166" s="1021">
        <v>0</v>
      </c>
      <c r="Q166" s="1021">
        <v>0</v>
      </c>
      <c r="R166" s="1141">
        <v>-182764230.04</v>
      </c>
      <c r="S166" s="1141">
        <v>113511067.473696</v>
      </c>
      <c r="T166" s="1141">
        <v>120430134.9015</v>
      </c>
      <c r="U166" s="1022">
        <v>-175845162.612196</v>
      </c>
      <c r="AW166" s="1098">
        <f t="shared" si="111"/>
        <v>0</v>
      </c>
    </row>
    <row r="167" customHeight="1" spans="1:49">
      <c r="B167" s="1022">
        <f>B149-快速PL新!D36</f>
        <v>0</v>
      </c>
      <c r="C167" s="1023">
        <f>C149-新材料PL新!D32</f>
        <v>0</v>
      </c>
      <c r="D167" s="1023">
        <f>D149-精铸PL新!D36</f>
        <v>-3.49245965480804e-10</v>
      </c>
      <c r="E167" s="1142">
        <f>E149-热等静压PL新!D32</f>
        <v>2.44472175836563e-9</v>
      </c>
      <c r="G167" s="1143" t="s">
        <v>775</v>
      </c>
      <c r="H167" s="1022"/>
      <c r="J167" s="1023">
        <f>I152-J152</f>
        <v>-6652779.35</v>
      </c>
      <c r="R167" s="1144"/>
      <c r="V167" s="1145"/>
      <c r="AE167" s="1023"/>
      <c r="AR167" s="1023"/>
      <c r="AW167" s="1098">
        <f t="shared" si="111"/>
        <v>0</v>
      </c>
    </row>
    <row r="168" customHeight="1" spans="1:49">
      <c r="A168" s="1146" t="s">
        <v>284</v>
      </c>
      <c r="B168" s="1147" t="s">
        <v>776</v>
      </c>
      <c r="C168" s="1148" t="s">
        <v>777</v>
      </c>
      <c r="D168" s="1148" t="s">
        <v>778</v>
      </c>
      <c r="E168" s="1149" t="s">
        <v>779</v>
      </c>
      <c r="H168" s="1150"/>
      <c r="K168" s="1023">
        <f>U165</f>
        <v>-175845162.612196</v>
      </c>
      <c r="R168" s="1023"/>
      <c r="S168" s="1023">
        <f>S152-T152</f>
        <v>-6919545.42</v>
      </c>
      <c r="V168" s="1145"/>
      <c r="W168" s="1145"/>
      <c r="AC168" s="1023">
        <f>AC165-AD165</f>
        <v>-8701600.61</v>
      </c>
      <c r="AW168" s="1098">
        <f t="shared" si="111"/>
        <v>-175845162.612196</v>
      </c>
    </row>
    <row r="169" customHeight="1" spans="1:49">
      <c r="A169" s="1151" t="s">
        <v>780</v>
      </c>
      <c r="B169" s="1141">
        <f>U104</f>
        <v>260216000</v>
      </c>
      <c r="C169" s="1152">
        <v>78600000</v>
      </c>
      <c r="D169" s="1152"/>
      <c r="E169" s="1141">
        <f>B169+C169-D169</f>
        <v>338816000</v>
      </c>
      <c r="K169" s="1023">
        <f>K168-K152</f>
        <v>1370059.74780402</v>
      </c>
      <c r="AW169" s="1098">
        <f t="shared" si="111"/>
        <v>1370059.74780402</v>
      </c>
    </row>
    <row r="170" customHeight="1" spans="1:49">
      <c r="A170" s="1151" t="s">
        <v>173</v>
      </c>
      <c r="B170" s="1141">
        <f>U108</f>
        <v>105245344.33</v>
      </c>
      <c r="C170" s="1152"/>
      <c r="D170" s="1152">
        <f>合并调整抵消分录!H183+C169</f>
        <v>78600000</v>
      </c>
      <c r="E170" s="1141">
        <f>B170+C170-D170</f>
        <v>26645344.33</v>
      </c>
      <c r="F170" s="1141">
        <f>D170-C169</f>
        <v>0</v>
      </c>
      <c r="G170" s="1022"/>
    </row>
    <row r="171" customHeight="1" spans="1:49">
      <c r="A171" s="1151" t="s">
        <v>744</v>
      </c>
      <c r="B171" s="1141">
        <f>U110</f>
        <v>0</v>
      </c>
      <c r="C171" s="1152">
        <f>E171-B171</f>
        <v>0</v>
      </c>
      <c r="D171" s="1152"/>
      <c r="E171" s="1141">
        <f>K110</f>
        <v>0</v>
      </c>
      <c r="F171" s="1022"/>
      <c r="G171" s="1022"/>
    </row>
    <row r="172" customHeight="1" spans="1:49">
      <c r="A172" s="1151" t="s">
        <v>745</v>
      </c>
      <c r="B172" s="1141">
        <f>U111</f>
        <v>0</v>
      </c>
      <c r="C172" s="1152">
        <f>E172-B172</f>
        <v>0</v>
      </c>
      <c r="D172" s="1152"/>
      <c r="E172" s="1141">
        <f>K111</f>
        <v>0</v>
      </c>
      <c r="F172" s="1022"/>
      <c r="G172" s="1022"/>
    </row>
    <row r="173" customHeight="1" spans="1:49">
      <c r="A173" s="1151" t="s">
        <v>177</v>
      </c>
      <c r="B173" s="1141">
        <f>U112</f>
        <v>0</v>
      </c>
      <c r="C173" s="1152">
        <f>E173-B173</f>
        <v>0</v>
      </c>
      <c r="D173" s="1152"/>
      <c r="E173" s="1141">
        <f>K112</f>
        <v>0</v>
      </c>
    </row>
    <row r="174" customHeight="1" spans="1:49">
      <c r="A174" s="1151" t="s">
        <v>179</v>
      </c>
      <c r="B174" s="1141">
        <f>U114</f>
        <v>-175845162.612196</v>
      </c>
      <c r="C174" s="1152">
        <f>E174-B174</f>
        <v>-18722823.411072</v>
      </c>
      <c r="D174" s="1152"/>
      <c r="E174" s="1141">
        <f>K114</f>
        <v>-194567986.023268</v>
      </c>
    </row>
    <row r="175" customHeight="1" spans="1:49">
      <c r="A175" s="1151"/>
      <c r="B175" s="1141"/>
      <c r="C175" s="1152"/>
      <c r="D175" s="1152"/>
      <c r="E175" s="1141"/>
    </row>
    <row r="176" customHeight="1" spans="1:49">
      <c r="A176" s="1153"/>
      <c r="B176" s="1141">
        <f>SUM(B169:B174)</f>
        <v>189616181.717804</v>
      </c>
      <c r="C176" s="1152">
        <f t="shared" ref="C176:E176" si="134">SUM(C169:C174)</f>
        <v>59877176.588928</v>
      </c>
      <c r="D176" s="1152">
        <f t="shared" si="134"/>
        <v>78600000</v>
      </c>
      <c r="E176" s="1141">
        <f t="shared" si="134"/>
        <v>170893358.306732</v>
      </c>
    </row>
    <row r="177" customHeight="1" spans="3:3">
      <c r="C177" s="1154"/>
    </row>
    <row r="179" customHeight="1" spans="3:3">
      <c r="C179" s="1155"/>
    </row>
  </sheetData>
  <sheetProtection formatColumns="0"/>
  <mergeCells count="33">
    <mergeCell ref="B6:H6"/>
    <mergeCell ref="I6:J6"/>
    <mergeCell ref="L6:R6"/>
    <mergeCell ref="S6:T6"/>
    <mergeCell ref="V6:AB6"/>
    <mergeCell ref="AC6:AD6"/>
    <mergeCell ref="AF6:AL6"/>
    <mergeCell ref="AM6:AN6"/>
    <mergeCell ref="AP6:AR6"/>
    <mergeCell ref="AS6:AT6"/>
    <mergeCell ref="B61:H61"/>
    <mergeCell ref="I61:J61"/>
    <mergeCell ref="L61:R61"/>
    <mergeCell ref="S61:T61"/>
    <mergeCell ref="V61:AB61"/>
    <mergeCell ref="AC61:AD61"/>
    <mergeCell ref="AF61:AL61"/>
    <mergeCell ref="AM61:AN61"/>
    <mergeCell ref="AP61:AR61"/>
    <mergeCell ref="AS61:AT61"/>
    <mergeCell ref="B122:H122"/>
    <mergeCell ref="I122:J122"/>
    <mergeCell ref="L122:R122"/>
    <mergeCell ref="S122:T122"/>
    <mergeCell ref="V122:AB122"/>
    <mergeCell ref="AC122:AD122"/>
    <mergeCell ref="AF122:AL122"/>
    <mergeCell ref="AM122:AN122"/>
    <mergeCell ref="AP122:AR122"/>
    <mergeCell ref="AS122:AT122"/>
    <mergeCell ref="A6:A7"/>
    <mergeCell ref="A61:A62"/>
    <mergeCell ref="A122:A123"/>
  </mergeCells>
  <conditionalFormatting sqref="AU1:AU3">
    <cfRule type="cellIs" dxfId="39" priority="2" operator="notEqual">
      <formula>0</formula>
    </cfRule>
  </conditionalFormatting>
  <conditionalFormatting sqref="B1:H3 K1:K3">
    <cfRule type="cellIs" dxfId="39" priority="1" operator="notEqual">
      <formula>0</formula>
    </cfRule>
  </conditionalFormatting>
  <conditionalFormatting sqref="L1:R3 U1:AB3 AO1:AR3 AE1:AL3 AM3:AN3 AS3:AU3">
    <cfRule type="cellIs" dxfId="39" priority="3" operator="notEqual">
      <formula>0</formula>
    </cfRule>
  </conditionalFormatting>
  <hyperlinks>
    <hyperlink ref="L7" location="TB母公司!A1" display="母公司"/>
    <hyperlink ref="M7" location="TB子公司1!A1" display="=基本信息!C3"/>
    <hyperlink ref="N7" location="TB子公司2!A1" display="=基本信息!C4"/>
    <hyperlink ref="O7" location="TB子公司3!A1" display="=基本信息!C5"/>
    <hyperlink ref="P7" location="TB子公司4!A1" display="=基本信息!C6"/>
    <hyperlink ref="Q7" location="TB子公司5!A1" display="=基本信息!C7"/>
    <hyperlink ref="V7" location="TB母公司!A1" display="=L7"/>
    <hyperlink ref="W7" location="TB子公司1!A1" display="=M7"/>
    <hyperlink ref="X7" location="TB子公司2!A1" display="=N7"/>
    <hyperlink ref="Y7" location="TB子公司3!A1" display="=O7"/>
    <hyperlink ref="Z7" location="TB子公司4!A1" display="=P7"/>
    <hyperlink ref="AA7" location="TB子公司5!A1" display="=Q7"/>
    <hyperlink ref="AF7" location="TB母公司!A1" display="=L7"/>
    <hyperlink ref="AG7" location="TB子公司1!A1" display="=M7"/>
    <hyperlink ref="AH7" location="TB子公司2!A1" display="=N7"/>
    <hyperlink ref="AI7" location="TB子公司3!A1" display="=O7"/>
    <hyperlink ref="AJ7" location="TB子公司4!A1" display="=P7"/>
    <hyperlink ref="AK7" location="TB子公司5!A1" display="=Q7"/>
    <hyperlink ref="AP7" location="TB母公司!A1" display="=V7"/>
    <hyperlink ref="AQ7" location="TB子公司1!A1" display="=W7"/>
    <hyperlink ref="B7" location="TB母公司!A1" display="母公司"/>
    <hyperlink ref="C7" location="TB子公司1!A1" display="=基本信息!C3"/>
    <hyperlink ref="D7" location="TB子公司2!A1" display="=基本信息!C4"/>
    <hyperlink ref="E7" location="TB子公司3!A1" display="=基本信息!C5"/>
    <hyperlink ref="F7" location="TB子公司4!A1" display="=基本信息!C6"/>
    <hyperlink ref="G7" location="TB子公司5!A1" display="=基本信息!C7"/>
  </hyperlinks>
  <pageMargins left="0.699305555555556" right="0.699305555555556" top="0.75" bottom="0.75" header="0.3" footer="0.3"/>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theme="5" tint="0.8"/>
  </sheetPr>
  <dimension ref="A1:Y415"/>
  <sheetViews>
    <sheetView topLeftCell="A183" workbookViewId="0">
      <selection activeCell="B198" sqref="B198"/>
    </sheetView>
  </sheetViews>
  <sheetFormatPr defaultColWidth="9" defaultRowHeight="14.25"/>
  <cols>
    <col min="1" max="1" width="5.125" style="910" customWidth="1"/>
    <col min="2" max="2" width="19" style="910" customWidth="1"/>
    <col min="3" max="3" width="20.75" style="910" customWidth="1"/>
    <col min="4" max="4" width="13.25" style="910" customWidth="1"/>
    <col min="5" max="6" width="19.3583333333333" style="910" customWidth="1"/>
    <col min="7" max="7" width="4.56666666666667" style="910" customWidth="1"/>
    <col min="8" max="8" width="17.375" style="910" customWidth="1"/>
    <col min="9" max="9" width="17.125" style="910" customWidth="1"/>
    <col min="10" max="10" width="4.625" style="910" customWidth="1"/>
    <col min="11" max="11" width="14.75" style="910" customWidth="1"/>
    <col min="12" max="12" width="14.125" style="910" customWidth="1"/>
    <col min="13" max="13" width="4.625" style="910" customWidth="1"/>
    <col min="14" max="15" width="13.375" style="910" customWidth="1"/>
    <col min="16" max="16" width="4.625" style="910" customWidth="1"/>
    <col min="17" max="18" width="13.75" style="910" customWidth="1"/>
    <col min="19" max="19" width="4.625" style="910" customWidth="1"/>
    <col min="20" max="21" width="13.375" style="910" hidden="1" customWidth="1"/>
    <col min="22" max="22" width="5" style="910" hidden="1" customWidth="1"/>
    <col min="23" max="23" width="12.625" style="910" customWidth="1"/>
    <col min="24" max="24" width="13.375" style="910" customWidth="1"/>
    <col min="25" max="25" width="9.625" style="910" customWidth="1"/>
    <col min="26" max="16384" width="9" style="910"/>
  </cols>
  <sheetData>
    <row r="1" s="906" customFormat="1" ht="15" hidden="1" customHeight="1" spans="1:21">
      <c r="A1" s="911"/>
      <c r="B1" s="911"/>
      <c r="C1" s="911"/>
      <c r="D1" s="911"/>
      <c r="E1" s="911"/>
      <c r="F1" s="911"/>
      <c r="G1" s="911"/>
      <c r="H1" s="911" t="str">
        <f>基本信息!C13&amp;"调整分录汇总"</f>
        <v>2024年度调整分录汇总</v>
      </c>
      <c r="I1" s="911"/>
      <c r="J1" s="911"/>
      <c r="K1" s="911" t="str">
        <f>基本信息!C12&amp;"调整分录汇总"</f>
        <v>2023年度调整分录汇总</v>
      </c>
      <c r="L1" s="911"/>
      <c r="M1" s="911"/>
      <c r="N1" s="911" t="str">
        <f>基本信息!C11&amp;"调整分录汇总"</f>
        <v>2022年度调整分录汇总</v>
      </c>
      <c r="O1" s="911"/>
      <c r="P1" s="911"/>
      <c r="Q1" s="911" t="str">
        <f>基本信息!C10&amp;"调整分录汇总"</f>
        <v>调整分录汇总</v>
      </c>
      <c r="R1" s="911"/>
      <c r="S1" s="911"/>
      <c r="T1" s="911" t="s">
        <v>781</v>
      </c>
      <c r="U1" s="911"/>
    </row>
    <row r="2" s="906" customFormat="1" ht="15" customHeight="1" spans="1:21">
      <c r="A2" s="911"/>
      <c r="B2" s="911"/>
      <c r="C2" s="911"/>
      <c r="D2" s="912"/>
      <c r="E2" s="912" t="s">
        <v>782</v>
      </c>
      <c r="F2" s="912" t="s">
        <v>783</v>
      </c>
      <c r="G2" s="912"/>
      <c r="H2" s="912" t="s">
        <v>782</v>
      </c>
      <c r="I2" s="912" t="s">
        <v>783</v>
      </c>
      <c r="J2" s="911"/>
      <c r="K2" s="912" t="s">
        <v>782</v>
      </c>
      <c r="L2" s="912" t="s">
        <v>783</v>
      </c>
      <c r="M2" s="911"/>
      <c r="N2" s="912" t="s">
        <v>782</v>
      </c>
      <c r="O2" s="912" t="s">
        <v>783</v>
      </c>
      <c r="P2" s="911"/>
      <c r="Q2" s="912" t="s">
        <v>782</v>
      </c>
      <c r="R2" s="912" t="s">
        <v>783</v>
      </c>
      <c r="S2" s="911"/>
      <c r="T2" s="912" t="s">
        <v>782</v>
      </c>
      <c r="U2" s="912" t="s">
        <v>783</v>
      </c>
    </row>
    <row r="3" s="906" customFormat="1" ht="15" customHeight="1" spans="1:21">
      <c r="A3" s="911"/>
      <c r="B3" s="911"/>
      <c r="C3" s="911" t="str">
        <f>TRIM(合并试算平衡表!A9)</f>
        <v>货币资金</v>
      </c>
      <c r="D3" s="913"/>
      <c r="E3" s="914">
        <f t="shared" ref="E3:E66" si="0">SUMIFS(E$134:E$407,$C$134:$C$407,$C3,$G$134:$G$407,"Y")</f>
        <v>0</v>
      </c>
      <c r="F3" s="914">
        <f t="shared" ref="F3:F9" si="1">SUMIFS(F$134:F$407,$C$134:$C$407,$C3,$G$134:$G$407,"Y")</f>
        <v>0</v>
      </c>
      <c r="G3" s="913"/>
      <c r="H3" s="913">
        <f>SUMIFS(H$134:H$407,$C$134:$C$407,$C3,$J$134:$J$407,"Y")</f>
        <v>0</v>
      </c>
      <c r="I3" s="913">
        <f t="shared" ref="H3:I22" si="2">SUMIFS(I$134:I$407,$C$134:$C$407,$C3,$J$134:$J$407,"Y")</f>
        <v>0</v>
      </c>
      <c r="J3" s="911"/>
      <c r="K3" s="913">
        <f t="shared" ref="K3:L22" si="3">SUMIFS(K$134:K$407,$C$134:$C$407,$C3,$M$134:$M$407,"Y")</f>
        <v>0</v>
      </c>
      <c r="L3" s="913">
        <f t="shared" si="3"/>
        <v>0</v>
      </c>
      <c r="M3" s="911"/>
      <c r="N3" s="913">
        <f t="shared" ref="N3:O22" si="4">SUMIFS(N$135:N$407,$C$135:$C$407,$C3,$P$135:$P$407,"Y")</f>
        <v>0</v>
      </c>
      <c r="O3" s="913">
        <f t="shared" si="4"/>
        <v>0</v>
      </c>
      <c r="P3" s="911"/>
      <c r="Q3" s="913">
        <f t="shared" ref="Q3:R22" si="5">SUMIFS(Q$135:Q$407,$C$135:$C$407,$C3,$S$135:$S$407,"Y")</f>
        <v>0</v>
      </c>
      <c r="R3" s="913">
        <f t="shared" si="5"/>
        <v>0</v>
      </c>
      <c r="S3" s="911"/>
      <c r="T3" s="913">
        <f t="shared" ref="T3:U22" si="6">SUMIFS(T$135:T$407,$C$135:$C$407,$C3,$V$135:$V$407,"Y")</f>
        <v>0</v>
      </c>
      <c r="U3" s="913">
        <f t="shared" si="6"/>
        <v>0</v>
      </c>
    </row>
    <row r="4" s="906" customFormat="1" ht="15" customHeight="1" spans="1:21">
      <c r="A4" s="911"/>
      <c r="B4" s="911"/>
      <c r="C4" s="911" t="str">
        <f>TRIM(合并试算平衡表!A10)</f>
        <v>△结算备付金</v>
      </c>
      <c r="D4" s="913"/>
      <c r="E4" s="914">
        <f t="shared" si="0"/>
        <v>0</v>
      </c>
      <c r="F4" s="914">
        <f t="shared" si="1"/>
        <v>0</v>
      </c>
      <c r="G4" s="913"/>
      <c r="H4" s="913">
        <f t="shared" si="2"/>
        <v>0</v>
      </c>
      <c r="I4" s="913">
        <f t="shared" si="2"/>
        <v>0</v>
      </c>
      <c r="J4" s="911"/>
      <c r="K4" s="913">
        <f t="shared" si="3"/>
        <v>0</v>
      </c>
      <c r="L4" s="913">
        <f t="shared" si="3"/>
        <v>0</v>
      </c>
      <c r="M4" s="911"/>
      <c r="N4" s="913">
        <f t="shared" si="4"/>
        <v>0</v>
      </c>
      <c r="O4" s="913">
        <f t="shared" si="4"/>
        <v>0</v>
      </c>
      <c r="P4" s="911"/>
      <c r="Q4" s="913">
        <f t="shared" si="5"/>
        <v>0</v>
      </c>
      <c r="R4" s="913">
        <f t="shared" si="5"/>
        <v>0</v>
      </c>
      <c r="S4" s="911"/>
      <c r="T4" s="913">
        <f t="shared" si="6"/>
        <v>0</v>
      </c>
      <c r="U4" s="913">
        <f t="shared" si="6"/>
        <v>0</v>
      </c>
    </row>
    <row r="5" s="906" customFormat="1" ht="15" customHeight="1" spans="1:21">
      <c r="A5" s="911"/>
      <c r="B5" s="911"/>
      <c r="C5" s="911" t="str">
        <f>TRIM(合并试算平衡表!A11)</f>
        <v>△拆出资金</v>
      </c>
      <c r="D5" s="913"/>
      <c r="E5" s="914">
        <f t="shared" si="0"/>
        <v>0</v>
      </c>
      <c r="F5" s="914">
        <f t="shared" si="1"/>
        <v>0</v>
      </c>
      <c r="G5" s="913"/>
      <c r="H5" s="913">
        <f t="shared" si="2"/>
        <v>0</v>
      </c>
      <c r="I5" s="913">
        <f t="shared" si="2"/>
        <v>0</v>
      </c>
      <c r="J5" s="911"/>
      <c r="K5" s="913">
        <f t="shared" si="3"/>
        <v>0</v>
      </c>
      <c r="L5" s="913">
        <f t="shared" si="3"/>
        <v>0</v>
      </c>
      <c r="M5" s="911"/>
      <c r="N5" s="913">
        <f t="shared" si="4"/>
        <v>0</v>
      </c>
      <c r="O5" s="913">
        <f t="shared" si="4"/>
        <v>0</v>
      </c>
      <c r="P5" s="911"/>
      <c r="Q5" s="913">
        <f t="shared" si="5"/>
        <v>0</v>
      </c>
      <c r="R5" s="913">
        <f t="shared" si="5"/>
        <v>0</v>
      </c>
      <c r="S5" s="911"/>
      <c r="T5" s="913">
        <f t="shared" si="6"/>
        <v>0</v>
      </c>
      <c r="U5" s="913">
        <f t="shared" si="6"/>
        <v>0</v>
      </c>
    </row>
    <row r="6" s="906" customFormat="1" ht="15" customHeight="1" spans="1:21">
      <c r="A6" s="911"/>
      <c r="B6" s="911"/>
      <c r="C6" s="911" t="str">
        <f>TRIM(合并试算平衡表!A12)</f>
        <v>交易性金融资产</v>
      </c>
      <c r="D6" s="913"/>
      <c r="E6" s="914">
        <f t="shared" si="0"/>
        <v>0</v>
      </c>
      <c r="F6" s="914">
        <f t="shared" si="1"/>
        <v>0</v>
      </c>
      <c r="G6" s="913"/>
      <c r="H6" s="913">
        <f t="shared" si="2"/>
        <v>0</v>
      </c>
      <c r="I6" s="913">
        <f t="shared" si="2"/>
        <v>0</v>
      </c>
      <c r="J6" s="911"/>
      <c r="K6" s="913">
        <f t="shared" si="3"/>
        <v>0</v>
      </c>
      <c r="L6" s="913">
        <f t="shared" si="3"/>
        <v>0</v>
      </c>
      <c r="M6" s="911"/>
      <c r="N6" s="913">
        <f t="shared" si="4"/>
        <v>0</v>
      </c>
      <c r="O6" s="913">
        <f t="shared" si="4"/>
        <v>0</v>
      </c>
      <c r="P6" s="911"/>
      <c r="Q6" s="913">
        <f t="shared" si="5"/>
        <v>0</v>
      </c>
      <c r="R6" s="913">
        <f t="shared" si="5"/>
        <v>0</v>
      </c>
      <c r="S6" s="911"/>
      <c r="T6" s="913">
        <f t="shared" si="6"/>
        <v>0</v>
      </c>
      <c r="U6" s="913">
        <f t="shared" si="6"/>
        <v>0</v>
      </c>
    </row>
    <row r="7" s="906" customFormat="1" ht="15" customHeight="1" spans="1:21">
      <c r="A7" s="911"/>
      <c r="B7" s="911"/>
      <c r="C7" s="911" t="str">
        <f>TRIM(合并试算平衡表!A13)</f>
        <v>衍生金融资产</v>
      </c>
      <c r="D7" s="913"/>
      <c r="E7" s="914">
        <f t="shared" si="0"/>
        <v>0</v>
      </c>
      <c r="F7" s="914">
        <f t="shared" si="1"/>
        <v>0</v>
      </c>
      <c r="G7" s="913"/>
      <c r="H7" s="913">
        <f t="shared" si="2"/>
        <v>0</v>
      </c>
      <c r="I7" s="913">
        <f t="shared" si="2"/>
        <v>0</v>
      </c>
      <c r="J7" s="911"/>
      <c r="K7" s="913">
        <f t="shared" si="3"/>
        <v>0</v>
      </c>
      <c r="L7" s="913">
        <f t="shared" si="3"/>
        <v>0</v>
      </c>
      <c r="M7" s="911"/>
      <c r="N7" s="913">
        <f t="shared" si="4"/>
        <v>0</v>
      </c>
      <c r="O7" s="913">
        <f t="shared" si="4"/>
        <v>0</v>
      </c>
      <c r="P7" s="911"/>
      <c r="Q7" s="913">
        <f t="shared" si="5"/>
        <v>0</v>
      </c>
      <c r="R7" s="913">
        <f t="shared" si="5"/>
        <v>0</v>
      </c>
      <c r="S7" s="911"/>
      <c r="T7" s="913">
        <f t="shared" si="6"/>
        <v>0</v>
      </c>
      <c r="U7" s="913">
        <f t="shared" si="6"/>
        <v>0</v>
      </c>
    </row>
    <row r="8" s="906" customFormat="1" ht="15" customHeight="1" spans="1:21">
      <c r="A8" s="911"/>
      <c r="B8" s="911"/>
      <c r="C8" s="911" t="str">
        <f>TRIM(合并试算平衡表!A14)</f>
        <v>应收票据</v>
      </c>
      <c r="D8" s="913"/>
      <c r="E8" s="914">
        <f t="shared" si="0"/>
        <v>0</v>
      </c>
      <c r="F8" s="914">
        <f t="shared" si="1"/>
        <v>0</v>
      </c>
      <c r="G8" s="913"/>
      <c r="H8" s="913">
        <f t="shared" si="2"/>
        <v>0</v>
      </c>
      <c r="I8" s="913">
        <f t="shared" si="2"/>
        <v>0</v>
      </c>
      <c r="J8" s="911"/>
      <c r="K8" s="913">
        <f t="shared" si="3"/>
        <v>0</v>
      </c>
      <c r="L8" s="913">
        <f t="shared" si="3"/>
        <v>0</v>
      </c>
      <c r="M8" s="911"/>
      <c r="N8" s="913">
        <f t="shared" si="4"/>
        <v>0</v>
      </c>
      <c r="O8" s="913">
        <f t="shared" si="4"/>
        <v>0</v>
      </c>
      <c r="P8" s="911"/>
      <c r="Q8" s="913">
        <f t="shared" si="5"/>
        <v>0</v>
      </c>
      <c r="R8" s="913">
        <f t="shared" si="5"/>
        <v>0</v>
      </c>
      <c r="S8" s="911"/>
      <c r="T8" s="913">
        <f t="shared" si="6"/>
        <v>0</v>
      </c>
      <c r="U8" s="913">
        <f t="shared" si="6"/>
        <v>0</v>
      </c>
    </row>
    <row r="9" s="906" customFormat="1" ht="15" customHeight="1" spans="1:21">
      <c r="A9" s="911"/>
      <c r="B9" s="911"/>
      <c r="C9" s="911" t="str">
        <f>TRIM(合并试算平衡表!A15)</f>
        <v>应收账款</v>
      </c>
      <c r="D9" s="913"/>
      <c r="E9" s="914">
        <f t="shared" si="0"/>
        <v>0</v>
      </c>
      <c r="F9" s="914">
        <f t="shared" si="1"/>
        <v>83722522.54</v>
      </c>
      <c r="G9" s="913"/>
      <c r="H9" s="913">
        <f t="shared" si="2"/>
        <v>0</v>
      </c>
      <c r="I9" s="913">
        <f t="shared" si="2"/>
        <v>63078608.77</v>
      </c>
      <c r="J9" s="911"/>
      <c r="K9" s="913">
        <f t="shared" si="3"/>
        <v>0</v>
      </c>
      <c r="L9" s="913">
        <f t="shared" si="3"/>
        <v>21170257.07</v>
      </c>
      <c r="M9" s="911"/>
      <c r="N9" s="913">
        <f t="shared" si="4"/>
        <v>0</v>
      </c>
      <c r="O9" s="913">
        <f t="shared" si="4"/>
        <v>4469405.81</v>
      </c>
      <c r="P9" s="911"/>
      <c r="Q9" s="913">
        <f t="shared" si="5"/>
        <v>0</v>
      </c>
      <c r="R9" s="913">
        <f t="shared" si="5"/>
        <v>0</v>
      </c>
      <c r="S9" s="911"/>
      <c r="T9" s="913">
        <f t="shared" si="6"/>
        <v>0</v>
      </c>
      <c r="U9" s="913">
        <f t="shared" si="6"/>
        <v>0</v>
      </c>
    </row>
    <row r="10" s="906" customFormat="1" ht="15" customHeight="1" spans="1:21">
      <c r="A10" s="911"/>
      <c r="B10" s="911"/>
      <c r="C10" s="911" t="str">
        <f>TRIM(合并试算平衡表!A17)</f>
        <v>预付款项</v>
      </c>
      <c r="D10" s="913"/>
      <c r="E10" s="914">
        <f t="shared" si="0"/>
        <v>0</v>
      </c>
      <c r="F10" s="914">
        <f t="shared" ref="F9:F72" si="7">SUMIFS(F$134:F$407,$C$134:$C$407,$C10,$G$134:$G$407,"Y")</f>
        <v>0</v>
      </c>
      <c r="G10" s="913"/>
      <c r="H10" s="913">
        <f t="shared" si="2"/>
        <v>0</v>
      </c>
      <c r="I10" s="913">
        <f t="shared" si="2"/>
        <v>0</v>
      </c>
      <c r="J10" s="911"/>
      <c r="K10" s="913">
        <f t="shared" si="3"/>
        <v>0</v>
      </c>
      <c r="L10" s="913">
        <f t="shared" si="3"/>
        <v>0</v>
      </c>
      <c r="M10" s="911"/>
      <c r="N10" s="913">
        <f t="shared" si="4"/>
        <v>0</v>
      </c>
      <c r="O10" s="913">
        <f t="shared" si="4"/>
        <v>1408058.12</v>
      </c>
      <c r="P10" s="911"/>
      <c r="Q10" s="913">
        <f t="shared" si="5"/>
        <v>0</v>
      </c>
      <c r="R10" s="913">
        <f t="shared" si="5"/>
        <v>0</v>
      </c>
      <c r="S10" s="911"/>
      <c r="T10" s="913">
        <f t="shared" si="6"/>
        <v>0</v>
      </c>
      <c r="U10" s="913">
        <f t="shared" si="6"/>
        <v>0</v>
      </c>
    </row>
    <row r="11" s="906" customFormat="1" ht="15" customHeight="1" spans="1:21">
      <c r="A11" s="911"/>
      <c r="B11" s="911"/>
      <c r="C11" s="911" t="str">
        <f>TRIM(合并试算平衡表!A18)</f>
        <v>△应收保费</v>
      </c>
      <c r="D11" s="913"/>
      <c r="E11" s="914">
        <f t="shared" si="0"/>
        <v>0</v>
      </c>
      <c r="F11" s="914">
        <f t="shared" si="7"/>
        <v>0</v>
      </c>
      <c r="G11" s="913"/>
      <c r="H11" s="913">
        <f t="shared" si="2"/>
        <v>0</v>
      </c>
      <c r="I11" s="913">
        <f t="shared" si="2"/>
        <v>0</v>
      </c>
      <c r="J11" s="911"/>
      <c r="K11" s="913">
        <f t="shared" si="3"/>
        <v>0</v>
      </c>
      <c r="L11" s="913">
        <f t="shared" si="3"/>
        <v>0</v>
      </c>
      <c r="M11" s="911"/>
      <c r="N11" s="913">
        <f t="shared" si="4"/>
        <v>0</v>
      </c>
      <c r="O11" s="913">
        <f t="shared" si="4"/>
        <v>0</v>
      </c>
      <c r="P11" s="911"/>
      <c r="Q11" s="913">
        <f t="shared" si="5"/>
        <v>0</v>
      </c>
      <c r="R11" s="913">
        <f t="shared" si="5"/>
        <v>0</v>
      </c>
      <c r="S11" s="911"/>
      <c r="T11" s="913">
        <f t="shared" si="6"/>
        <v>0</v>
      </c>
      <c r="U11" s="913">
        <f t="shared" si="6"/>
        <v>0</v>
      </c>
    </row>
    <row r="12" s="906" customFormat="1" ht="15" customHeight="1" spans="1:21">
      <c r="A12" s="911"/>
      <c r="B12" s="911"/>
      <c r="C12" s="911" t="str">
        <f>TRIM(合并试算平衡表!A19)</f>
        <v>△应收分保账款</v>
      </c>
      <c r="D12" s="913"/>
      <c r="E12" s="914">
        <f t="shared" si="0"/>
        <v>0</v>
      </c>
      <c r="F12" s="914">
        <f t="shared" si="7"/>
        <v>0</v>
      </c>
      <c r="G12" s="913"/>
      <c r="H12" s="913">
        <f t="shared" si="2"/>
        <v>0</v>
      </c>
      <c r="I12" s="913">
        <f t="shared" si="2"/>
        <v>0</v>
      </c>
      <c r="J12" s="911"/>
      <c r="K12" s="913">
        <f t="shared" si="3"/>
        <v>0</v>
      </c>
      <c r="L12" s="913">
        <f t="shared" si="3"/>
        <v>0</v>
      </c>
      <c r="M12" s="911"/>
      <c r="N12" s="913">
        <f t="shared" si="4"/>
        <v>0</v>
      </c>
      <c r="O12" s="913">
        <f t="shared" si="4"/>
        <v>0</v>
      </c>
      <c r="P12" s="911"/>
      <c r="Q12" s="913">
        <f t="shared" si="5"/>
        <v>0</v>
      </c>
      <c r="R12" s="913">
        <f t="shared" si="5"/>
        <v>0</v>
      </c>
      <c r="S12" s="911"/>
      <c r="T12" s="913">
        <f t="shared" si="6"/>
        <v>0</v>
      </c>
      <c r="U12" s="913">
        <f t="shared" si="6"/>
        <v>0</v>
      </c>
    </row>
    <row r="13" s="906" customFormat="1" ht="15" customHeight="1" spans="1:21">
      <c r="A13" s="911"/>
      <c r="B13" s="911"/>
      <c r="C13" s="911" t="str">
        <f>TRIM(合并试算平衡表!A20)</f>
        <v>△应收分保合同准备金</v>
      </c>
      <c r="D13" s="913"/>
      <c r="E13" s="914">
        <f t="shared" si="0"/>
        <v>0</v>
      </c>
      <c r="F13" s="914">
        <f t="shared" si="7"/>
        <v>0</v>
      </c>
      <c r="G13" s="913"/>
      <c r="H13" s="913">
        <f t="shared" si="2"/>
        <v>0</v>
      </c>
      <c r="I13" s="913">
        <f t="shared" si="2"/>
        <v>0</v>
      </c>
      <c r="J13" s="911"/>
      <c r="K13" s="913">
        <f t="shared" si="3"/>
        <v>0</v>
      </c>
      <c r="L13" s="913">
        <f t="shared" si="3"/>
        <v>0</v>
      </c>
      <c r="M13" s="911"/>
      <c r="N13" s="913">
        <f t="shared" si="4"/>
        <v>0</v>
      </c>
      <c r="O13" s="913">
        <f t="shared" si="4"/>
        <v>0</v>
      </c>
      <c r="P13" s="911"/>
      <c r="Q13" s="913">
        <f t="shared" si="5"/>
        <v>0</v>
      </c>
      <c r="R13" s="913">
        <f t="shared" si="5"/>
        <v>0</v>
      </c>
      <c r="S13" s="911"/>
      <c r="T13" s="913">
        <f t="shared" si="6"/>
        <v>0</v>
      </c>
      <c r="U13" s="913">
        <f t="shared" si="6"/>
        <v>0</v>
      </c>
    </row>
    <row r="14" s="906" customFormat="1" ht="15" customHeight="1" spans="1:21">
      <c r="A14" s="911"/>
      <c r="B14" s="911"/>
      <c r="C14" s="911" t="str">
        <f>TRIM(合并试算平衡表!A21)</f>
        <v>应收利息</v>
      </c>
      <c r="D14" s="913"/>
      <c r="E14" s="914">
        <f t="shared" si="0"/>
        <v>0</v>
      </c>
      <c r="F14" s="914">
        <f t="shared" si="7"/>
        <v>0</v>
      </c>
      <c r="G14" s="913"/>
      <c r="H14" s="913">
        <f t="shared" si="2"/>
        <v>0</v>
      </c>
      <c r="I14" s="913">
        <f t="shared" si="2"/>
        <v>0</v>
      </c>
      <c r="J14" s="911"/>
      <c r="K14" s="913">
        <f t="shared" si="3"/>
        <v>0</v>
      </c>
      <c r="L14" s="913">
        <f t="shared" si="3"/>
        <v>0</v>
      </c>
      <c r="M14" s="911"/>
      <c r="N14" s="913">
        <f t="shared" si="4"/>
        <v>0</v>
      </c>
      <c r="O14" s="913">
        <f t="shared" si="4"/>
        <v>0</v>
      </c>
      <c r="P14" s="911"/>
      <c r="Q14" s="913">
        <f t="shared" si="5"/>
        <v>0</v>
      </c>
      <c r="R14" s="913">
        <f t="shared" si="5"/>
        <v>0</v>
      </c>
      <c r="S14" s="911"/>
      <c r="T14" s="913">
        <f t="shared" si="6"/>
        <v>0</v>
      </c>
      <c r="U14" s="913">
        <f t="shared" si="6"/>
        <v>0</v>
      </c>
    </row>
    <row r="15" s="906" customFormat="1" ht="15" customHeight="1" spans="1:21">
      <c r="A15" s="911"/>
      <c r="B15" s="911"/>
      <c r="C15" s="911" t="str">
        <f>TRIM(合并试算平衡表!A22)</f>
        <v>应收股利</v>
      </c>
      <c r="D15" s="913"/>
      <c r="E15" s="914">
        <f t="shared" si="0"/>
        <v>0</v>
      </c>
      <c r="F15" s="914">
        <f t="shared" si="7"/>
        <v>0</v>
      </c>
      <c r="G15" s="913"/>
      <c r="H15" s="913">
        <f t="shared" si="2"/>
        <v>0</v>
      </c>
      <c r="I15" s="913">
        <f t="shared" si="2"/>
        <v>0</v>
      </c>
      <c r="J15" s="911"/>
      <c r="K15" s="913">
        <f t="shared" si="3"/>
        <v>0</v>
      </c>
      <c r="L15" s="913">
        <f t="shared" si="3"/>
        <v>0</v>
      </c>
      <c r="M15" s="911"/>
      <c r="N15" s="913">
        <f t="shared" si="4"/>
        <v>0</v>
      </c>
      <c r="O15" s="913">
        <f t="shared" si="4"/>
        <v>0</v>
      </c>
      <c r="P15" s="911"/>
      <c r="Q15" s="913">
        <f t="shared" si="5"/>
        <v>0</v>
      </c>
      <c r="R15" s="913">
        <f t="shared" si="5"/>
        <v>0</v>
      </c>
      <c r="S15" s="911"/>
      <c r="T15" s="913">
        <f t="shared" si="6"/>
        <v>0</v>
      </c>
      <c r="U15" s="913">
        <f t="shared" si="6"/>
        <v>0</v>
      </c>
    </row>
    <row r="16" s="906" customFormat="1" ht="15" customHeight="1" spans="1:21">
      <c r="A16" s="911"/>
      <c r="B16" s="911"/>
      <c r="C16" s="911" t="str">
        <f>TRIM(合并试算平衡表!A23)</f>
        <v>其他应收款</v>
      </c>
      <c r="D16" s="913"/>
      <c r="E16" s="914">
        <f t="shared" si="0"/>
        <v>0</v>
      </c>
      <c r="F16" s="914">
        <f t="shared" si="7"/>
        <v>0</v>
      </c>
      <c r="G16" s="913"/>
      <c r="H16" s="913">
        <f t="shared" si="2"/>
        <v>0</v>
      </c>
      <c r="I16" s="913">
        <f t="shared" si="2"/>
        <v>336853</v>
      </c>
      <c r="J16" s="911"/>
      <c r="K16" s="913">
        <f t="shared" si="3"/>
        <v>0</v>
      </c>
      <c r="L16" s="913">
        <f t="shared" si="3"/>
        <v>1668414.24</v>
      </c>
      <c r="M16" s="911"/>
      <c r="N16" s="913">
        <f t="shared" si="4"/>
        <v>0</v>
      </c>
      <c r="O16" s="913">
        <f t="shared" si="4"/>
        <v>559382.32</v>
      </c>
      <c r="P16" s="911"/>
      <c r="Q16" s="913">
        <f t="shared" si="5"/>
        <v>0</v>
      </c>
      <c r="R16" s="913">
        <f t="shared" si="5"/>
        <v>0</v>
      </c>
      <c r="S16" s="911"/>
      <c r="T16" s="913">
        <f t="shared" si="6"/>
        <v>0</v>
      </c>
      <c r="U16" s="913">
        <f t="shared" si="6"/>
        <v>0</v>
      </c>
    </row>
    <row r="17" s="906" customFormat="1" ht="15" customHeight="1" spans="1:21">
      <c r="A17" s="911"/>
      <c r="B17" s="911"/>
      <c r="C17" s="911" t="str">
        <f>TRIM(合并试算平衡表!A24)</f>
        <v>△买入返售金融资产</v>
      </c>
      <c r="D17" s="913"/>
      <c r="E17" s="914">
        <f t="shared" si="0"/>
        <v>0</v>
      </c>
      <c r="F17" s="914">
        <f t="shared" si="7"/>
        <v>0</v>
      </c>
      <c r="G17" s="913"/>
      <c r="H17" s="913">
        <f t="shared" si="2"/>
        <v>0</v>
      </c>
      <c r="I17" s="913">
        <f t="shared" si="2"/>
        <v>0</v>
      </c>
      <c r="J17" s="911"/>
      <c r="K17" s="913">
        <f t="shared" si="3"/>
        <v>0</v>
      </c>
      <c r="L17" s="913">
        <f t="shared" si="3"/>
        <v>0</v>
      </c>
      <c r="M17" s="911"/>
      <c r="N17" s="913">
        <f t="shared" si="4"/>
        <v>0</v>
      </c>
      <c r="O17" s="913">
        <f t="shared" si="4"/>
        <v>0</v>
      </c>
      <c r="P17" s="911"/>
      <c r="Q17" s="913">
        <f t="shared" si="5"/>
        <v>0</v>
      </c>
      <c r="R17" s="913">
        <f t="shared" si="5"/>
        <v>0</v>
      </c>
      <c r="S17" s="911"/>
      <c r="T17" s="913">
        <f t="shared" si="6"/>
        <v>0</v>
      </c>
      <c r="U17" s="913">
        <f t="shared" si="6"/>
        <v>0</v>
      </c>
    </row>
    <row r="18" s="906" customFormat="1" ht="15" customHeight="1" spans="1:21">
      <c r="A18" s="911"/>
      <c r="B18" s="911"/>
      <c r="C18" s="911" t="str">
        <f>TRIM(合并试算平衡表!A25)</f>
        <v>存货</v>
      </c>
      <c r="D18" s="913"/>
      <c r="E18" s="914">
        <f t="shared" si="0"/>
        <v>0</v>
      </c>
      <c r="F18" s="914">
        <f t="shared" si="7"/>
        <v>21888.38</v>
      </c>
      <c r="G18" s="913"/>
      <c r="H18" s="913">
        <f t="shared" si="2"/>
        <v>0</v>
      </c>
      <c r="I18" s="913">
        <f t="shared" si="2"/>
        <v>44089.49</v>
      </c>
      <c r="J18" s="911"/>
      <c r="K18" s="913">
        <f t="shared" si="3"/>
        <v>0</v>
      </c>
      <c r="L18" s="913">
        <f t="shared" si="3"/>
        <v>0</v>
      </c>
      <c r="M18" s="911"/>
      <c r="N18" s="913">
        <f t="shared" si="4"/>
        <v>0</v>
      </c>
      <c r="O18" s="913">
        <f t="shared" si="4"/>
        <v>0</v>
      </c>
      <c r="P18" s="911"/>
      <c r="Q18" s="913">
        <f t="shared" si="5"/>
        <v>0</v>
      </c>
      <c r="R18" s="913">
        <f t="shared" si="5"/>
        <v>0</v>
      </c>
      <c r="S18" s="911"/>
      <c r="T18" s="913">
        <f t="shared" si="6"/>
        <v>0</v>
      </c>
      <c r="U18" s="913">
        <f t="shared" si="6"/>
        <v>0</v>
      </c>
    </row>
    <row r="19" s="906" customFormat="1" ht="15" customHeight="1" spans="1:21">
      <c r="A19" s="911"/>
      <c r="B19" s="911"/>
      <c r="C19" s="911" t="str">
        <f>TRIM(合并试算平衡表!A27)</f>
        <v>划分为持有待售的资产</v>
      </c>
      <c r="D19" s="913"/>
      <c r="E19" s="914">
        <f t="shared" si="0"/>
        <v>0</v>
      </c>
      <c r="F19" s="914">
        <f t="shared" si="7"/>
        <v>0</v>
      </c>
      <c r="G19" s="913"/>
      <c r="H19" s="913">
        <f t="shared" si="2"/>
        <v>0</v>
      </c>
      <c r="I19" s="913">
        <f t="shared" si="2"/>
        <v>0</v>
      </c>
      <c r="J19" s="911"/>
      <c r="K19" s="913">
        <f t="shared" si="3"/>
        <v>0</v>
      </c>
      <c r="L19" s="913">
        <f t="shared" si="3"/>
        <v>0</v>
      </c>
      <c r="M19" s="911"/>
      <c r="N19" s="913">
        <f t="shared" si="4"/>
        <v>0</v>
      </c>
      <c r="O19" s="913">
        <f t="shared" si="4"/>
        <v>0</v>
      </c>
      <c r="P19" s="911"/>
      <c r="Q19" s="913">
        <f t="shared" si="5"/>
        <v>0</v>
      </c>
      <c r="R19" s="913">
        <f t="shared" si="5"/>
        <v>0</v>
      </c>
      <c r="S19" s="911"/>
      <c r="T19" s="913">
        <f t="shared" si="6"/>
        <v>0</v>
      </c>
      <c r="U19" s="913">
        <f t="shared" si="6"/>
        <v>0</v>
      </c>
    </row>
    <row r="20" s="906" customFormat="1" ht="15" customHeight="1" spans="1:21">
      <c r="A20" s="911"/>
      <c r="B20" s="911"/>
      <c r="C20" s="911" t="str">
        <f>TRIM(合并试算平衡表!A28)</f>
        <v>一年内到期的非流动资产</v>
      </c>
      <c r="D20" s="913"/>
      <c r="E20" s="914">
        <f t="shared" si="0"/>
        <v>0</v>
      </c>
      <c r="F20" s="914">
        <f t="shared" si="7"/>
        <v>0</v>
      </c>
      <c r="G20" s="913"/>
      <c r="H20" s="913">
        <f t="shared" si="2"/>
        <v>0</v>
      </c>
      <c r="I20" s="913">
        <f t="shared" si="2"/>
        <v>0</v>
      </c>
      <c r="J20" s="911"/>
      <c r="K20" s="913">
        <f t="shared" si="3"/>
        <v>0</v>
      </c>
      <c r="L20" s="913">
        <f t="shared" si="3"/>
        <v>0</v>
      </c>
      <c r="M20" s="911"/>
      <c r="N20" s="913">
        <f t="shared" si="4"/>
        <v>0</v>
      </c>
      <c r="O20" s="913">
        <f t="shared" si="4"/>
        <v>0</v>
      </c>
      <c r="P20" s="911"/>
      <c r="Q20" s="913">
        <f t="shared" si="5"/>
        <v>0</v>
      </c>
      <c r="R20" s="913">
        <f t="shared" si="5"/>
        <v>0</v>
      </c>
      <c r="S20" s="911"/>
      <c r="T20" s="913">
        <f t="shared" si="6"/>
        <v>0</v>
      </c>
      <c r="U20" s="913">
        <f t="shared" si="6"/>
        <v>0</v>
      </c>
    </row>
    <row r="21" s="906" customFormat="1" ht="15" customHeight="1" spans="1:21">
      <c r="A21" s="911"/>
      <c r="B21" s="911"/>
      <c r="C21" s="911" t="str">
        <f>TRIM(合并试算平衡表!A29)</f>
        <v>其他流动资产</v>
      </c>
      <c r="D21" s="913"/>
      <c r="E21" s="914">
        <f t="shared" si="0"/>
        <v>0</v>
      </c>
      <c r="F21" s="914">
        <f t="shared" si="7"/>
        <v>0</v>
      </c>
      <c r="G21" s="913"/>
      <c r="H21" s="913">
        <f t="shared" si="2"/>
        <v>0</v>
      </c>
      <c r="I21" s="913">
        <f t="shared" si="2"/>
        <v>0</v>
      </c>
      <c r="J21" s="911"/>
      <c r="K21" s="913">
        <f t="shared" si="3"/>
        <v>0</v>
      </c>
      <c r="L21" s="913">
        <f t="shared" si="3"/>
        <v>0</v>
      </c>
      <c r="M21" s="911"/>
      <c r="N21" s="913">
        <f t="shared" si="4"/>
        <v>0</v>
      </c>
      <c r="O21" s="913">
        <f t="shared" si="4"/>
        <v>0</v>
      </c>
      <c r="P21" s="911"/>
      <c r="Q21" s="913">
        <f t="shared" si="5"/>
        <v>0</v>
      </c>
      <c r="R21" s="913">
        <f t="shared" si="5"/>
        <v>0</v>
      </c>
      <c r="S21" s="911"/>
      <c r="T21" s="913">
        <f t="shared" si="6"/>
        <v>0</v>
      </c>
      <c r="U21" s="913">
        <f t="shared" si="6"/>
        <v>0</v>
      </c>
    </row>
    <row r="22" s="906" customFormat="1" ht="15" customHeight="1" spans="1:21">
      <c r="A22" s="911"/>
      <c r="B22" s="911"/>
      <c r="C22" s="911" t="str">
        <f>TRIM(合并试算平衡表!A32)</f>
        <v>△发放贷款及垫款</v>
      </c>
      <c r="D22" s="913"/>
      <c r="E22" s="914">
        <f t="shared" si="0"/>
        <v>0</v>
      </c>
      <c r="F22" s="914">
        <f t="shared" si="7"/>
        <v>0</v>
      </c>
      <c r="G22" s="913"/>
      <c r="H22" s="913">
        <f t="shared" si="2"/>
        <v>0</v>
      </c>
      <c r="I22" s="913">
        <f t="shared" si="2"/>
        <v>0</v>
      </c>
      <c r="J22" s="911"/>
      <c r="K22" s="913">
        <f t="shared" si="3"/>
        <v>0</v>
      </c>
      <c r="L22" s="913">
        <f t="shared" si="3"/>
        <v>0</v>
      </c>
      <c r="M22" s="911"/>
      <c r="N22" s="913">
        <f t="shared" si="4"/>
        <v>0</v>
      </c>
      <c r="O22" s="913">
        <f t="shared" si="4"/>
        <v>0</v>
      </c>
      <c r="P22" s="911"/>
      <c r="Q22" s="913">
        <f t="shared" si="5"/>
        <v>0</v>
      </c>
      <c r="R22" s="913">
        <f t="shared" si="5"/>
        <v>0</v>
      </c>
      <c r="S22" s="911"/>
      <c r="T22" s="913">
        <f t="shared" si="6"/>
        <v>0</v>
      </c>
      <c r="U22" s="913">
        <f t="shared" si="6"/>
        <v>0</v>
      </c>
    </row>
    <row r="23" s="906" customFormat="1" ht="15" customHeight="1" spans="1:21">
      <c r="A23" s="911"/>
      <c r="B23" s="911"/>
      <c r="C23" s="911" t="str">
        <f>TRIM(合并试算平衡表!A33)</f>
        <v>可供出售金融资产</v>
      </c>
      <c r="D23" s="913"/>
      <c r="E23" s="914">
        <f t="shared" si="0"/>
        <v>0</v>
      </c>
      <c r="F23" s="914">
        <f t="shared" si="7"/>
        <v>0</v>
      </c>
      <c r="G23" s="913"/>
      <c r="H23" s="913">
        <f t="shared" ref="H23:I42" si="8">SUMIFS(H$134:H$407,$C$134:$C$407,$C23,$J$134:$J$407,"Y")</f>
        <v>0</v>
      </c>
      <c r="I23" s="913">
        <f t="shared" si="8"/>
        <v>0</v>
      </c>
      <c r="J23" s="911"/>
      <c r="K23" s="913">
        <f t="shared" ref="K23:L42" si="9">SUMIFS(K$134:K$407,$C$134:$C$407,$C23,$M$134:$M$407,"Y")</f>
        <v>0</v>
      </c>
      <c r="L23" s="913">
        <f t="shared" si="9"/>
        <v>0</v>
      </c>
      <c r="M23" s="911"/>
      <c r="N23" s="913">
        <f t="shared" ref="N23:O42" si="10">SUMIFS(N$135:N$407,$C$135:$C$407,$C23,$P$135:$P$407,"Y")</f>
        <v>0</v>
      </c>
      <c r="O23" s="913">
        <f t="shared" si="10"/>
        <v>0</v>
      </c>
      <c r="P23" s="911"/>
      <c r="Q23" s="913">
        <f t="shared" ref="Q23:R42" si="11">SUMIFS(Q$135:Q$407,$C$135:$C$407,$C23,$S$135:$S$407,"Y")</f>
        <v>0</v>
      </c>
      <c r="R23" s="913">
        <f t="shared" si="11"/>
        <v>0</v>
      </c>
      <c r="S23" s="911"/>
      <c r="T23" s="913">
        <f t="shared" ref="T23:U42" si="12">SUMIFS(T$135:T$407,$C$135:$C$407,$C23,$V$135:$V$407,"Y")</f>
        <v>0</v>
      </c>
      <c r="U23" s="913">
        <f t="shared" si="12"/>
        <v>0</v>
      </c>
    </row>
    <row r="24" s="906" customFormat="1" ht="15" customHeight="1" spans="1:21">
      <c r="A24" s="911"/>
      <c r="B24" s="911"/>
      <c r="C24" s="911" t="str">
        <f>TRIM(合并试算平衡表!A34)</f>
        <v>持有至到期投资</v>
      </c>
      <c r="D24" s="913"/>
      <c r="E24" s="914">
        <f t="shared" si="0"/>
        <v>0</v>
      </c>
      <c r="F24" s="914">
        <f t="shared" si="7"/>
        <v>0</v>
      </c>
      <c r="G24" s="913"/>
      <c r="H24" s="913">
        <f t="shared" si="8"/>
        <v>0</v>
      </c>
      <c r="I24" s="913">
        <f t="shared" si="8"/>
        <v>0</v>
      </c>
      <c r="J24" s="911"/>
      <c r="K24" s="913">
        <f t="shared" si="9"/>
        <v>0</v>
      </c>
      <c r="L24" s="913">
        <f t="shared" si="9"/>
        <v>0</v>
      </c>
      <c r="M24" s="911"/>
      <c r="N24" s="913">
        <f t="shared" si="10"/>
        <v>0</v>
      </c>
      <c r="O24" s="913">
        <f t="shared" si="10"/>
        <v>0</v>
      </c>
      <c r="P24" s="911"/>
      <c r="Q24" s="913">
        <f t="shared" si="11"/>
        <v>0</v>
      </c>
      <c r="R24" s="913">
        <f t="shared" si="11"/>
        <v>0</v>
      </c>
      <c r="S24" s="911"/>
      <c r="T24" s="913">
        <f t="shared" si="12"/>
        <v>0</v>
      </c>
      <c r="U24" s="913">
        <f t="shared" si="12"/>
        <v>0</v>
      </c>
    </row>
    <row r="25" s="906" customFormat="1" ht="15" customHeight="1" spans="1:21">
      <c r="A25" s="911"/>
      <c r="B25" s="911"/>
      <c r="C25" s="911" t="str">
        <f>TRIM(合并试算平衡表!A35)</f>
        <v>长期应收款</v>
      </c>
      <c r="D25" s="913"/>
      <c r="E25" s="914">
        <f t="shared" si="0"/>
        <v>0</v>
      </c>
      <c r="F25" s="914">
        <f t="shared" si="7"/>
        <v>0</v>
      </c>
      <c r="G25" s="913"/>
      <c r="H25" s="913">
        <f t="shared" si="8"/>
        <v>0</v>
      </c>
      <c r="I25" s="913">
        <f t="shared" si="8"/>
        <v>0</v>
      </c>
      <c r="J25" s="911"/>
      <c r="K25" s="913">
        <f t="shared" si="9"/>
        <v>0</v>
      </c>
      <c r="L25" s="913">
        <f t="shared" si="9"/>
        <v>0</v>
      </c>
      <c r="M25" s="911"/>
      <c r="N25" s="913">
        <f t="shared" si="10"/>
        <v>0</v>
      </c>
      <c r="O25" s="913">
        <f t="shared" si="10"/>
        <v>0</v>
      </c>
      <c r="P25" s="911"/>
      <c r="Q25" s="913">
        <f t="shared" si="11"/>
        <v>0</v>
      </c>
      <c r="R25" s="913">
        <f t="shared" si="11"/>
        <v>0</v>
      </c>
      <c r="S25" s="911"/>
      <c r="T25" s="913">
        <f t="shared" si="12"/>
        <v>0</v>
      </c>
      <c r="U25" s="913">
        <f t="shared" si="12"/>
        <v>0</v>
      </c>
    </row>
    <row r="26" s="906" customFormat="1" ht="15" customHeight="1" spans="1:21">
      <c r="A26" s="911"/>
      <c r="B26" s="911"/>
      <c r="C26" s="911" t="str">
        <f>TRIM(合并试算平衡表!A36)</f>
        <v>长期股权投资</v>
      </c>
      <c r="D26" s="913"/>
      <c r="E26" s="914">
        <f t="shared" si="0"/>
        <v>-14518785.99</v>
      </c>
      <c r="F26" s="914">
        <f t="shared" si="7"/>
        <v>245910205.82</v>
      </c>
      <c r="G26" s="913"/>
      <c r="H26" s="913">
        <f t="shared" si="8"/>
        <v>-9951097.65</v>
      </c>
      <c r="I26" s="913">
        <f t="shared" si="8"/>
        <v>250477894.16</v>
      </c>
      <c r="J26" s="911"/>
      <c r="K26" s="913">
        <f t="shared" si="9"/>
        <v>683972.71</v>
      </c>
      <c r="L26" s="913">
        <f t="shared" si="9"/>
        <v>32683972.71</v>
      </c>
      <c r="M26" s="911"/>
      <c r="N26" s="913">
        <f t="shared" si="10"/>
        <v>1626803.34</v>
      </c>
      <c r="O26" s="913">
        <f t="shared" si="10"/>
        <v>35385058.25</v>
      </c>
      <c r="P26" s="911"/>
      <c r="Q26" s="913">
        <f t="shared" si="11"/>
        <v>0</v>
      </c>
      <c r="R26" s="913">
        <f t="shared" si="11"/>
        <v>0</v>
      </c>
      <c r="S26" s="911"/>
      <c r="T26" s="913">
        <f t="shared" si="12"/>
        <v>0</v>
      </c>
      <c r="U26" s="913">
        <f t="shared" si="12"/>
        <v>0</v>
      </c>
    </row>
    <row r="27" s="906" customFormat="1" ht="15" customHeight="1" spans="1:21">
      <c r="A27" s="911"/>
      <c r="B27" s="911"/>
      <c r="C27" s="911" t="str">
        <f>TRIM(合并试算平衡表!A39)</f>
        <v>投资性房地产</v>
      </c>
      <c r="D27" s="913"/>
      <c r="E27" s="914">
        <f t="shared" si="0"/>
        <v>0</v>
      </c>
      <c r="F27" s="914">
        <f t="shared" si="7"/>
        <v>0</v>
      </c>
      <c r="G27" s="913"/>
      <c r="H27" s="913">
        <f t="shared" si="8"/>
        <v>0</v>
      </c>
      <c r="I27" s="913">
        <f t="shared" si="8"/>
        <v>0</v>
      </c>
      <c r="J27" s="911"/>
      <c r="K27" s="913">
        <f t="shared" si="9"/>
        <v>0</v>
      </c>
      <c r="L27" s="913">
        <f t="shared" si="9"/>
        <v>0</v>
      </c>
      <c r="M27" s="911"/>
      <c r="N27" s="913">
        <f t="shared" si="10"/>
        <v>0</v>
      </c>
      <c r="O27" s="913">
        <f t="shared" si="10"/>
        <v>0</v>
      </c>
      <c r="P27" s="911"/>
      <c r="Q27" s="913">
        <f t="shared" si="11"/>
        <v>0</v>
      </c>
      <c r="R27" s="913">
        <f t="shared" si="11"/>
        <v>0</v>
      </c>
      <c r="S27" s="911"/>
      <c r="T27" s="913">
        <f t="shared" si="12"/>
        <v>0</v>
      </c>
      <c r="U27" s="913">
        <f t="shared" si="12"/>
        <v>0</v>
      </c>
    </row>
    <row r="28" s="906" customFormat="1" ht="15" customHeight="1" spans="1:21">
      <c r="A28" s="911"/>
      <c r="B28" s="911"/>
      <c r="C28" s="911" t="str">
        <f>TRIM(合并试算平衡表!A40)</f>
        <v>固定资产</v>
      </c>
      <c r="D28" s="913"/>
      <c r="E28" s="914">
        <f t="shared" si="0"/>
        <v>0</v>
      </c>
      <c r="F28" s="914">
        <f t="shared" si="7"/>
        <v>0</v>
      </c>
      <c r="G28" s="913"/>
      <c r="H28" s="913">
        <f t="shared" si="8"/>
        <v>0</v>
      </c>
      <c r="I28" s="913">
        <f t="shared" si="8"/>
        <v>0</v>
      </c>
      <c r="J28" s="911"/>
      <c r="K28" s="913">
        <f t="shared" si="9"/>
        <v>0</v>
      </c>
      <c r="L28" s="913">
        <f t="shared" si="9"/>
        <v>0</v>
      </c>
      <c r="M28" s="911"/>
      <c r="N28" s="913">
        <f t="shared" si="10"/>
        <v>0</v>
      </c>
      <c r="O28" s="913">
        <f t="shared" si="10"/>
        <v>0</v>
      </c>
      <c r="P28" s="911"/>
      <c r="Q28" s="913">
        <f t="shared" si="11"/>
        <v>0</v>
      </c>
      <c r="R28" s="913">
        <f t="shared" si="11"/>
        <v>0</v>
      </c>
      <c r="S28" s="911"/>
      <c r="T28" s="913">
        <f t="shared" si="12"/>
        <v>0</v>
      </c>
      <c r="U28" s="913">
        <f t="shared" si="12"/>
        <v>0</v>
      </c>
    </row>
    <row r="29" s="906" customFormat="1" ht="15" customHeight="1" spans="1:21">
      <c r="A29" s="911"/>
      <c r="B29" s="911"/>
      <c r="C29" s="915" t="s">
        <v>784</v>
      </c>
      <c r="D29" s="913"/>
      <c r="E29" s="914">
        <f t="shared" si="0"/>
        <v>0</v>
      </c>
      <c r="F29" s="914">
        <f t="shared" si="7"/>
        <v>0</v>
      </c>
      <c r="G29" s="913"/>
      <c r="H29" s="913">
        <f t="shared" si="8"/>
        <v>0</v>
      </c>
      <c r="I29" s="913">
        <f t="shared" si="8"/>
        <v>0</v>
      </c>
      <c r="J29" s="911"/>
      <c r="K29" s="913">
        <f t="shared" si="9"/>
        <v>0</v>
      </c>
      <c r="L29" s="913">
        <f t="shared" si="9"/>
        <v>0</v>
      </c>
      <c r="M29" s="911"/>
      <c r="N29" s="913">
        <f t="shared" si="10"/>
        <v>0</v>
      </c>
      <c r="O29" s="913">
        <f t="shared" si="10"/>
        <v>0</v>
      </c>
      <c r="P29" s="911"/>
      <c r="Q29" s="913">
        <f t="shared" si="11"/>
        <v>0</v>
      </c>
      <c r="R29" s="913">
        <f t="shared" si="11"/>
        <v>0</v>
      </c>
      <c r="S29" s="911"/>
      <c r="T29" s="913">
        <f t="shared" si="12"/>
        <v>0</v>
      </c>
      <c r="U29" s="913">
        <f t="shared" si="12"/>
        <v>0</v>
      </c>
    </row>
    <row r="30" s="906" customFormat="1" ht="15" customHeight="1" spans="1:21">
      <c r="A30" s="911"/>
      <c r="B30" s="911"/>
      <c r="C30" s="915" t="s">
        <v>785</v>
      </c>
      <c r="D30" s="913"/>
      <c r="E30" s="914">
        <f t="shared" si="0"/>
        <v>0</v>
      </c>
      <c r="F30" s="914">
        <f t="shared" si="7"/>
        <v>0</v>
      </c>
      <c r="G30" s="913"/>
      <c r="H30" s="913">
        <f t="shared" si="8"/>
        <v>0</v>
      </c>
      <c r="I30" s="913">
        <f t="shared" si="8"/>
        <v>0</v>
      </c>
      <c r="J30" s="911"/>
      <c r="K30" s="913">
        <f t="shared" si="9"/>
        <v>0</v>
      </c>
      <c r="L30" s="913">
        <f t="shared" si="9"/>
        <v>0</v>
      </c>
      <c r="M30" s="911"/>
      <c r="N30" s="913">
        <f t="shared" si="10"/>
        <v>0</v>
      </c>
      <c r="O30" s="913">
        <f t="shared" si="10"/>
        <v>0</v>
      </c>
      <c r="P30" s="911"/>
      <c r="Q30" s="913">
        <f t="shared" si="11"/>
        <v>0</v>
      </c>
      <c r="R30" s="913">
        <f t="shared" si="11"/>
        <v>0</v>
      </c>
      <c r="S30" s="911"/>
      <c r="T30" s="913">
        <f t="shared" si="12"/>
        <v>0</v>
      </c>
      <c r="U30" s="913">
        <f t="shared" si="12"/>
        <v>0</v>
      </c>
    </row>
    <row r="31" s="906" customFormat="1" ht="15" customHeight="1" spans="1:21">
      <c r="A31" s="911"/>
      <c r="B31" s="911"/>
      <c r="C31" s="911" t="str">
        <f>TRIM(合并试算平衡表!A45)</f>
        <v>在建工程</v>
      </c>
      <c r="D31" s="913"/>
      <c r="E31" s="914">
        <f t="shared" si="0"/>
        <v>0</v>
      </c>
      <c r="F31" s="914">
        <f t="shared" si="7"/>
        <v>0</v>
      </c>
      <c r="G31" s="913"/>
      <c r="H31" s="913">
        <f t="shared" si="8"/>
        <v>0</v>
      </c>
      <c r="I31" s="913">
        <f t="shared" si="8"/>
        <v>0</v>
      </c>
      <c r="J31" s="911"/>
      <c r="K31" s="913">
        <f t="shared" si="9"/>
        <v>0</v>
      </c>
      <c r="L31" s="913">
        <f t="shared" si="9"/>
        <v>0</v>
      </c>
      <c r="M31" s="911"/>
      <c r="N31" s="913">
        <f t="shared" si="10"/>
        <v>0</v>
      </c>
      <c r="O31" s="913">
        <f t="shared" si="10"/>
        <v>0</v>
      </c>
      <c r="P31" s="911"/>
      <c r="Q31" s="913">
        <f t="shared" si="11"/>
        <v>0</v>
      </c>
      <c r="R31" s="913">
        <f t="shared" si="11"/>
        <v>0</v>
      </c>
      <c r="S31" s="911"/>
      <c r="T31" s="913">
        <f t="shared" si="12"/>
        <v>0</v>
      </c>
      <c r="U31" s="913">
        <f t="shared" si="12"/>
        <v>0</v>
      </c>
    </row>
    <row r="32" s="906" customFormat="1" ht="15" customHeight="1" spans="1:21">
      <c r="A32" s="911"/>
      <c r="B32" s="911"/>
      <c r="C32" s="911" t="str">
        <f>TRIM(合并试算平衡表!A46)</f>
        <v>工程物资</v>
      </c>
      <c r="D32" s="913"/>
      <c r="E32" s="914">
        <f t="shared" si="0"/>
        <v>0</v>
      </c>
      <c r="F32" s="914">
        <f t="shared" si="7"/>
        <v>0</v>
      </c>
      <c r="G32" s="913"/>
      <c r="H32" s="913">
        <f t="shared" si="8"/>
        <v>0</v>
      </c>
      <c r="I32" s="913">
        <f t="shared" si="8"/>
        <v>0</v>
      </c>
      <c r="J32" s="911"/>
      <c r="K32" s="913">
        <f t="shared" si="9"/>
        <v>0</v>
      </c>
      <c r="L32" s="913">
        <f t="shared" si="9"/>
        <v>0</v>
      </c>
      <c r="M32" s="911"/>
      <c r="N32" s="913">
        <f t="shared" si="10"/>
        <v>0</v>
      </c>
      <c r="O32" s="913">
        <f t="shared" si="10"/>
        <v>0</v>
      </c>
      <c r="P32" s="911"/>
      <c r="Q32" s="913">
        <f t="shared" si="11"/>
        <v>0</v>
      </c>
      <c r="R32" s="913">
        <f t="shared" si="11"/>
        <v>0</v>
      </c>
      <c r="S32" s="911"/>
      <c r="T32" s="913">
        <f t="shared" si="12"/>
        <v>0</v>
      </c>
      <c r="U32" s="913">
        <f t="shared" si="12"/>
        <v>0</v>
      </c>
    </row>
    <row r="33" s="906" customFormat="1" ht="15" customHeight="1" spans="1:21">
      <c r="A33" s="911"/>
      <c r="B33" s="911"/>
      <c r="C33" s="911" t="str">
        <f>TRIM(合并试算平衡表!A47)</f>
        <v>固定资产清理</v>
      </c>
      <c r="D33" s="913"/>
      <c r="E33" s="914">
        <f t="shared" si="0"/>
        <v>0</v>
      </c>
      <c r="F33" s="914">
        <f t="shared" si="7"/>
        <v>0</v>
      </c>
      <c r="G33" s="913"/>
      <c r="H33" s="913">
        <f t="shared" si="8"/>
        <v>0</v>
      </c>
      <c r="I33" s="913">
        <f t="shared" si="8"/>
        <v>0</v>
      </c>
      <c r="J33" s="911"/>
      <c r="K33" s="913">
        <f t="shared" si="9"/>
        <v>0</v>
      </c>
      <c r="L33" s="913">
        <f t="shared" si="9"/>
        <v>0</v>
      </c>
      <c r="M33" s="911"/>
      <c r="N33" s="913">
        <f t="shared" si="10"/>
        <v>0</v>
      </c>
      <c r="O33" s="913">
        <f t="shared" si="10"/>
        <v>0</v>
      </c>
      <c r="P33" s="911"/>
      <c r="Q33" s="913">
        <f t="shared" si="11"/>
        <v>0</v>
      </c>
      <c r="R33" s="913">
        <f t="shared" si="11"/>
        <v>0</v>
      </c>
      <c r="S33" s="911"/>
      <c r="T33" s="913">
        <f t="shared" si="12"/>
        <v>0</v>
      </c>
      <c r="U33" s="913">
        <f t="shared" si="12"/>
        <v>0</v>
      </c>
    </row>
    <row r="34" s="906" customFormat="1" ht="15" customHeight="1" spans="1:21">
      <c r="A34" s="911"/>
      <c r="B34" s="911"/>
      <c r="C34" s="911" t="str">
        <f>TRIM(合并试算平衡表!A48)</f>
        <v>生产性生物资产</v>
      </c>
      <c r="D34" s="913"/>
      <c r="E34" s="914">
        <f t="shared" si="0"/>
        <v>0</v>
      </c>
      <c r="F34" s="914">
        <f t="shared" si="7"/>
        <v>0</v>
      </c>
      <c r="G34" s="913"/>
      <c r="H34" s="913">
        <f t="shared" si="8"/>
        <v>0</v>
      </c>
      <c r="I34" s="913">
        <f t="shared" si="8"/>
        <v>0</v>
      </c>
      <c r="J34" s="911"/>
      <c r="K34" s="913">
        <f t="shared" si="9"/>
        <v>0</v>
      </c>
      <c r="L34" s="913">
        <f t="shared" si="9"/>
        <v>0</v>
      </c>
      <c r="M34" s="911"/>
      <c r="N34" s="913">
        <f t="shared" si="10"/>
        <v>0</v>
      </c>
      <c r="O34" s="913">
        <f t="shared" si="10"/>
        <v>0</v>
      </c>
      <c r="P34" s="911"/>
      <c r="Q34" s="913">
        <f t="shared" si="11"/>
        <v>0</v>
      </c>
      <c r="R34" s="913">
        <f t="shared" si="11"/>
        <v>0</v>
      </c>
      <c r="S34" s="911"/>
      <c r="T34" s="913">
        <f t="shared" si="12"/>
        <v>0</v>
      </c>
      <c r="U34" s="913">
        <f t="shared" si="12"/>
        <v>0</v>
      </c>
    </row>
    <row r="35" s="906" customFormat="1" ht="15" customHeight="1" spans="1:21">
      <c r="A35" s="911"/>
      <c r="B35" s="911"/>
      <c r="C35" s="911" t="str">
        <f>TRIM(合并试算平衡表!A49)</f>
        <v>油气资产</v>
      </c>
      <c r="D35" s="913"/>
      <c r="E35" s="914">
        <f t="shared" si="0"/>
        <v>0</v>
      </c>
      <c r="F35" s="914">
        <f t="shared" si="7"/>
        <v>0</v>
      </c>
      <c r="G35" s="913"/>
      <c r="H35" s="913">
        <f t="shared" si="8"/>
        <v>0</v>
      </c>
      <c r="I35" s="913">
        <f t="shared" si="8"/>
        <v>0</v>
      </c>
      <c r="J35" s="911"/>
      <c r="K35" s="913">
        <f t="shared" si="9"/>
        <v>0</v>
      </c>
      <c r="L35" s="913">
        <f t="shared" si="9"/>
        <v>0</v>
      </c>
      <c r="M35" s="911"/>
      <c r="N35" s="913">
        <f t="shared" si="10"/>
        <v>0</v>
      </c>
      <c r="O35" s="913">
        <f t="shared" si="10"/>
        <v>0</v>
      </c>
      <c r="P35" s="911"/>
      <c r="Q35" s="913">
        <f t="shared" si="11"/>
        <v>0</v>
      </c>
      <c r="R35" s="913">
        <f t="shared" si="11"/>
        <v>0</v>
      </c>
      <c r="S35" s="911"/>
      <c r="T35" s="913">
        <f t="shared" si="12"/>
        <v>0</v>
      </c>
      <c r="U35" s="913">
        <f t="shared" si="12"/>
        <v>0</v>
      </c>
    </row>
    <row r="36" s="906" customFormat="1" ht="15" customHeight="1" spans="1:21">
      <c r="A36" s="911"/>
      <c r="B36" s="911"/>
      <c r="C36" s="911" t="str">
        <f>TRIM(合并试算平衡表!A50)</f>
        <v>无形资产</v>
      </c>
      <c r="D36" s="913"/>
      <c r="E36" s="914">
        <f t="shared" si="0"/>
        <v>0</v>
      </c>
      <c r="F36" s="914">
        <f t="shared" si="7"/>
        <v>0</v>
      </c>
      <c r="G36" s="913"/>
      <c r="H36" s="913">
        <f t="shared" si="8"/>
        <v>0</v>
      </c>
      <c r="I36" s="913">
        <f t="shared" si="8"/>
        <v>0</v>
      </c>
      <c r="J36" s="911"/>
      <c r="K36" s="913">
        <f t="shared" si="9"/>
        <v>0</v>
      </c>
      <c r="L36" s="913">
        <f t="shared" si="9"/>
        <v>0</v>
      </c>
      <c r="M36" s="911"/>
      <c r="N36" s="913">
        <f t="shared" si="10"/>
        <v>0</v>
      </c>
      <c r="O36" s="913">
        <f t="shared" si="10"/>
        <v>0</v>
      </c>
      <c r="P36" s="911"/>
      <c r="Q36" s="913">
        <f t="shared" si="11"/>
        <v>0</v>
      </c>
      <c r="R36" s="913">
        <f t="shared" si="11"/>
        <v>0</v>
      </c>
      <c r="S36" s="911"/>
      <c r="T36" s="913">
        <f t="shared" si="12"/>
        <v>0</v>
      </c>
      <c r="U36" s="913">
        <f t="shared" si="12"/>
        <v>0</v>
      </c>
    </row>
    <row r="37" s="906" customFormat="1" ht="15" customHeight="1" spans="1:21">
      <c r="A37" s="911"/>
      <c r="B37" s="911"/>
      <c r="C37" s="911" t="str">
        <f>TRIM(合并试算平衡表!A51)</f>
        <v>开发支出</v>
      </c>
      <c r="D37" s="913"/>
      <c r="E37" s="914">
        <f t="shared" si="0"/>
        <v>0</v>
      </c>
      <c r="F37" s="914">
        <f t="shared" si="7"/>
        <v>0</v>
      </c>
      <c r="G37" s="913"/>
      <c r="H37" s="913">
        <f t="shared" si="8"/>
        <v>0</v>
      </c>
      <c r="I37" s="913">
        <f t="shared" si="8"/>
        <v>0</v>
      </c>
      <c r="J37" s="911"/>
      <c r="K37" s="913">
        <f t="shared" si="9"/>
        <v>0</v>
      </c>
      <c r="L37" s="913">
        <f t="shared" si="9"/>
        <v>0</v>
      </c>
      <c r="M37" s="911"/>
      <c r="N37" s="913">
        <f t="shared" si="10"/>
        <v>0</v>
      </c>
      <c r="O37" s="913">
        <f t="shared" si="10"/>
        <v>0</v>
      </c>
      <c r="P37" s="911"/>
      <c r="Q37" s="913">
        <f t="shared" si="11"/>
        <v>0</v>
      </c>
      <c r="R37" s="913">
        <f t="shared" si="11"/>
        <v>0</v>
      </c>
      <c r="S37" s="911"/>
      <c r="T37" s="913">
        <f t="shared" si="12"/>
        <v>0</v>
      </c>
      <c r="U37" s="913">
        <f t="shared" si="12"/>
        <v>0</v>
      </c>
    </row>
    <row r="38" s="906" customFormat="1" ht="15" customHeight="1" spans="1:21">
      <c r="A38" s="911"/>
      <c r="B38" s="911"/>
      <c r="C38" s="911" t="str">
        <f>TRIM(合并试算平衡表!A52)</f>
        <v>商誉</v>
      </c>
      <c r="D38" s="913"/>
      <c r="E38" s="914">
        <f t="shared" si="0"/>
        <v>6070777.76</v>
      </c>
      <c r="F38" s="914">
        <f t="shared" si="7"/>
        <v>2027402.26</v>
      </c>
      <c r="G38" s="913"/>
      <c r="H38" s="913">
        <f t="shared" si="8"/>
        <v>6070777.76</v>
      </c>
      <c r="I38" s="913">
        <f t="shared" si="8"/>
        <v>1259075.86</v>
      </c>
      <c r="J38" s="911"/>
      <c r="K38" s="913">
        <f t="shared" si="9"/>
        <v>6070777.76</v>
      </c>
      <c r="L38" s="913">
        <f t="shared" si="9"/>
        <v>0</v>
      </c>
      <c r="M38" s="911"/>
      <c r="N38" s="913">
        <f t="shared" si="10"/>
        <v>6070777.76</v>
      </c>
      <c r="O38" s="913">
        <f t="shared" si="10"/>
        <v>0</v>
      </c>
      <c r="P38" s="911"/>
      <c r="Q38" s="913">
        <f t="shared" si="11"/>
        <v>0</v>
      </c>
      <c r="R38" s="913">
        <f t="shared" si="11"/>
        <v>0</v>
      </c>
      <c r="S38" s="911"/>
      <c r="T38" s="913">
        <f t="shared" si="12"/>
        <v>0</v>
      </c>
      <c r="U38" s="913">
        <f t="shared" si="12"/>
        <v>0</v>
      </c>
    </row>
    <row r="39" s="906" customFormat="1" ht="15" customHeight="1" spans="1:21">
      <c r="A39" s="911"/>
      <c r="B39" s="911"/>
      <c r="C39" s="911" t="str">
        <f>TRIM(合并试算平衡表!A53)</f>
        <v>长期待摊费用</v>
      </c>
      <c r="D39" s="913"/>
      <c r="E39" s="914">
        <f t="shared" si="0"/>
        <v>0</v>
      </c>
      <c r="F39" s="914">
        <f t="shared" si="7"/>
        <v>0</v>
      </c>
      <c r="G39" s="913"/>
      <c r="H39" s="913">
        <f t="shared" si="8"/>
        <v>0</v>
      </c>
      <c r="I39" s="913">
        <f t="shared" si="8"/>
        <v>0</v>
      </c>
      <c r="J39" s="911"/>
      <c r="K39" s="913">
        <f t="shared" si="9"/>
        <v>0</v>
      </c>
      <c r="L39" s="913">
        <f t="shared" si="9"/>
        <v>0</v>
      </c>
      <c r="M39" s="911"/>
      <c r="N39" s="913">
        <f t="shared" si="10"/>
        <v>0</v>
      </c>
      <c r="O39" s="913">
        <f t="shared" si="10"/>
        <v>0</v>
      </c>
      <c r="P39" s="911"/>
      <c r="Q39" s="913">
        <f t="shared" si="11"/>
        <v>0</v>
      </c>
      <c r="R39" s="913">
        <f t="shared" si="11"/>
        <v>0</v>
      </c>
      <c r="S39" s="911"/>
      <c r="T39" s="913">
        <f t="shared" si="12"/>
        <v>0</v>
      </c>
      <c r="U39" s="913">
        <f t="shared" si="12"/>
        <v>0</v>
      </c>
    </row>
    <row r="40" s="906" customFormat="1" ht="15" customHeight="1" spans="1:21">
      <c r="A40" s="911"/>
      <c r="B40" s="911"/>
      <c r="C40" s="911" t="str">
        <f>TRIM(合并试算平衡表!A54)</f>
        <v>递延所得税资产</v>
      </c>
      <c r="D40" s="913"/>
      <c r="E40" s="914">
        <f t="shared" si="0"/>
        <v>0</v>
      </c>
      <c r="F40" s="914">
        <f t="shared" si="7"/>
        <v>0</v>
      </c>
      <c r="G40" s="913"/>
      <c r="H40" s="913">
        <f t="shared" si="8"/>
        <v>0</v>
      </c>
      <c r="I40" s="913">
        <f t="shared" si="8"/>
        <v>0</v>
      </c>
      <c r="J40" s="911"/>
      <c r="K40" s="913">
        <f t="shared" si="9"/>
        <v>0</v>
      </c>
      <c r="L40" s="913">
        <f t="shared" si="9"/>
        <v>0</v>
      </c>
      <c r="M40" s="911"/>
      <c r="N40" s="913">
        <f t="shared" si="10"/>
        <v>0</v>
      </c>
      <c r="O40" s="913">
        <f t="shared" si="10"/>
        <v>0</v>
      </c>
      <c r="P40" s="911"/>
      <c r="Q40" s="913">
        <f t="shared" si="11"/>
        <v>0</v>
      </c>
      <c r="R40" s="913">
        <f t="shared" si="11"/>
        <v>0</v>
      </c>
      <c r="S40" s="911"/>
      <c r="T40" s="913">
        <f t="shared" si="12"/>
        <v>0</v>
      </c>
      <c r="U40" s="913">
        <f t="shared" si="12"/>
        <v>0</v>
      </c>
    </row>
    <row r="41" s="906" customFormat="1" ht="15" customHeight="1" spans="1:21">
      <c r="A41" s="911"/>
      <c r="B41" s="911"/>
      <c r="C41" s="911" t="str">
        <f>TRIM(合并试算平衡表!A55)</f>
        <v>其他非流动资产</v>
      </c>
      <c r="D41" s="913"/>
      <c r="E41" s="914">
        <f t="shared" si="0"/>
        <v>0</v>
      </c>
      <c r="F41" s="914">
        <f t="shared" si="7"/>
        <v>0</v>
      </c>
      <c r="G41" s="913"/>
      <c r="H41" s="913">
        <f t="shared" si="8"/>
        <v>0</v>
      </c>
      <c r="I41" s="913">
        <f t="shared" si="8"/>
        <v>0</v>
      </c>
      <c r="J41" s="911"/>
      <c r="K41" s="913">
        <f t="shared" si="9"/>
        <v>0</v>
      </c>
      <c r="L41" s="913">
        <f t="shared" si="9"/>
        <v>0</v>
      </c>
      <c r="M41" s="911"/>
      <c r="N41" s="913">
        <f t="shared" si="10"/>
        <v>0</v>
      </c>
      <c r="O41" s="913">
        <f t="shared" si="10"/>
        <v>0</v>
      </c>
      <c r="P41" s="911"/>
      <c r="Q41" s="913">
        <f t="shared" si="11"/>
        <v>0</v>
      </c>
      <c r="R41" s="913">
        <f t="shared" si="11"/>
        <v>0</v>
      </c>
      <c r="S41" s="911"/>
      <c r="T41" s="913">
        <f t="shared" si="12"/>
        <v>0</v>
      </c>
      <c r="U41" s="913">
        <f t="shared" si="12"/>
        <v>0</v>
      </c>
    </row>
    <row r="42" s="906" customFormat="1" ht="15" customHeight="1" spans="1:21">
      <c r="A42" s="911"/>
      <c r="B42" s="911"/>
      <c r="C42" s="911" t="str">
        <f>TRIM(合并试算平衡表!A64)</f>
        <v>短期借款</v>
      </c>
      <c r="D42" s="913"/>
      <c r="E42" s="914">
        <f t="shared" si="0"/>
        <v>0</v>
      </c>
      <c r="F42" s="914">
        <f t="shared" si="7"/>
        <v>0</v>
      </c>
      <c r="G42" s="913"/>
      <c r="H42" s="913">
        <f t="shared" si="8"/>
        <v>0</v>
      </c>
      <c r="I42" s="913">
        <f t="shared" si="8"/>
        <v>0</v>
      </c>
      <c r="J42" s="911"/>
      <c r="K42" s="913">
        <f t="shared" si="9"/>
        <v>0</v>
      </c>
      <c r="L42" s="913">
        <f t="shared" si="9"/>
        <v>0</v>
      </c>
      <c r="M42" s="911"/>
      <c r="N42" s="913">
        <f t="shared" si="10"/>
        <v>0</v>
      </c>
      <c r="O42" s="913">
        <f t="shared" si="10"/>
        <v>0</v>
      </c>
      <c r="P42" s="911"/>
      <c r="Q42" s="913">
        <f t="shared" si="11"/>
        <v>0</v>
      </c>
      <c r="R42" s="913">
        <f t="shared" si="11"/>
        <v>0</v>
      </c>
      <c r="S42" s="911"/>
      <c r="T42" s="913">
        <f t="shared" si="12"/>
        <v>0</v>
      </c>
      <c r="U42" s="913">
        <f t="shared" si="12"/>
        <v>0</v>
      </c>
    </row>
    <row r="43" s="906" customFormat="1" ht="15" customHeight="1" spans="1:21">
      <c r="A43" s="911"/>
      <c r="B43" s="911"/>
      <c r="C43" s="911" t="str">
        <f>TRIM(合并试算平衡表!A65)</f>
        <v>△向中央银行借款</v>
      </c>
      <c r="D43" s="913"/>
      <c r="E43" s="914">
        <f t="shared" si="0"/>
        <v>0</v>
      </c>
      <c r="F43" s="914">
        <f t="shared" si="7"/>
        <v>0</v>
      </c>
      <c r="G43" s="913"/>
      <c r="H43" s="913">
        <f t="shared" ref="H43:I62" si="13">SUMIFS(H$134:H$407,$C$134:$C$407,$C43,$J$134:$J$407,"Y")</f>
        <v>0</v>
      </c>
      <c r="I43" s="913">
        <f t="shared" si="13"/>
        <v>0</v>
      </c>
      <c r="J43" s="911"/>
      <c r="K43" s="913">
        <f t="shared" ref="K43:L62" si="14">SUMIFS(K$134:K$407,$C$134:$C$407,$C43,$M$134:$M$407,"Y")</f>
        <v>0</v>
      </c>
      <c r="L43" s="913">
        <f t="shared" si="14"/>
        <v>0</v>
      </c>
      <c r="M43" s="911"/>
      <c r="N43" s="913">
        <f t="shared" ref="N43:O62" si="15">SUMIFS(N$135:N$407,$C$135:$C$407,$C43,$P$135:$P$407,"Y")</f>
        <v>0</v>
      </c>
      <c r="O43" s="913">
        <f t="shared" si="15"/>
        <v>0</v>
      </c>
      <c r="P43" s="911"/>
      <c r="Q43" s="913">
        <f t="shared" ref="Q43:R62" si="16">SUMIFS(Q$135:Q$407,$C$135:$C$407,$C43,$S$135:$S$407,"Y")</f>
        <v>0</v>
      </c>
      <c r="R43" s="913">
        <f t="shared" si="16"/>
        <v>0</v>
      </c>
      <c r="S43" s="911"/>
      <c r="T43" s="913">
        <f t="shared" ref="T43:U62" si="17">SUMIFS(T$135:T$407,$C$135:$C$407,$C43,$V$135:$V$407,"Y")</f>
        <v>0</v>
      </c>
      <c r="U43" s="913">
        <f t="shared" si="17"/>
        <v>0</v>
      </c>
    </row>
    <row r="44" s="906" customFormat="1" ht="15" customHeight="1" spans="1:21">
      <c r="A44" s="911"/>
      <c r="B44" s="911"/>
      <c r="C44" s="911" t="str">
        <f>TRIM(合并试算平衡表!A66)</f>
        <v>△吸收存款及同业存款</v>
      </c>
      <c r="D44" s="913"/>
      <c r="E44" s="914">
        <f t="shared" si="0"/>
        <v>0</v>
      </c>
      <c r="F44" s="914">
        <f t="shared" si="7"/>
        <v>0</v>
      </c>
      <c r="G44" s="913"/>
      <c r="H44" s="913">
        <f t="shared" si="13"/>
        <v>0</v>
      </c>
      <c r="I44" s="913">
        <f t="shared" si="13"/>
        <v>0</v>
      </c>
      <c r="J44" s="911"/>
      <c r="K44" s="913">
        <f t="shared" si="14"/>
        <v>0</v>
      </c>
      <c r="L44" s="913">
        <f t="shared" si="14"/>
        <v>0</v>
      </c>
      <c r="M44" s="911"/>
      <c r="N44" s="913">
        <f t="shared" si="15"/>
        <v>0</v>
      </c>
      <c r="O44" s="913">
        <f t="shared" si="15"/>
        <v>0</v>
      </c>
      <c r="P44" s="911"/>
      <c r="Q44" s="913">
        <f t="shared" si="16"/>
        <v>0</v>
      </c>
      <c r="R44" s="913">
        <f t="shared" si="16"/>
        <v>0</v>
      </c>
      <c r="S44" s="911"/>
      <c r="T44" s="913">
        <f t="shared" si="17"/>
        <v>0</v>
      </c>
      <c r="U44" s="913">
        <f t="shared" si="17"/>
        <v>0</v>
      </c>
    </row>
    <row r="45" s="906" customFormat="1" ht="15" customHeight="1" spans="1:21">
      <c r="A45" s="911"/>
      <c r="B45" s="911"/>
      <c r="C45" s="911" t="str">
        <f>TRIM(合并试算平衡表!A67)</f>
        <v>交易性金融负债</v>
      </c>
      <c r="D45" s="913"/>
      <c r="E45" s="914">
        <f t="shared" si="0"/>
        <v>0</v>
      </c>
      <c r="F45" s="914">
        <f t="shared" si="7"/>
        <v>0</v>
      </c>
      <c r="G45" s="913"/>
      <c r="H45" s="913">
        <f t="shared" si="13"/>
        <v>0</v>
      </c>
      <c r="I45" s="913">
        <f t="shared" si="13"/>
        <v>0</v>
      </c>
      <c r="J45" s="911"/>
      <c r="K45" s="913">
        <f t="shared" si="14"/>
        <v>0</v>
      </c>
      <c r="L45" s="913">
        <f t="shared" si="14"/>
        <v>0</v>
      </c>
      <c r="M45" s="911"/>
      <c r="N45" s="913">
        <f t="shared" si="15"/>
        <v>0</v>
      </c>
      <c r="O45" s="913">
        <f t="shared" si="15"/>
        <v>0</v>
      </c>
      <c r="P45" s="911"/>
      <c r="Q45" s="913">
        <f t="shared" si="16"/>
        <v>0</v>
      </c>
      <c r="R45" s="913">
        <f t="shared" si="16"/>
        <v>0</v>
      </c>
      <c r="S45" s="911"/>
      <c r="T45" s="913">
        <f t="shared" si="17"/>
        <v>0</v>
      </c>
      <c r="U45" s="913">
        <f t="shared" si="17"/>
        <v>0</v>
      </c>
    </row>
    <row r="46" s="906" customFormat="1" ht="15" customHeight="1" spans="1:21">
      <c r="A46" s="911"/>
      <c r="B46" s="911"/>
      <c r="C46" s="911" t="str">
        <f>TRIM(合并试算平衡表!A68)</f>
        <v>衍生金融负债</v>
      </c>
      <c r="D46" s="913"/>
      <c r="E46" s="914">
        <f t="shared" si="0"/>
        <v>0</v>
      </c>
      <c r="F46" s="914">
        <f t="shared" si="7"/>
        <v>0</v>
      </c>
      <c r="G46" s="913"/>
      <c r="H46" s="913">
        <f t="shared" si="13"/>
        <v>0</v>
      </c>
      <c r="I46" s="913">
        <f t="shared" si="13"/>
        <v>0</v>
      </c>
      <c r="J46" s="911"/>
      <c r="K46" s="913">
        <f t="shared" si="14"/>
        <v>0</v>
      </c>
      <c r="L46" s="913">
        <f t="shared" si="14"/>
        <v>0</v>
      </c>
      <c r="M46" s="911"/>
      <c r="N46" s="913">
        <f t="shared" si="15"/>
        <v>0</v>
      </c>
      <c r="O46" s="913">
        <f t="shared" si="15"/>
        <v>0</v>
      </c>
      <c r="P46" s="911"/>
      <c r="Q46" s="913">
        <f t="shared" si="16"/>
        <v>0</v>
      </c>
      <c r="R46" s="913">
        <f t="shared" si="16"/>
        <v>0</v>
      </c>
      <c r="S46" s="911"/>
      <c r="T46" s="913">
        <f t="shared" si="17"/>
        <v>0</v>
      </c>
      <c r="U46" s="913">
        <f t="shared" si="17"/>
        <v>0</v>
      </c>
    </row>
    <row r="47" s="906" customFormat="1" ht="15" customHeight="1" spans="1:21">
      <c r="A47" s="911"/>
      <c r="B47" s="911"/>
      <c r="C47" s="911" t="str">
        <f>TRIM(合并试算平衡表!A69)</f>
        <v>△拆入资金</v>
      </c>
      <c r="D47" s="913"/>
      <c r="E47" s="914">
        <f t="shared" si="0"/>
        <v>0</v>
      </c>
      <c r="F47" s="914">
        <f t="shared" si="7"/>
        <v>0</v>
      </c>
      <c r="G47" s="913"/>
      <c r="H47" s="913">
        <f t="shared" si="13"/>
        <v>0</v>
      </c>
      <c r="I47" s="913">
        <f t="shared" si="13"/>
        <v>0</v>
      </c>
      <c r="J47" s="911"/>
      <c r="K47" s="913">
        <f t="shared" si="14"/>
        <v>0</v>
      </c>
      <c r="L47" s="913">
        <f t="shared" si="14"/>
        <v>0</v>
      </c>
      <c r="M47" s="911"/>
      <c r="N47" s="913">
        <f t="shared" si="15"/>
        <v>0</v>
      </c>
      <c r="O47" s="913">
        <f t="shared" si="15"/>
        <v>0</v>
      </c>
      <c r="P47" s="911"/>
      <c r="Q47" s="913">
        <f t="shared" si="16"/>
        <v>0</v>
      </c>
      <c r="R47" s="913">
        <f t="shared" si="16"/>
        <v>0</v>
      </c>
      <c r="S47" s="911"/>
      <c r="T47" s="913">
        <f t="shared" si="17"/>
        <v>0</v>
      </c>
      <c r="U47" s="913">
        <f t="shared" si="17"/>
        <v>0</v>
      </c>
    </row>
    <row r="48" s="906" customFormat="1" ht="15" customHeight="1" spans="1:21">
      <c r="A48" s="911"/>
      <c r="B48" s="911"/>
      <c r="C48" s="911" t="str">
        <f>TRIM(合并试算平衡表!A70)</f>
        <v>应付票据</v>
      </c>
      <c r="D48" s="913"/>
      <c r="E48" s="914">
        <f t="shared" si="0"/>
        <v>0</v>
      </c>
      <c r="F48" s="914">
        <f t="shared" si="7"/>
        <v>0</v>
      </c>
      <c r="G48" s="913"/>
      <c r="H48" s="913">
        <f t="shared" si="13"/>
        <v>0</v>
      </c>
      <c r="I48" s="913">
        <f t="shared" si="13"/>
        <v>0</v>
      </c>
      <c r="J48" s="911"/>
      <c r="K48" s="913">
        <f t="shared" si="14"/>
        <v>0</v>
      </c>
      <c r="L48" s="913">
        <f t="shared" si="14"/>
        <v>0</v>
      </c>
      <c r="M48" s="911"/>
      <c r="N48" s="913">
        <f t="shared" si="15"/>
        <v>0</v>
      </c>
      <c r="O48" s="913">
        <f t="shared" si="15"/>
        <v>0</v>
      </c>
      <c r="P48" s="911"/>
      <c r="Q48" s="913">
        <f t="shared" si="16"/>
        <v>0</v>
      </c>
      <c r="R48" s="913">
        <f t="shared" si="16"/>
        <v>0</v>
      </c>
      <c r="S48" s="911"/>
      <c r="T48" s="913">
        <f t="shared" si="17"/>
        <v>0</v>
      </c>
      <c r="U48" s="913">
        <f t="shared" si="17"/>
        <v>0</v>
      </c>
    </row>
    <row r="49" s="906" customFormat="1" ht="15" customHeight="1" spans="1:21">
      <c r="A49" s="911"/>
      <c r="B49" s="911"/>
      <c r="C49" s="911" t="str">
        <f>TRIM(合并试算平衡表!A71)</f>
        <v>应付账款</v>
      </c>
      <c r="D49" s="913"/>
      <c r="E49" s="914">
        <f t="shared" si="0"/>
        <v>84166416.88</v>
      </c>
      <c r="F49" s="914">
        <f t="shared" si="7"/>
        <v>0</v>
      </c>
      <c r="G49" s="913"/>
      <c r="H49" s="913">
        <f t="shared" si="13"/>
        <v>63078608.77</v>
      </c>
      <c r="I49" s="913">
        <f t="shared" si="13"/>
        <v>0</v>
      </c>
      <c r="J49" s="911"/>
      <c r="K49" s="913">
        <f t="shared" si="14"/>
        <v>21170257.07</v>
      </c>
      <c r="L49" s="913">
        <f t="shared" si="14"/>
        <v>0</v>
      </c>
      <c r="M49" s="911"/>
      <c r="N49" s="913">
        <f t="shared" si="15"/>
        <v>5028788.13</v>
      </c>
      <c r="O49" s="913">
        <f t="shared" si="15"/>
        <v>0</v>
      </c>
      <c r="P49" s="911"/>
      <c r="Q49" s="913">
        <f t="shared" si="16"/>
        <v>0</v>
      </c>
      <c r="R49" s="913">
        <f t="shared" si="16"/>
        <v>0</v>
      </c>
      <c r="S49" s="911"/>
      <c r="T49" s="913">
        <f t="shared" si="17"/>
        <v>0</v>
      </c>
      <c r="U49" s="913">
        <f t="shared" si="17"/>
        <v>0</v>
      </c>
    </row>
    <row r="50" s="906" customFormat="1" ht="15" customHeight="1" spans="1:21">
      <c r="A50" s="911"/>
      <c r="B50" s="911"/>
      <c r="C50" s="911" t="str">
        <f>TRIM(合并试算平衡表!A72)</f>
        <v>预收账款</v>
      </c>
      <c r="D50" s="913"/>
      <c r="E50" s="914">
        <f t="shared" si="0"/>
        <v>0</v>
      </c>
      <c r="F50" s="914">
        <f t="shared" si="7"/>
        <v>0</v>
      </c>
      <c r="G50" s="913"/>
      <c r="H50" s="913">
        <f t="shared" si="13"/>
        <v>0</v>
      </c>
      <c r="I50" s="913">
        <f t="shared" si="13"/>
        <v>0</v>
      </c>
      <c r="J50" s="911"/>
      <c r="K50" s="913">
        <f t="shared" si="14"/>
        <v>0</v>
      </c>
      <c r="L50" s="913">
        <f t="shared" si="14"/>
        <v>0</v>
      </c>
      <c r="M50" s="911"/>
      <c r="N50" s="913">
        <f t="shared" si="15"/>
        <v>0</v>
      </c>
      <c r="O50" s="913">
        <f t="shared" si="15"/>
        <v>0</v>
      </c>
      <c r="P50" s="911"/>
      <c r="Q50" s="913">
        <f t="shared" si="16"/>
        <v>0</v>
      </c>
      <c r="R50" s="913">
        <f t="shared" si="16"/>
        <v>0</v>
      </c>
      <c r="S50" s="911"/>
      <c r="T50" s="913">
        <f t="shared" si="17"/>
        <v>0</v>
      </c>
      <c r="U50" s="913">
        <f t="shared" si="17"/>
        <v>0</v>
      </c>
    </row>
    <row r="51" s="906" customFormat="1" ht="15" customHeight="1" spans="1:21">
      <c r="A51" s="911"/>
      <c r="B51" s="911"/>
      <c r="C51" s="911" t="str">
        <f>TRIM(合并试算平衡表!A74)</f>
        <v>△卖出回购金融资产款</v>
      </c>
      <c r="D51" s="913"/>
      <c r="E51" s="914">
        <f t="shared" si="0"/>
        <v>0</v>
      </c>
      <c r="F51" s="914">
        <f t="shared" si="7"/>
        <v>0</v>
      </c>
      <c r="G51" s="913"/>
      <c r="H51" s="913">
        <f t="shared" si="13"/>
        <v>0</v>
      </c>
      <c r="I51" s="913">
        <f t="shared" si="13"/>
        <v>0</v>
      </c>
      <c r="J51" s="911"/>
      <c r="K51" s="913">
        <f t="shared" si="14"/>
        <v>0</v>
      </c>
      <c r="L51" s="913">
        <f t="shared" si="14"/>
        <v>0</v>
      </c>
      <c r="M51" s="911"/>
      <c r="N51" s="913">
        <f t="shared" si="15"/>
        <v>0</v>
      </c>
      <c r="O51" s="913">
        <f t="shared" si="15"/>
        <v>0</v>
      </c>
      <c r="P51" s="911"/>
      <c r="Q51" s="913">
        <f t="shared" si="16"/>
        <v>0</v>
      </c>
      <c r="R51" s="913">
        <f t="shared" si="16"/>
        <v>0</v>
      </c>
      <c r="S51" s="911"/>
      <c r="T51" s="913">
        <f t="shared" si="17"/>
        <v>0</v>
      </c>
      <c r="U51" s="913">
        <f t="shared" si="17"/>
        <v>0</v>
      </c>
    </row>
    <row r="52" s="906" customFormat="1" ht="15" customHeight="1" spans="1:21">
      <c r="A52" s="911"/>
      <c r="B52" s="911"/>
      <c r="C52" s="911" t="str">
        <f>TRIM(合并试算平衡表!A75)</f>
        <v>△应付手续费及佣金</v>
      </c>
      <c r="D52" s="913"/>
      <c r="E52" s="914">
        <f t="shared" si="0"/>
        <v>0</v>
      </c>
      <c r="F52" s="914">
        <f t="shared" si="7"/>
        <v>0</v>
      </c>
      <c r="G52" s="913"/>
      <c r="H52" s="913">
        <f t="shared" si="13"/>
        <v>0</v>
      </c>
      <c r="I52" s="913">
        <f t="shared" si="13"/>
        <v>0</v>
      </c>
      <c r="J52" s="911"/>
      <c r="K52" s="913">
        <f t="shared" si="14"/>
        <v>0</v>
      </c>
      <c r="L52" s="913">
        <f t="shared" si="14"/>
        <v>0</v>
      </c>
      <c r="M52" s="911"/>
      <c r="N52" s="913">
        <f t="shared" si="15"/>
        <v>0</v>
      </c>
      <c r="O52" s="913">
        <f t="shared" si="15"/>
        <v>0</v>
      </c>
      <c r="P52" s="911"/>
      <c r="Q52" s="913">
        <f t="shared" si="16"/>
        <v>0</v>
      </c>
      <c r="R52" s="913">
        <f t="shared" si="16"/>
        <v>0</v>
      </c>
      <c r="S52" s="911"/>
      <c r="T52" s="913">
        <f t="shared" si="17"/>
        <v>0</v>
      </c>
      <c r="U52" s="913">
        <f t="shared" si="17"/>
        <v>0</v>
      </c>
    </row>
    <row r="53" s="906" customFormat="1" ht="15" customHeight="1" spans="1:21">
      <c r="A53" s="911"/>
      <c r="B53" s="911"/>
      <c r="C53" s="911" t="str">
        <f>TRIM(合并试算平衡表!A76)</f>
        <v>应付职工薪酬</v>
      </c>
      <c r="D53" s="913"/>
      <c r="E53" s="914">
        <f t="shared" si="0"/>
        <v>0</v>
      </c>
      <c r="F53" s="914">
        <f t="shared" si="7"/>
        <v>0</v>
      </c>
      <c r="G53" s="913"/>
      <c r="H53" s="913">
        <f t="shared" si="13"/>
        <v>0</v>
      </c>
      <c r="I53" s="913">
        <f t="shared" si="13"/>
        <v>0</v>
      </c>
      <c r="J53" s="911"/>
      <c r="K53" s="913">
        <f t="shared" si="14"/>
        <v>0</v>
      </c>
      <c r="L53" s="913">
        <f t="shared" si="14"/>
        <v>0</v>
      </c>
      <c r="M53" s="911"/>
      <c r="N53" s="913">
        <f t="shared" si="15"/>
        <v>0</v>
      </c>
      <c r="O53" s="913">
        <f t="shared" si="15"/>
        <v>0</v>
      </c>
      <c r="P53" s="911"/>
      <c r="Q53" s="913">
        <f t="shared" si="16"/>
        <v>0</v>
      </c>
      <c r="R53" s="913">
        <f t="shared" si="16"/>
        <v>0</v>
      </c>
      <c r="S53" s="911"/>
      <c r="T53" s="913">
        <f t="shared" si="17"/>
        <v>0</v>
      </c>
      <c r="U53" s="913">
        <f t="shared" si="17"/>
        <v>0</v>
      </c>
    </row>
    <row r="54" s="906" customFormat="1" ht="15" customHeight="1" spans="1:21">
      <c r="A54" s="911"/>
      <c r="B54" s="911"/>
      <c r="C54" s="911" t="str">
        <f>TRIM(合并试算平衡表!A77)</f>
        <v>应交税费</v>
      </c>
      <c r="D54" s="913"/>
      <c r="E54" s="914">
        <f t="shared" si="0"/>
        <v>0</v>
      </c>
      <c r="F54" s="914">
        <f t="shared" si="7"/>
        <v>0</v>
      </c>
      <c r="G54" s="913"/>
      <c r="H54" s="913">
        <f t="shared" si="13"/>
        <v>0</v>
      </c>
      <c r="I54" s="913">
        <f t="shared" si="13"/>
        <v>0</v>
      </c>
      <c r="J54" s="911"/>
      <c r="K54" s="913">
        <f t="shared" si="14"/>
        <v>0</v>
      </c>
      <c r="L54" s="913">
        <f t="shared" si="14"/>
        <v>0</v>
      </c>
      <c r="M54" s="911"/>
      <c r="N54" s="913">
        <f t="shared" si="15"/>
        <v>0</v>
      </c>
      <c r="O54" s="913">
        <f t="shared" si="15"/>
        <v>0</v>
      </c>
      <c r="P54" s="911"/>
      <c r="Q54" s="913">
        <f t="shared" si="16"/>
        <v>0</v>
      </c>
      <c r="R54" s="913">
        <f t="shared" si="16"/>
        <v>0</v>
      </c>
      <c r="S54" s="911"/>
      <c r="T54" s="913">
        <f t="shared" si="17"/>
        <v>0</v>
      </c>
      <c r="U54" s="913">
        <f t="shared" si="17"/>
        <v>0</v>
      </c>
    </row>
    <row r="55" s="906" customFormat="1" ht="15" customHeight="1" spans="1:21">
      <c r="A55" s="911"/>
      <c r="B55" s="911"/>
      <c r="C55" s="911" t="str">
        <f>TRIM(合并试算平衡表!A78)</f>
        <v>应付利息</v>
      </c>
      <c r="D55" s="913"/>
      <c r="E55" s="914">
        <f t="shared" si="0"/>
        <v>0</v>
      </c>
      <c r="F55" s="914">
        <f t="shared" si="7"/>
        <v>0</v>
      </c>
      <c r="G55" s="913"/>
      <c r="H55" s="913">
        <f t="shared" si="13"/>
        <v>0</v>
      </c>
      <c r="I55" s="913">
        <f t="shared" si="13"/>
        <v>0</v>
      </c>
      <c r="J55" s="911"/>
      <c r="K55" s="913">
        <f t="shared" si="14"/>
        <v>0</v>
      </c>
      <c r="L55" s="913">
        <f t="shared" si="14"/>
        <v>0</v>
      </c>
      <c r="M55" s="911"/>
      <c r="N55" s="913">
        <f t="shared" si="15"/>
        <v>0</v>
      </c>
      <c r="O55" s="913">
        <f t="shared" si="15"/>
        <v>0</v>
      </c>
      <c r="P55" s="911"/>
      <c r="Q55" s="913">
        <f t="shared" si="16"/>
        <v>0</v>
      </c>
      <c r="R55" s="913">
        <f t="shared" si="16"/>
        <v>0</v>
      </c>
      <c r="S55" s="911"/>
      <c r="T55" s="913">
        <f t="shared" si="17"/>
        <v>0</v>
      </c>
      <c r="U55" s="913">
        <f t="shared" si="17"/>
        <v>0</v>
      </c>
    </row>
    <row r="56" s="906" customFormat="1" ht="15" customHeight="1" spans="1:21">
      <c r="A56" s="911"/>
      <c r="B56" s="911"/>
      <c r="C56" s="911" t="str">
        <f>TRIM(合并试算平衡表!A79)</f>
        <v>应付股利</v>
      </c>
      <c r="D56" s="913"/>
      <c r="E56" s="914">
        <f t="shared" si="0"/>
        <v>0</v>
      </c>
      <c r="F56" s="914">
        <f t="shared" si="7"/>
        <v>0</v>
      </c>
      <c r="G56" s="913"/>
      <c r="H56" s="913">
        <f t="shared" si="13"/>
        <v>0</v>
      </c>
      <c r="I56" s="913">
        <f t="shared" si="13"/>
        <v>0</v>
      </c>
      <c r="J56" s="911"/>
      <c r="K56" s="913">
        <f t="shared" si="14"/>
        <v>0</v>
      </c>
      <c r="L56" s="913">
        <f t="shared" si="14"/>
        <v>0</v>
      </c>
      <c r="M56" s="911"/>
      <c r="N56" s="913">
        <f t="shared" si="15"/>
        <v>0</v>
      </c>
      <c r="O56" s="913">
        <f t="shared" si="15"/>
        <v>0</v>
      </c>
      <c r="P56" s="911"/>
      <c r="Q56" s="913">
        <f t="shared" si="16"/>
        <v>0</v>
      </c>
      <c r="R56" s="913">
        <f t="shared" si="16"/>
        <v>0</v>
      </c>
      <c r="S56" s="911"/>
      <c r="T56" s="913">
        <f t="shared" si="17"/>
        <v>0</v>
      </c>
      <c r="U56" s="913">
        <f t="shared" si="17"/>
        <v>0</v>
      </c>
    </row>
    <row r="57" s="906" customFormat="1" ht="15" customHeight="1" spans="1:21">
      <c r="A57" s="911"/>
      <c r="B57" s="911"/>
      <c r="C57" s="911" t="str">
        <f>TRIM(合并试算平衡表!A80)</f>
        <v>其他应付款</v>
      </c>
      <c r="D57" s="913"/>
      <c r="E57" s="914">
        <f t="shared" si="0"/>
        <v>0</v>
      </c>
      <c r="F57" s="914">
        <f t="shared" si="7"/>
        <v>0</v>
      </c>
      <c r="G57" s="913"/>
      <c r="H57" s="913">
        <f t="shared" si="13"/>
        <v>336853</v>
      </c>
      <c r="I57" s="913">
        <f t="shared" si="13"/>
        <v>0</v>
      </c>
      <c r="J57" s="911"/>
      <c r="K57" s="913">
        <f t="shared" si="14"/>
        <v>1668414.24</v>
      </c>
      <c r="L57" s="913">
        <f t="shared" si="14"/>
        <v>0</v>
      </c>
      <c r="M57" s="911"/>
      <c r="N57" s="913">
        <f t="shared" si="15"/>
        <v>0</v>
      </c>
      <c r="O57" s="913">
        <f t="shared" si="15"/>
        <v>0</v>
      </c>
      <c r="P57" s="911"/>
      <c r="Q57" s="913">
        <f t="shared" si="16"/>
        <v>0</v>
      </c>
      <c r="R57" s="913">
        <f t="shared" si="16"/>
        <v>0</v>
      </c>
      <c r="S57" s="911"/>
      <c r="T57" s="913">
        <f t="shared" si="17"/>
        <v>0</v>
      </c>
      <c r="U57" s="913">
        <f t="shared" si="17"/>
        <v>0</v>
      </c>
    </row>
    <row r="58" s="906" customFormat="1" ht="15" customHeight="1" spans="1:21">
      <c r="A58" s="911"/>
      <c r="B58" s="911"/>
      <c r="C58" s="911" t="str">
        <f>TRIM(合并试算平衡表!A81)</f>
        <v>△应付分保账款</v>
      </c>
      <c r="D58" s="913"/>
      <c r="E58" s="914">
        <f t="shared" si="0"/>
        <v>0</v>
      </c>
      <c r="F58" s="914">
        <f t="shared" si="7"/>
        <v>0</v>
      </c>
      <c r="G58" s="913"/>
      <c r="H58" s="913">
        <f t="shared" si="13"/>
        <v>0</v>
      </c>
      <c r="I58" s="913">
        <f t="shared" si="13"/>
        <v>0</v>
      </c>
      <c r="J58" s="911"/>
      <c r="K58" s="913">
        <f t="shared" si="14"/>
        <v>0</v>
      </c>
      <c r="L58" s="913">
        <f t="shared" si="14"/>
        <v>0</v>
      </c>
      <c r="M58" s="911"/>
      <c r="N58" s="913">
        <f t="shared" si="15"/>
        <v>0</v>
      </c>
      <c r="O58" s="913">
        <f t="shared" si="15"/>
        <v>0</v>
      </c>
      <c r="P58" s="911"/>
      <c r="Q58" s="913">
        <f t="shared" si="16"/>
        <v>0</v>
      </c>
      <c r="R58" s="913">
        <f t="shared" si="16"/>
        <v>0</v>
      </c>
      <c r="S58" s="911"/>
      <c r="T58" s="913">
        <f t="shared" si="17"/>
        <v>0</v>
      </c>
      <c r="U58" s="913">
        <f t="shared" si="17"/>
        <v>0</v>
      </c>
    </row>
    <row r="59" s="906" customFormat="1" ht="15" customHeight="1" spans="1:21">
      <c r="A59" s="911"/>
      <c r="B59" s="911"/>
      <c r="C59" s="911" t="str">
        <f>TRIM(合并试算平衡表!A82)</f>
        <v>△保险合同准备金</v>
      </c>
      <c r="D59" s="913"/>
      <c r="E59" s="914">
        <f t="shared" si="0"/>
        <v>0</v>
      </c>
      <c r="F59" s="914">
        <f t="shared" si="7"/>
        <v>0</v>
      </c>
      <c r="G59" s="913"/>
      <c r="H59" s="913">
        <f t="shared" si="13"/>
        <v>0</v>
      </c>
      <c r="I59" s="913">
        <f t="shared" si="13"/>
        <v>0</v>
      </c>
      <c r="J59" s="911"/>
      <c r="K59" s="913">
        <f t="shared" si="14"/>
        <v>0</v>
      </c>
      <c r="L59" s="913">
        <f t="shared" si="14"/>
        <v>0</v>
      </c>
      <c r="M59" s="911"/>
      <c r="N59" s="913">
        <f t="shared" si="15"/>
        <v>0</v>
      </c>
      <c r="O59" s="913">
        <f t="shared" si="15"/>
        <v>0</v>
      </c>
      <c r="P59" s="911"/>
      <c r="Q59" s="913">
        <f t="shared" si="16"/>
        <v>0</v>
      </c>
      <c r="R59" s="913">
        <f t="shared" si="16"/>
        <v>0</v>
      </c>
      <c r="S59" s="911"/>
      <c r="T59" s="913">
        <f t="shared" si="17"/>
        <v>0</v>
      </c>
      <c r="U59" s="913">
        <f t="shared" si="17"/>
        <v>0</v>
      </c>
    </row>
    <row r="60" s="906" customFormat="1" ht="15" customHeight="1" spans="1:21">
      <c r="A60" s="911"/>
      <c r="B60" s="911"/>
      <c r="C60" s="911" t="str">
        <f>TRIM(合并试算平衡表!A83)</f>
        <v>△代理买卖证券款</v>
      </c>
      <c r="D60" s="913"/>
      <c r="E60" s="914">
        <f t="shared" si="0"/>
        <v>0</v>
      </c>
      <c r="F60" s="914">
        <f t="shared" si="7"/>
        <v>0</v>
      </c>
      <c r="G60" s="913"/>
      <c r="H60" s="913">
        <f t="shared" si="13"/>
        <v>0</v>
      </c>
      <c r="I60" s="913">
        <f t="shared" si="13"/>
        <v>0</v>
      </c>
      <c r="J60" s="911"/>
      <c r="K60" s="913">
        <f t="shared" si="14"/>
        <v>0</v>
      </c>
      <c r="L60" s="913">
        <f t="shared" si="14"/>
        <v>0</v>
      </c>
      <c r="M60" s="911"/>
      <c r="N60" s="913">
        <f t="shared" si="15"/>
        <v>0</v>
      </c>
      <c r="O60" s="913">
        <f t="shared" si="15"/>
        <v>0</v>
      </c>
      <c r="P60" s="911"/>
      <c r="Q60" s="913">
        <f t="shared" si="16"/>
        <v>0</v>
      </c>
      <c r="R60" s="913">
        <f t="shared" si="16"/>
        <v>0</v>
      </c>
      <c r="S60" s="911"/>
      <c r="T60" s="913">
        <f t="shared" si="17"/>
        <v>0</v>
      </c>
      <c r="U60" s="913">
        <f t="shared" si="17"/>
        <v>0</v>
      </c>
    </row>
    <row r="61" s="906" customFormat="1" ht="15" customHeight="1" spans="1:21">
      <c r="A61" s="911"/>
      <c r="B61" s="911"/>
      <c r="C61" s="911" t="str">
        <f>TRIM(合并试算平衡表!A84)</f>
        <v>△代理承销证券款</v>
      </c>
      <c r="D61" s="913"/>
      <c r="E61" s="914">
        <f t="shared" si="0"/>
        <v>0</v>
      </c>
      <c r="F61" s="914">
        <f t="shared" si="7"/>
        <v>0</v>
      </c>
      <c r="G61" s="913"/>
      <c r="H61" s="913">
        <f t="shared" si="13"/>
        <v>0</v>
      </c>
      <c r="I61" s="913">
        <f t="shared" si="13"/>
        <v>0</v>
      </c>
      <c r="J61" s="911"/>
      <c r="K61" s="913">
        <f t="shared" si="14"/>
        <v>0</v>
      </c>
      <c r="L61" s="913">
        <f t="shared" si="14"/>
        <v>0</v>
      </c>
      <c r="M61" s="911"/>
      <c r="N61" s="913">
        <f t="shared" si="15"/>
        <v>0</v>
      </c>
      <c r="O61" s="913">
        <f t="shared" si="15"/>
        <v>0</v>
      </c>
      <c r="P61" s="911"/>
      <c r="Q61" s="913">
        <f t="shared" si="16"/>
        <v>0</v>
      </c>
      <c r="R61" s="913">
        <f t="shared" si="16"/>
        <v>0</v>
      </c>
      <c r="S61" s="911"/>
      <c r="T61" s="913">
        <f t="shared" si="17"/>
        <v>0</v>
      </c>
      <c r="U61" s="913">
        <f t="shared" si="17"/>
        <v>0</v>
      </c>
    </row>
    <row r="62" s="906" customFormat="1" ht="15" customHeight="1" spans="1:21">
      <c r="A62" s="911"/>
      <c r="B62" s="911"/>
      <c r="C62" s="911" t="str">
        <f>TRIM(合并试算平衡表!A85)</f>
        <v>划分为持有待售的负债</v>
      </c>
      <c r="D62" s="913"/>
      <c r="E62" s="914">
        <f t="shared" si="0"/>
        <v>0</v>
      </c>
      <c r="F62" s="914">
        <f t="shared" si="7"/>
        <v>0</v>
      </c>
      <c r="G62" s="913"/>
      <c r="H62" s="913">
        <f t="shared" si="13"/>
        <v>0</v>
      </c>
      <c r="I62" s="913">
        <f t="shared" si="13"/>
        <v>0</v>
      </c>
      <c r="J62" s="911"/>
      <c r="K62" s="913">
        <f t="shared" si="14"/>
        <v>0</v>
      </c>
      <c r="L62" s="913">
        <f t="shared" si="14"/>
        <v>0</v>
      </c>
      <c r="M62" s="911"/>
      <c r="N62" s="913">
        <f t="shared" si="15"/>
        <v>0</v>
      </c>
      <c r="O62" s="913">
        <f t="shared" si="15"/>
        <v>0</v>
      </c>
      <c r="P62" s="911"/>
      <c r="Q62" s="913">
        <f t="shared" si="16"/>
        <v>0</v>
      </c>
      <c r="R62" s="913">
        <f t="shared" si="16"/>
        <v>0</v>
      </c>
      <c r="S62" s="911"/>
      <c r="T62" s="913">
        <f t="shared" si="17"/>
        <v>0</v>
      </c>
      <c r="U62" s="913">
        <f t="shared" si="17"/>
        <v>0</v>
      </c>
    </row>
    <row r="63" s="906" customFormat="1" ht="15" customHeight="1" spans="1:21">
      <c r="A63" s="911"/>
      <c r="B63" s="911"/>
      <c r="C63" s="911" t="str">
        <f>TRIM(合并试算平衡表!A86)</f>
        <v>一年内到期的非流动负债</v>
      </c>
      <c r="D63" s="913"/>
      <c r="E63" s="914">
        <f t="shared" si="0"/>
        <v>0</v>
      </c>
      <c r="F63" s="914">
        <f t="shared" si="7"/>
        <v>0</v>
      </c>
      <c r="G63" s="913"/>
      <c r="H63" s="913">
        <f t="shared" ref="H63:I82" si="18">SUMIFS(H$134:H$407,$C$134:$C$407,$C63,$J$134:$J$407,"Y")</f>
        <v>0</v>
      </c>
      <c r="I63" s="913">
        <f t="shared" si="18"/>
        <v>0</v>
      </c>
      <c r="J63" s="911"/>
      <c r="K63" s="913">
        <f t="shared" ref="K63:L82" si="19">SUMIFS(K$134:K$407,$C$134:$C$407,$C63,$M$134:$M$407,"Y")</f>
        <v>0</v>
      </c>
      <c r="L63" s="913">
        <f t="shared" si="19"/>
        <v>0</v>
      </c>
      <c r="M63" s="911"/>
      <c r="N63" s="913">
        <f t="shared" ref="N63:O82" si="20">SUMIFS(N$135:N$407,$C$135:$C$407,$C63,$P$135:$P$407,"Y")</f>
        <v>0</v>
      </c>
      <c r="O63" s="913">
        <f t="shared" si="20"/>
        <v>0</v>
      </c>
      <c r="P63" s="911"/>
      <c r="Q63" s="913">
        <f t="shared" ref="Q63:R82" si="21">SUMIFS(Q$135:Q$407,$C$135:$C$407,$C63,$S$135:$S$407,"Y")</f>
        <v>0</v>
      </c>
      <c r="R63" s="913">
        <f t="shared" si="21"/>
        <v>0</v>
      </c>
      <c r="S63" s="911"/>
      <c r="T63" s="913">
        <f t="shared" ref="T63:U82" si="22">SUMIFS(T$135:T$407,$C$135:$C$407,$C63,$V$135:$V$407,"Y")</f>
        <v>0</v>
      </c>
      <c r="U63" s="913">
        <f t="shared" si="22"/>
        <v>0</v>
      </c>
    </row>
    <row r="64" s="906" customFormat="1" ht="15" customHeight="1" spans="1:21">
      <c r="A64" s="911"/>
      <c r="B64" s="911"/>
      <c r="C64" s="911" t="str">
        <f>TRIM(合并试算平衡表!A87)</f>
        <v>其他流动负债</v>
      </c>
      <c r="D64" s="913"/>
      <c r="E64" s="914">
        <f t="shared" si="0"/>
        <v>0</v>
      </c>
      <c r="F64" s="914">
        <f t="shared" si="7"/>
        <v>0</v>
      </c>
      <c r="G64" s="913"/>
      <c r="H64" s="913">
        <f t="shared" si="18"/>
        <v>0</v>
      </c>
      <c r="I64" s="913">
        <f t="shared" si="18"/>
        <v>0</v>
      </c>
      <c r="J64" s="911"/>
      <c r="K64" s="913">
        <f t="shared" si="19"/>
        <v>0</v>
      </c>
      <c r="L64" s="913">
        <f t="shared" si="19"/>
        <v>0</v>
      </c>
      <c r="M64" s="911"/>
      <c r="N64" s="913">
        <f t="shared" si="20"/>
        <v>0</v>
      </c>
      <c r="O64" s="913">
        <f t="shared" si="20"/>
        <v>0</v>
      </c>
      <c r="P64" s="911"/>
      <c r="Q64" s="913">
        <f t="shared" si="21"/>
        <v>0</v>
      </c>
      <c r="R64" s="913">
        <f t="shared" si="21"/>
        <v>0</v>
      </c>
      <c r="S64" s="911"/>
      <c r="T64" s="913">
        <f t="shared" si="22"/>
        <v>0</v>
      </c>
      <c r="U64" s="913">
        <f t="shared" si="22"/>
        <v>0</v>
      </c>
    </row>
    <row r="65" s="906" customFormat="1" ht="15" customHeight="1" spans="1:21">
      <c r="A65" s="911"/>
      <c r="B65" s="911"/>
      <c r="C65" s="911" t="str">
        <f>TRIM(合并试算平衡表!A90)</f>
        <v>长期借款</v>
      </c>
      <c r="D65" s="913"/>
      <c r="E65" s="914">
        <f t="shared" si="0"/>
        <v>0</v>
      </c>
      <c r="F65" s="914">
        <f t="shared" si="7"/>
        <v>0</v>
      </c>
      <c r="G65" s="913"/>
      <c r="H65" s="913">
        <f t="shared" si="18"/>
        <v>0</v>
      </c>
      <c r="I65" s="913">
        <f t="shared" si="18"/>
        <v>0</v>
      </c>
      <c r="J65" s="911"/>
      <c r="K65" s="913">
        <f t="shared" si="19"/>
        <v>0</v>
      </c>
      <c r="L65" s="913">
        <f t="shared" si="19"/>
        <v>0</v>
      </c>
      <c r="M65" s="911"/>
      <c r="N65" s="913">
        <f t="shared" si="20"/>
        <v>0</v>
      </c>
      <c r="O65" s="913">
        <f t="shared" si="20"/>
        <v>0</v>
      </c>
      <c r="P65" s="911"/>
      <c r="Q65" s="913">
        <f t="shared" si="21"/>
        <v>0</v>
      </c>
      <c r="R65" s="913">
        <f t="shared" si="21"/>
        <v>0</v>
      </c>
      <c r="S65" s="911"/>
      <c r="T65" s="913">
        <f t="shared" si="22"/>
        <v>0</v>
      </c>
      <c r="U65" s="913">
        <f t="shared" si="22"/>
        <v>0</v>
      </c>
    </row>
    <row r="66" s="906" customFormat="1" ht="15" customHeight="1" spans="1:21">
      <c r="A66" s="911"/>
      <c r="B66" s="911"/>
      <c r="C66" s="911" t="str">
        <f>TRIM(合并试算平衡表!A91)</f>
        <v>应付债券</v>
      </c>
      <c r="D66" s="913"/>
      <c r="E66" s="914">
        <f t="shared" si="0"/>
        <v>0</v>
      </c>
      <c r="F66" s="914">
        <f t="shared" si="7"/>
        <v>0</v>
      </c>
      <c r="G66" s="913"/>
      <c r="H66" s="913">
        <f t="shared" si="18"/>
        <v>0</v>
      </c>
      <c r="I66" s="913">
        <f t="shared" si="18"/>
        <v>0</v>
      </c>
      <c r="J66" s="911"/>
      <c r="K66" s="913">
        <f t="shared" si="19"/>
        <v>0</v>
      </c>
      <c r="L66" s="913">
        <f t="shared" si="19"/>
        <v>0</v>
      </c>
      <c r="M66" s="911"/>
      <c r="N66" s="913">
        <f t="shared" si="20"/>
        <v>0</v>
      </c>
      <c r="O66" s="913">
        <f t="shared" si="20"/>
        <v>0</v>
      </c>
      <c r="P66" s="911"/>
      <c r="Q66" s="913">
        <f t="shared" si="21"/>
        <v>0</v>
      </c>
      <c r="R66" s="913">
        <f t="shared" si="21"/>
        <v>0</v>
      </c>
      <c r="S66" s="911"/>
      <c r="T66" s="913">
        <f t="shared" si="22"/>
        <v>0</v>
      </c>
      <c r="U66" s="913">
        <f t="shared" si="22"/>
        <v>0</v>
      </c>
    </row>
    <row r="67" s="906" customFormat="1" ht="15" customHeight="1" spans="1:21">
      <c r="A67" s="911"/>
      <c r="B67" s="911"/>
      <c r="C67" s="911" t="str">
        <f>TRIM(合并试算平衡表!A92)</f>
        <v>其中:优先股</v>
      </c>
      <c r="D67" s="913"/>
      <c r="E67" s="914">
        <f t="shared" ref="E67:E98" si="23">SUMIFS(E$134:E$407,$C$134:$C$407,$C67,$G$134:$G$407,"Y")</f>
        <v>0</v>
      </c>
      <c r="F67" s="914">
        <f t="shared" si="7"/>
        <v>0</v>
      </c>
      <c r="G67" s="913"/>
      <c r="H67" s="913">
        <f t="shared" si="18"/>
        <v>0</v>
      </c>
      <c r="I67" s="913">
        <f t="shared" si="18"/>
        <v>0</v>
      </c>
      <c r="J67" s="911"/>
      <c r="K67" s="913">
        <f t="shared" si="19"/>
        <v>0</v>
      </c>
      <c r="L67" s="913">
        <f t="shared" si="19"/>
        <v>0</v>
      </c>
      <c r="M67" s="911"/>
      <c r="N67" s="913">
        <f t="shared" si="20"/>
        <v>0</v>
      </c>
      <c r="O67" s="913">
        <f t="shared" si="20"/>
        <v>0</v>
      </c>
      <c r="P67" s="911"/>
      <c r="Q67" s="913">
        <f t="shared" si="21"/>
        <v>0</v>
      </c>
      <c r="R67" s="913">
        <f t="shared" si="21"/>
        <v>0</v>
      </c>
      <c r="S67" s="911"/>
      <c r="T67" s="913">
        <f t="shared" si="22"/>
        <v>0</v>
      </c>
      <c r="U67" s="913">
        <f t="shared" si="22"/>
        <v>0</v>
      </c>
    </row>
    <row r="68" s="906" customFormat="1" ht="15" customHeight="1" spans="1:21">
      <c r="A68" s="911"/>
      <c r="B68" s="911"/>
      <c r="C68" s="911" t="str">
        <f>TRIM(合并试算平衡表!A93)</f>
        <v>永续债</v>
      </c>
      <c r="D68" s="913"/>
      <c r="E68" s="914">
        <f t="shared" si="23"/>
        <v>0</v>
      </c>
      <c r="F68" s="914">
        <f t="shared" si="7"/>
        <v>0</v>
      </c>
      <c r="G68" s="913"/>
      <c r="H68" s="913">
        <f t="shared" si="18"/>
        <v>0</v>
      </c>
      <c r="I68" s="913">
        <f t="shared" si="18"/>
        <v>0</v>
      </c>
      <c r="J68" s="911"/>
      <c r="K68" s="913">
        <f t="shared" si="19"/>
        <v>0</v>
      </c>
      <c r="L68" s="913">
        <f t="shared" si="19"/>
        <v>0</v>
      </c>
      <c r="M68" s="911"/>
      <c r="N68" s="913">
        <f t="shared" si="20"/>
        <v>0</v>
      </c>
      <c r="O68" s="913">
        <f t="shared" si="20"/>
        <v>0</v>
      </c>
      <c r="P68" s="911"/>
      <c r="Q68" s="913">
        <f t="shared" si="21"/>
        <v>0</v>
      </c>
      <c r="R68" s="913">
        <f t="shared" si="21"/>
        <v>0</v>
      </c>
      <c r="S68" s="911"/>
      <c r="T68" s="913">
        <f t="shared" si="22"/>
        <v>0</v>
      </c>
      <c r="U68" s="913">
        <f t="shared" si="22"/>
        <v>0</v>
      </c>
    </row>
    <row r="69" s="906" customFormat="1" ht="15" customHeight="1" spans="1:21">
      <c r="A69" s="911"/>
      <c r="B69" s="911"/>
      <c r="C69" s="911" t="str">
        <f>TRIM(合并试算平衡表!A94)</f>
        <v>长期应付款</v>
      </c>
      <c r="D69" s="913"/>
      <c r="E69" s="914">
        <f t="shared" si="23"/>
        <v>0</v>
      </c>
      <c r="F69" s="914">
        <f t="shared" si="7"/>
        <v>0</v>
      </c>
      <c r="G69" s="913"/>
      <c r="H69" s="913">
        <f t="shared" si="18"/>
        <v>0</v>
      </c>
      <c r="I69" s="913">
        <f t="shared" si="18"/>
        <v>0</v>
      </c>
      <c r="J69" s="911"/>
      <c r="K69" s="913">
        <f t="shared" si="19"/>
        <v>0</v>
      </c>
      <c r="L69" s="913">
        <f t="shared" si="19"/>
        <v>0</v>
      </c>
      <c r="M69" s="911"/>
      <c r="N69" s="913">
        <f t="shared" si="20"/>
        <v>0</v>
      </c>
      <c r="O69" s="913">
        <f t="shared" si="20"/>
        <v>0</v>
      </c>
      <c r="P69" s="911"/>
      <c r="Q69" s="913">
        <f t="shared" si="21"/>
        <v>0</v>
      </c>
      <c r="R69" s="913">
        <f t="shared" si="21"/>
        <v>0</v>
      </c>
      <c r="S69" s="911"/>
      <c r="T69" s="913">
        <f t="shared" si="22"/>
        <v>0</v>
      </c>
      <c r="U69" s="913">
        <f t="shared" si="22"/>
        <v>0</v>
      </c>
    </row>
    <row r="70" s="906" customFormat="1" ht="15" customHeight="1" spans="1:21">
      <c r="A70" s="911"/>
      <c r="B70" s="911"/>
      <c r="C70" s="911" t="str">
        <f>TRIM(合并试算平衡表!A95)</f>
        <v>长期应付职工薪酬</v>
      </c>
      <c r="D70" s="913"/>
      <c r="E70" s="914">
        <f t="shared" si="23"/>
        <v>0</v>
      </c>
      <c r="F70" s="914">
        <f t="shared" si="7"/>
        <v>0</v>
      </c>
      <c r="G70" s="913"/>
      <c r="H70" s="913">
        <f t="shared" si="18"/>
        <v>0</v>
      </c>
      <c r="I70" s="913">
        <f t="shared" si="18"/>
        <v>0</v>
      </c>
      <c r="J70" s="911"/>
      <c r="K70" s="913">
        <f t="shared" si="19"/>
        <v>0</v>
      </c>
      <c r="L70" s="913">
        <f t="shared" si="19"/>
        <v>0</v>
      </c>
      <c r="M70" s="911"/>
      <c r="N70" s="913">
        <f t="shared" si="20"/>
        <v>0</v>
      </c>
      <c r="O70" s="913">
        <f t="shared" si="20"/>
        <v>0</v>
      </c>
      <c r="P70" s="911"/>
      <c r="Q70" s="913">
        <f t="shared" si="21"/>
        <v>0</v>
      </c>
      <c r="R70" s="913">
        <f t="shared" si="21"/>
        <v>0</v>
      </c>
      <c r="S70" s="911"/>
      <c r="T70" s="913">
        <f t="shared" si="22"/>
        <v>0</v>
      </c>
      <c r="U70" s="913">
        <f t="shared" si="22"/>
        <v>0</v>
      </c>
    </row>
    <row r="71" s="906" customFormat="1" ht="15" customHeight="1" spans="1:21">
      <c r="A71" s="911"/>
      <c r="B71" s="911"/>
      <c r="C71" s="911" t="str">
        <f>TRIM(合并试算平衡表!A96)</f>
        <v>专项应付款</v>
      </c>
      <c r="D71" s="913"/>
      <c r="E71" s="914">
        <f t="shared" si="23"/>
        <v>0</v>
      </c>
      <c r="F71" s="914">
        <f t="shared" si="7"/>
        <v>0</v>
      </c>
      <c r="G71" s="913"/>
      <c r="H71" s="913">
        <f t="shared" si="18"/>
        <v>0</v>
      </c>
      <c r="I71" s="913">
        <f t="shared" si="18"/>
        <v>0</v>
      </c>
      <c r="J71" s="911"/>
      <c r="K71" s="913">
        <f t="shared" si="19"/>
        <v>0</v>
      </c>
      <c r="L71" s="913">
        <f t="shared" si="19"/>
        <v>0</v>
      </c>
      <c r="M71" s="911"/>
      <c r="N71" s="913">
        <f t="shared" si="20"/>
        <v>0</v>
      </c>
      <c r="O71" s="913">
        <f t="shared" si="20"/>
        <v>0</v>
      </c>
      <c r="P71" s="911"/>
      <c r="Q71" s="913">
        <f t="shared" si="21"/>
        <v>0</v>
      </c>
      <c r="R71" s="913">
        <f t="shared" si="21"/>
        <v>0</v>
      </c>
      <c r="S71" s="911"/>
      <c r="T71" s="913">
        <f t="shared" si="22"/>
        <v>0</v>
      </c>
      <c r="U71" s="913">
        <f t="shared" si="22"/>
        <v>0</v>
      </c>
    </row>
    <row r="72" s="906" customFormat="1" ht="15" customHeight="1" spans="1:21">
      <c r="A72" s="911"/>
      <c r="B72" s="911"/>
      <c r="C72" s="911" t="str">
        <f>TRIM(合并试算平衡表!A97)</f>
        <v>预计负债</v>
      </c>
      <c r="D72" s="913"/>
      <c r="E72" s="914">
        <f t="shared" si="23"/>
        <v>0</v>
      </c>
      <c r="F72" s="914">
        <f t="shared" si="7"/>
        <v>0</v>
      </c>
      <c r="G72" s="913"/>
      <c r="H72" s="913">
        <f t="shared" si="18"/>
        <v>0</v>
      </c>
      <c r="I72" s="913">
        <f t="shared" si="18"/>
        <v>0</v>
      </c>
      <c r="J72" s="911"/>
      <c r="K72" s="913">
        <f t="shared" si="19"/>
        <v>0</v>
      </c>
      <c r="L72" s="913">
        <f t="shared" si="19"/>
        <v>0</v>
      </c>
      <c r="M72" s="911"/>
      <c r="N72" s="913">
        <f t="shared" si="20"/>
        <v>0</v>
      </c>
      <c r="O72" s="913">
        <f t="shared" si="20"/>
        <v>0</v>
      </c>
      <c r="P72" s="911"/>
      <c r="Q72" s="913">
        <f t="shared" si="21"/>
        <v>0</v>
      </c>
      <c r="R72" s="913">
        <f t="shared" si="21"/>
        <v>0</v>
      </c>
      <c r="S72" s="911"/>
      <c r="T72" s="913">
        <f t="shared" si="22"/>
        <v>0</v>
      </c>
      <c r="U72" s="913">
        <f t="shared" si="22"/>
        <v>0</v>
      </c>
    </row>
    <row r="73" s="906" customFormat="1" ht="15" customHeight="1" spans="1:21">
      <c r="A73" s="911"/>
      <c r="B73" s="911"/>
      <c r="C73" s="911" t="str">
        <f>TRIM(合并试算平衡表!A98)</f>
        <v>递延收益</v>
      </c>
      <c r="D73" s="913"/>
      <c r="E73" s="914">
        <f t="shared" si="23"/>
        <v>0</v>
      </c>
      <c r="F73" s="914">
        <f t="shared" ref="F73:F98" si="24">SUMIFS(F$134:F$407,$C$134:$C$407,$C73,$G$134:$G$407,"Y")</f>
        <v>0</v>
      </c>
      <c r="G73" s="913"/>
      <c r="H73" s="913">
        <f t="shared" si="18"/>
        <v>0</v>
      </c>
      <c r="I73" s="913">
        <f t="shared" si="18"/>
        <v>0</v>
      </c>
      <c r="J73" s="911"/>
      <c r="K73" s="913">
        <f t="shared" si="19"/>
        <v>0</v>
      </c>
      <c r="L73" s="913">
        <f t="shared" si="19"/>
        <v>0</v>
      </c>
      <c r="M73" s="911"/>
      <c r="N73" s="913">
        <f t="shared" si="20"/>
        <v>0</v>
      </c>
      <c r="O73" s="913">
        <f t="shared" si="20"/>
        <v>0</v>
      </c>
      <c r="P73" s="911"/>
      <c r="Q73" s="913">
        <f t="shared" si="21"/>
        <v>0</v>
      </c>
      <c r="R73" s="913">
        <f t="shared" si="21"/>
        <v>0</v>
      </c>
      <c r="S73" s="911"/>
      <c r="T73" s="913">
        <f t="shared" si="22"/>
        <v>0</v>
      </c>
      <c r="U73" s="913">
        <f t="shared" si="22"/>
        <v>0</v>
      </c>
    </row>
    <row r="74" s="906" customFormat="1" ht="15" customHeight="1" spans="1:21">
      <c r="A74" s="911"/>
      <c r="B74" s="911"/>
      <c r="C74" s="911" t="str">
        <f>TRIM(合并试算平衡表!A99)</f>
        <v>递延所得税负债</v>
      </c>
      <c r="D74" s="913"/>
      <c r="E74" s="914">
        <f t="shared" si="23"/>
        <v>0</v>
      </c>
      <c r="F74" s="914">
        <f t="shared" si="24"/>
        <v>0</v>
      </c>
      <c r="G74" s="913"/>
      <c r="H74" s="913">
        <f t="shared" si="18"/>
        <v>0</v>
      </c>
      <c r="I74" s="913">
        <f t="shared" si="18"/>
        <v>0</v>
      </c>
      <c r="J74" s="911"/>
      <c r="K74" s="913">
        <f t="shared" si="19"/>
        <v>0</v>
      </c>
      <c r="L74" s="913">
        <f t="shared" si="19"/>
        <v>0</v>
      </c>
      <c r="M74" s="911"/>
      <c r="N74" s="913">
        <f t="shared" si="20"/>
        <v>0</v>
      </c>
      <c r="O74" s="913">
        <f t="shared" si="20"/>
        <v>0</v>
      </c>
      <c r="P74" s="911"/>
      <c r="Q74" s="913">
        <f t="shared" si="21"/>
        <v>0</v>
      </c>
      <c r="R74" s="913">
        <f t="shared" si="21"/>
        <v>0</v>
      </c>
      <c r="S74" s="911"/>
      <c r="T74" s="913">
        <f t="shared" si="22"/>
        <v>0</v>
      </c>
      <c r="U74" s="913">
        <f t="shared" si="22"/>
        <v>0</v>
      </c>
    </row>
    <row r="75" s="906" customFormat="1" ht="15" customHeight="1" spans="1:21">
      <c r="A75" s="911"/>
      <c r="B75" s="911"/>
      <c r="C75" s="911" t="str">
        <f>TRIM(合并试算平衡表!A100)</f>
        <v>其他非流动负债</v>
      </c>
      <c r="D75" s="913"/>
      <c r="E75" s="914">
        <f t="shared" si="23"/>
        <v>0</v>
      </c>
      <c r="F75" s="914">
        <f t="shared" si="24"/>
        <v>0</v>
      </c>
      <c r="G75" s="913"/>
      <c r="H75" s="913">
        <f t="shared" si="18"/>
        <v>0</v>
      </c>
      <c r="I75" s="913">
        <f t="shared" si="18"/>
        <v>0</v>
      </c>
      <c r="J75" s="911"/>
      <c r="K75" s="913">
        <f t="shared" si="19"/>
        <v>0</v>
      </c>
      <c r="L75" s="913">
        <f t="shared" si="19"/>
        <v>0</v>
      </c>
      <c r="M75" s="911"/>
      <c r="N75" s="913">
        <f t="shared" si="20"/>
        <v>0</v>
      </c>
      <c r="O75" s="913">
        <f t="shared" si="20"/>
        <v>0</v>
      </c>
      <c r="P75" s="911"/>
      <c r="Q75" s="913">
        <f t="shared" si="21"/>
        <v>0</v>
      </c>
      <c r="R75" s="913">
        <f t="shared" si="21"/>
        <v>0</v>
      </c>
      <c r="S75" s="911"/>
      <c r="T75" s="913">
        <f t="shared" si="22"/>
        <v>0</v>
      </c>
      <c r="U75" s="913">
        <f t="shared" si="22"/>
        <v>0</v>
      </c>
    </row>
    <row r="76" s="906" customFormat="1" ht="15" customHeight="1" spans="1:21">
      <c r="A76" s="911"/>
      <c r="B76" s="911"/>
      <c r="C76" s="911" t="str">
        <f>TRIM(合并试算平衡表!A104)</f>
        <v>实收资本（或股本）</v>
      </c>
      <c r="D76" s="913"/>
      <c r="E76" s="914">
        <f t="shared" si="23"/>
        <v>261428991.81</v>
      </c>
      <c r="F76" s="914">
        <f t="shared" si="24"/>
        <v>0</v>
      </c>
      <c r="G76" s="913"/>
      <c r="H76" s="913">
        <f t="shared" si="18"/>
        <v>261428991.81</v>
      </c>
      <c r="I76" s="913">
        <f t="shared" si="18"/>
        <v>0</v>
      </c>
      <c r="J76" s="911"/>
      <c r="K76" s="913">
        <f t="shared" si="19"/>
        <v>33000000</v>
      </c>
      <c r="L76" s="913">
        <f t="shared" si="19"/>
        <v>0</v>
      </c>
      <c r="M76" s="911"/>
      <c r="N76" s="913">
        <f t="shared" si="20"/>
        <v>33000000</v>
      </c>
      <c r="O76" s="913">
        <f t="shared" si="20"/>
        <v>0</v>
      </c>
      <c r="P76" s="911"/>
      <c r="Q76" s="913">
        <f t="shared" si="21"/>
        <v>0</v>
      </c>
      <c r="R76" s="913">
        <f t="shared" si="21"/>
        <v>0</v>
      </c>
      <c r="S76" s="911"/>
      <c r="T76" s="913">
        <f t="shared" si="22"/>
        <v>0</v>
      </c>
      <c r="U76" s="913">
        <f t="shared" si="22"/>
        <v>0</v>
      </c>
    </row>
    <row r="77" s="906" customFormat="1" ht="15" customHeight="1" spans="1:21">
      <c r="A77" s="911"/>
      <c r="B77" s="911"/>
      <c r="C77" s="911" t="str">
        <f>TRIM(合并试算平衡表!A105)</f>
        <v>其他权益工具</v>
      </c>
      <c r="D77" s="913"/>
      <c r="E77" s="914">
        <f t="shared" si="23"/>
        <v>0</v>
      </c>
      <c r="F77" s="914">
        <f t="shared" si="24"/>
        <v>0</v>
      </c>
      <c r="G77" s="913"/>
      <c r="H77" s="913">
        <f t="shared" si="18"/>
        <v>0</v>
      </c>
      <c r="I77" s="913">
        <f t="shared" si="18"/>
        <v>0</v>
      </c>
      <c r="J77" s="911"/>
      <c r="K77" s="913">
        <f t="shared" si="19"/>
        <v>0</v>
      </c>
      <c r="L77" s="913">
        <f t="shared" si="19"/>
        <v>0</v>
      </c>
      <c r="M77" s="911"/>
      <c r="N77" s="913">
        <f t="shared" si="20"/>
        <v>0</v>
      </c>
      <c r="O77" s="913">
        <f t="shared" si="20"/>
        <v>0</v>
      </c>
      <c r="P77" s="911"/>
      <c r="Q77" s="913">
        <f t="shared" si="21"/>
        <v>0</v>
      </c>
      <c r="R77" s="913">
        <f t="shared" si="21"/>
        <v>0</v>
      </c>
      <c r="S77" s="911"/>
      <c r="T77" s="913">
        <f t="shared" si="22"/>
        <v>0</v>
      </c>
      <c r="U77" s="913">
        <f t="shared" si="22"/>
        <v>0</v>
      </c>
    </row>
    <row r="78" s="906" customFormat="1" ht="15" customHeight="1" spans="1:21">
      <c r="A78" s="911"/>
      <c r="B78" s="911"/>
      <c r="C78" s="911" t="str">
        <f>TRIM(合并试算平衡表!A106)</f>
        <v>其中:优先股</v>
      </c>
      <c r="D78" s="913"/>
      <c r="E78" s="914">
        <f t="shared" si="23"/>
        <v>0</v>
      </c>
      <c r="F78" s="914">
        <f t="shared" si="24"/>
        <v>0</v>
      </c>
      <c r="G78" s="913"/>
      <c r="H78" s="913">
        <f t="shared" si="18"/>
        <v>0</v>
      </c>
      <c r="I78" s="913">
        <f t="shared" si="18"/>
        <v>0</v>
      </c>
      <c r="J78" s="911"/>
      <c r="K78" s="913">
        <f t="shared" si="19"/>
        <v>0</v>
      </c>
      <c r="L78" s="913">
        <f t="shared" si="19"/>
        <v>0</v>
      </c>
      <c r="M78" s="911"/>
      <c r="N78" s="913">
        <f t="shared" si="20"/>
        <v>0</v>
      </c>
      <c r="O78" s="913">
        <f t="shared" si="20"/>
        <v>0</v>
      </c>
      <c r="P78" s="911"/>
      <c r="Q78" s="913">
        <f t="shared" si="21"/>
        <v>0</v>
      </c>
      <c r="R78" s="913">
        <f t="shared" si="21"/>
        <v>0</v>
      </c>
      <c r="S78" s="911"/>
      <c r="T78" s="913">
        <f t="shared" si="22"/>
        <v>0</v>
      </c>
      <c r="U78" s="913">
        <f t="shared" si="22"/>
        <v>0</v>
      </c>
    </row>
    <row r="79" s="906" customFormat="1" ht="15" customHeight="1" spans="1:21">
      <c r="A79" s="911"/>
      <c r="B79" s="911"/>
      <c r="C79" s="911" t="str">
        <f>TRIM(合并试算平衡表!A107)</f>
        <v>永续债</v>
      </c>
      <c r="D79" s="913"/>
      <c r="E79" s="914">
        <f t="shared" si="23"/>
        <v>0</v>
      </c>
      <c r="F79" s="914">
        <f t="shared" si="24"/>
        <v>0</v>
      </c>
      <c r="G79" s="913"/>
      <c r="H79" s="913">
        <f t="shared" si="18"/>
        <v>0</v>
      </c>
      <c r="I79" s="913">
        <f t="shared" si="18"/>
        <v>0</v>
      </c>
      <c r="J79" s="911"/>
      <c r="K79" s="913">
        <f t="shared" si="19"/>
        <v>0</v>
      </c>
      <c r="L79" s="913">
        <f t="shared" si="19"/>
        <v>0</v>
      </c>
      <c r="M79" s="911"/>
      <c r="N79" s="913">
        <f t="shared" si="20"/>
        <v>0</v>
      </c>
      <c r="O79" s="913">
        <f t="shared" si="20"/>
        <v>0</v>
      </c>
      <c r="P79" s="911"/>
      <c r="Q79" s="913">
        <f t="shared" si="21"/>
        <v>0</v>
      </c>
      <c r="R79" s="913">
        <f t="shared" si="21"/>
        <v>0</v>
      </c>
      <c r="S79" s="911"/>
      <c r="T79" s="913">
        <f t="shared" si="22"/>
        <v>0</v>
      </c>
      <c r="U79" s="913">
        <f t="shared" si="22"/>
        <v>0</v>
      </c>
    </row>
    <row r="80" s="906" customFormat="1" ht="15" customHeight="1" spans="1:21">
      <c r="A80" s="911"/>
      <c r="B80" s="911"/>
      <c r="C80" s="911" t="str">
        <f>TRIM(合并试算平衡表!A108)</f>
        <v>资本公积</v>
      </c>
      <c r="D80" s="913"/>
      <c r="E80" s="914">
        <f t="shared" si="23"/>
        <v>3000000</v>
      </c>
      <c r="F80" s="914">
        <f t="shared" si="24"/>
        <v>-10903.67</v>
      </c>
      <c r="G80" s="913"/>
      <c r="H80" s="913">
        <f t="shared" si="18"/>
        <v>3000000</v>
      </c>
      <c r="I80" s="913">
        <f t="shared" si="18"/>
        <v>-10903.67</v>
      </c>
      <c r="J80" s="911"/>
      <c r="K80" s="913">
        <f t="shared" si="19"/>
        <v>3000000</v>
      </c>
      <c r="L80" s="913">
        <f t="shared" si="19"/>
        <v>-10903.67</v>
      </c>
      <c r="M80" s="911"/>
      <c r="N80" s="913">
        <f t="shared" si="20"/>
        <v>3000000</v>
      </c>
      <c r="O80" s="913">
        <f t="shared" si="20"/>
        <v>-10903.67</v>
      </c>
      <c r="P80" s="911"/>
      <c r="Q80" s="913">
        <f t="shared" si="21"/>
        <v>0</v>
      </c>
      <c r="R80" s="913">
        <f t="shared" si="21"/>
        <v>0</v>
      </c>
      <c r="S80" s="911"/>
      <c r="T80" s="913">
        <f t="shared" si="22"/>
        <v>0</v>
      </c>
      <c r="U80" s="913">
        <f t="shared" si="22"/>
        <v>0</v>
      </c>
    </row>
    <row r="81" s="906" customFormat="1" ht="15" customHeight="1" spans="1:23">
      <c r="A81" s="911"/>
      <c r="B81" s="911"/>
      <c r="C81" s="911" t="str">
        <f>TRIM(合并试算平衡表!A109)</f>
        <v>减:库存股</v>
      </c>
      <c r="D81" s="913"/>
      <c r="E81" s="914">
        <f t="shared" si="23"/>
        <v>0</v>
      </c>
      <c r="F81" s="914">
        <f t="shared" si="24"/>
        <v>0</v>
      </c>
      <c r="G81" s="913"/>
      <c r="H81" s="913">
        <f t="shared" si="18"/>
        <v>0</v>
      </c>
      <c r="I81" s="913">
        <f t="shared" si="18"/>
        <v>0</v>
      </c>
      <c r="J81" s="911"/>
      <c r="K81" s="913">
        <f t="shared" si="19"/>
        <v>0</v>
      </c>
      <c r="L81" s="913">
        <f t="shared" si="19"/>
        <v>0</v>
      </c>
      <c r="M81" s="911"/>
      <c r="N81" s="913">
        <f t="shared" si="20"/>
        <v>0</v>
      </c>
      <c r="O81" s="913">
        <f t="shared" si="20"/>
        <v>0</v>
      </c>
      <c r="P81" s="911"/>
      <c r="Q81" s="913">
        <f t="shared" si="21"/>
        <v>0</v>
      </c>
      <c r="R81" s="913">
        <f t="shared" si="21"/>
        <v>0</v>
      </c>
      <c r="S81" s="911"/>
      <c r="T81" s="913">
        <f t="shared" si="22"/>
        <v>0</v>
      </c>
      <c r="U81" s="913">
        <f t="shared" si="22"/>
        <v>0</v>
      </c>
    </row>
    <row r="82" s="906" customFormat="1" ht="15" customHeight="1" spans="1:23">
      <c r="A82" s="911"/>
      <c r="B82" s="911"/>
      <c r="C82" s="911" t="str">
        <f>TRIM(合并试算平衡表!A110)</f>
        <v>其他综合收益</v>
      </c>
      <c r="D82" s="913"/>
      <c r="E82" s="914">
        <f t="shared" si="23"/>
        <v>0</v>
      </c>
      <c r="F82" s="914">
        <f t="shared" si="24"/>
        <v>0</v>
      </c>
      <c r="G82" s="913"/>
      <c r="H82" s="913">
        <f t="shared" si="18"/>
        <v>0</v>
      </c>
      <c r="I82" s="913">
        <f t="shared" si="18"/>
        <v>0</v>
      </c>
      <c r="J82" s="911"/>
      <c r="K82" s="913">
        <f t="shared" si="19"/>
        <v>0</v>
      </c>
      <c r="L82" s="913">
        <f t="shared" si="19"/>
        <v>0</v>
      </c>
      <c r="M82" s="911"/>
      <c r="N82" s="913">
        <f t="shared" si="20"/>
        <v>0</v>
      </c>
      <c r="O82" s="913">
        <f t="shared" si="20"/>
        <v>0</v>
      </c>
      <c r="P82" s="911"/>
      <c r="Q82" s="913">
        <f t="shared" si="21"/>
        <v>0</v>
      </c>
      <c r="R82" s="913">
        <f t="shared" si="21"/>
        <v>0</v>
      </c>
      <c r="S82" s="911"/>
      <c r="T82" s="913">
        <f t="shared" si="22"/>
        <v>0</v>
      </c>
      <c r="U82" s="913">
        <f t="shared" si="22"/>
        <v>0</v>
      </c>
    </row>
    <row r="83" s="906" customFormat="1" ht="15" customHeight="1" spans="1:23">
      <c r="A83" s="911"/>
      <c r="B83" s="911"/>
      <c r="C83" s="911" t="str">
        <f>TRIM(合并试算平衡表!A111)</f>
        <v>专项储备</v>
      </c>
      <c r="D83" s="913"/>
      <c r="E83" s="914">
        <f t="shared" si="23"/>
        <v>0</v>
      </c>
      <c r="F83" s="914">
        <f t="shared" si="24"/>
        <v>0</v>
      </c>
      <c r="G83" s="913"/>
      <c r="H83" s="913">
        <f t="shared" ref="H83:I102" si="25">SUMIFS(H$134:H$407,$C$134:$C$407,$C83,$J$134:$J$407,"Y")</f>
        <v>0</v>
      </c>
      <c r="I83" s="913">
        <f t="shared" si="25"/>
        <v>0</v>
      </c>
      <c r="J83" s="911"/>
      <c r="K83" s="913">
        <f t="shared" ref="K83:L102" si="26">SUMIFS(K$134:K$407,$C$134:$C$407,$C83,$M$134:$M$407,"Y")</f>
        <v>0</v>
      </c>
      <c r="L83" s="913">
        <f t="shared" si="26"/>
        <v>0</v>
      </c>
      <c r="M83" s="911"/>
      <c r="N83" s="913">
        <f t="shared" ref="N83:O93" si="27">SUMIFS(N$135:N$407,$C$135:$C$407,$C83,$P$135:$P$407,"Y")</f>
        <v>0</v>
      </c>
      <c r="O83" s="913">
        <f t="shared" si="27"/>
        <v>0</v>
      </c>
      <c r="P83" s="911"/>
      <c r="Q83" s="913">
        <f t="shared" ref="Q83:R93" si="28">SUMIFS(Q$135:Q$407,$C$135:$C$407,$C83,$S$135:$S$407,"Y")</f>
        <v>0</v>
      </c>
      <c r="R83" s="913">
        <f t="shared" si="28"/>
        <v>0</v>
      </c>
      <c r="S83" s="911"/>
      <c r="T83" s="913">
        <f t="shared" ref="T83:U93" si="29">SUMIFS(T$135:T$407,$C$135:$C$407,$C83,$V$135:$V$407,"Y")</f>
        <v>0</v>
      </c>
      <c r="U83" s="913">
        <f t="shared" si="29"/>
        <v>0</v>
      </c>
    </row>
    <row r="84" s="906" customFormat="1" ht="15" customHeight="1" spans="1:23">
      <c r="A84" s="911"/>
      <c r="B84" s="911"/>
      <c r="C84" s="911" t="str">
        <f>TRIM(合并试算平衡表!A112)</f>
        <v>盈余公积</v>
      </c>
      <c r="D84" s="913"/>
      <c r="E84" s="914">
        <f t="shared" si="23"/>
        <v>105776.41</v>
      </c>
      <c r="F84" s="914">
        <f t="shared" si="24"/>
        <v>0</v>
      </c>
      <c r="G84" s="913"/>
      <c r="H84" s="913">
        <f t="shared" si="25"/>
        <v>0</v>
      </c>
      <c r="I84" s="913">
        <f t="shared" si="25"/>
        <v>0</v>
      </c>
      <c r="J84" s="911"/>
      <c r="K84" s="913">
        <f t="shared" si="26"/>
        <v>0</v>
      </c>
      <c r="L84" s="913">
        <f t="shared" si="26"/>
        <v>0</v>
      </c>
      <c r="M84" s="911"/>
      <c r="N84" s="913">
        <f t="shared" si="27"/>
        <v>0</v>
      </c>
      <c r="O84" s="913">
        <f t="shared" si="27"/>
        <v>0</v>
      </c>
      <c r="P84" s="911"/>
      <c r="Q84" s="913">
        <f t="shared" si="28"/>
        <v>0</v>
      </c>
      <c r="R84" s="913">
        <f t="shared" si="28"/>
        <v>0</v>
      </c>
      <c r="S84" s="911"/>
      <c r="T84" s="913">
        <f t="shared" si="29"/>
        <v>0</v>
      </c>
      <c r="U84" s="913">
        <f t="shared" si="29"/>
        <v>0</v>
      </c>
    </row>
    <row r="85" s="906" customFormat="1" ht="15" customHeight="1" spans="1:23">
      <c r="A85" s="911"/>
      <c r="B85" s="911"/>
      <c r="C85" s="911" t="str">
        <f>TRIM(合并试算平衡表!A113)</f>
        <v>一般风险准备</v>
      </c>
      <c r="D85" s="913"/>
      <c r="E85" s="914">
        <f t="shared" si="23"/>
        <v>0</v>
      </c>
      <c r="F85" s="914">
        <f t="shared" si="24"/>
        <v>0</v>
      </c>
      <c r="G85" s="913"/>
      <c r="H85" s="913">
        <f t="shared" si="25"/>
        <v>0</v>
      </c>
      <c r="I85" s="913">
        <f t="shared" si="25"/>
        <v>0</v>
      </c>
      <c r="J85" s="911"/>
      <c r="K85" s="913">
        <f t="shared" si="26"/>
        <v>0</v>
      </c>
      <c r="L85" s="913">
        <f t="shared" si="26"/>
        <v>0</v>
      </c>
      <c r="M85" s="911"/>
      <c r="N85" s="913">
        <f t="shared" si="27"/>
        <v>0</v>
      </c>
      <c r="O85" s="913">
        <f t="shared" si="27"/>
        <v>0</v>
      </c>
      <c r="P85" s="911"/>
      <c r="Q85" s="913">
        <f t="shared" si="28"/>
        <v>0</v>
      </c>
      <c r="R85" s="913">
        <f t="shared" si="28"/>
        <v>0</v>
      </c>
      <c r="S85" s="911"/>
      <c r="T85" s="913">
        <f t="shared" si="29"/>
        <v>0</v>
      </c>
      <c r="U85" s="913">
        <f t="shared" si="29"/>
        <v>0</v>
      </c>
    </row>
    <row r="86" s="906" customFormat="1" ht="15" customHeight="1" spans="1:23">
      <c r="A86" s="911"/>
      <c r="B86" s="911"/>
      <c r="C86" s="911" t="str">
        <f>TRIM(合并试算平衡表!A114)</f>
        <v>未分配利润</v>
      </c>
      <c r="D86" s="913"/>
      <c r="E86" s="914">
        <f t="shared" si="23"/>
        <v>-22905740.49</v>
      </c>
      <c r="F86" s="916">
        <f t="shared" si="24"/>
        <v>-22905740.49</v>
      </c>
      <c r="G86" s="913"/>
      <c r="H86" s="913">
        <f t="shared" si="25"/>
        <v>-18162426.75</v>
      </c>
      <c r="I86" s="913">
        <f t="shared" si="25"/>
        <v>-18162426.75</v>
      </c>
      <c r="J86" s="911"/>
      <c r="K86" s="913">
        <f t="shared" si="26"/>
        <v>-7326163.91</v>
      </c>
      <c r="L86" s="913">
        <f t="shared" si="26"/>
        <v>-7326163.91</v>
      </c>
      <c r="M86" s="911"/>
      <c r="N86" s="913">
        <f t="shared" si="27"/>
        <v>-3678835.35</v>
      </c>
      <c r="O86" s="913">
        <f t="shared" si="27"/>
        <v>-3678835.35</v>
      </c>
      <c r="P86" s="911"/>
      <c r="Q86" s="913">
        <f t="shared" si="28"/>
        <v>0</v>
      </c>
      <c r="R86" s="913">
        <f t="shared" si="28"/>
        <v>0</v>
      </c>
      <c r="S86" s="911"/>
      <c r="T86" s="913">
        <f t="shared" si="29"/>
        <v>0</v>
      </c>
      <c r="U86" s="913">
        <f t="shared" si="29"/>
        <v>0</v>
      </c>
    </row>
    <row r="87" s="906" customFormat="1" ht="15" customHeight="1" spans="1:23">
      <c r="A87" s="911"/>
      <c r="B87" s="911"/>
      <c r="C87" s="915" t="s">
        <v>786</v>
      </c>
      <c r="D87" s="913"/>
      <c r="E87" s="914">
        <f t="shared" si="23"/>
        <v>28024036.16</v>
      </c>
      <c r="F87" s="914">
        <f t="shared" si="24"/>
        <v>0</v>
      </c>
      <c r="G87" s="913"/>
      <c r="H87" s="913">
        <f t="shared" si="25"/>
        <v>127292025.9115</v>
      </c>
      <c r="I87" s="913">
        <f t="shared" si="25"/>
        <v>0</v>
      </c>
      <c r="J87" s="911"/>
      <c r="K87" s="913">
        <f t="shared" si="26"/>
        <v>14357829.59</v>
      </c>
      <c r="L87" s="913">
        <f t="shared" si="26"/>
        <v>0</v>
      </c>
      <c r="M87" s="911"/>
      <c r="N87" s="913">
        <f t="shared" si="27"/>
        <v>3619572.02</v>
      </c>
      <c r="O87" s="913">
        <f t="shared" si="27"/>
        <v>0</v>
      </c>
      <c r="P87" s="911"/>
      <c r="Q87" s="913">
        <f t="shared" si="28"/>
        <v>0</v>
      </c>
      <c r="R87" s="913">
        <f t="shared" si="28"/>
        <v>0</v>
      </c>
      <c r="S87" s="911"/>
      <c r="T87" s="913">
        <f t="shared" si="29"/>
        <v>0</v>
      </c>
      <c r="U87" s="913">
        <f t="shared" si="29"/>
        <v>0</v>
      </c>
    </row>
    <row r="88" s="906" customFormat="1" ht="15" customHeight="1" spans="1:23">
      <c r="A88" s="911"/>
      <c r="B88" s="911"/>
      <c r="C88" s="911" t="str">
        <f>TRIM(合并试算平衡表!A126)</f>
        <v>其他业务收入</v>
      </c>
      <c r="D88" s="913"/>
      <c r="E88" s="914">
        <f t="shared" si="23"/>
        <v>16890528.21</v>
      </c>
      <c r="F88" s="914">
        <f t="shared" si="24"/>
        <v>0</v>
      </c>
      <c r="G88" s="913"/>
      <c r="H88" s="913">
        <f t="shared" si="25"/>
        <v>9350944.38</v>
      </c>
      <c r="I88" s="913">
        <f t="shared" si="25"/>
        <v>-14654852.69</v>
      </c>
      <c r="J88" s="911"/>
      <c r="K88" s="913">
        <f t="shared" si="26"/>
        <v>612301.72</v>
      </c>
      <c r="L88" s="913">
        <f t="shared" si="26"/>
        <v>0</v>
      </c>
      <c r="M88" s="911"/>
      <c r="N88" s="913">
        <f t="shared" si="27"/>
        <v>0</v>
      </c>
      <c r="O88" s="913">
        <f t="shared" si="27"/>
        <v>0</v>
      </c>
      <c r="P88" s="911"/>
      <c r="Q88" s="913">
        <f t="shared" si="28"/>
        <v>0</v>
      </c>
      <c r="R88" s="913">
        <f t="shared" si="28"/>
        <v>0</v>
      </c>
      <c r="S88" s="911"/>
      <c r="T88" s="913">
        <f t="shared" si="29"/>
        <v>0</v>
      </c>
      <c r="U88" s="913">
        <f t="shared" si="29"/>
        <v>0</v>
      </c>
    </row>
    <row r="89" s="906" customFormat="1" ht="15" customHeight="1" spans="1:23">
      <c r="A89" s="911"/>
      <c r="B89" s="911"/>
      <c r="C89" s="915" t="s">
        <v>787</v>
      </c>
      <c r="D89" s="913"/>
      <c r="E89" s="914">
        <f t="shared" si="23"/>
        <v>0</v>
      </c>
      <c r="F89" s="914">
        <f t="shared" si="24"/>
        <v>32569884.04</v>
      </c>
      <c r="G89" s="913"/>
      <c r="H89" s="913">
        <f t="shared" si="25"/>
        <v>0</v>
      </c>
      <c r="I89" s="913">
        <f t="shared" si="25"/>
        <v>127292025.9115</v>
      </c>
      <c r="J89" s="911"/>
      <c r="K89" s="913">
        <f t="shared" si="26"/>
        <v>0</v>
      </c>
      <c r="L89" s="913">
        <f t="shared" si="26"/>
        <v>14687112.44</v>
      </c>
      <c r="M89" s="911"/>
      <c r="N89" s="913">
        <f t="shared" si="27"/>
        <v>0</v>
      </c>
      <c r="O89" s="913">
        <f t="shared" si="27"/>
        <v>3619572.02</v>
      </c>
      <c r="P89" s="911"/>
      <c r="Q89" s="913">
        <f t="shared" si="28"/>
        <v>0</v>
      </c>
      <c r="R89" s="913">
        <f t="shared" si="28"/>
        <v>0</v>
      </c>
      <c r="S89" s="911"/>
      <c r="T89" s="913">
        <f t="shared" si="29"/>
        <v>0</v>
      </c>
      <c r="U89" s="913">
        <f t="shared" si="29"/>
        <v>0</v>
      </c>
    </row>
    <row r="90" s="906" customFormat="1" ht="15" customHeight="1" spans="1:23">
      <c r="A90" s="911"/>
      <c r="B90" s="911"/>
      <c r="C90" s="911" t="str">
        <f>TRIM(合并试算平衡表!A129)</f>
        <v>其他业务成本</v>
      </c>
      <c r="D90" s="913"/>
      <c r="E90" s="914">
        <f t="shared" si="23"/>
        <v>0</v>
      </c>
      <c r="F90" s="914">
        <f t="shared" si="24"/>
        <v>11270572.02</v>
      </c>
      <c r="G90" s="913"/>
      <c r="H90" s="913">
        <f t="shared" si="25"/>
        <v>-14654852.69</v>
      </c>
      <c r="I90" s="913">
        <f t="shared" si="25"/>
        <v>9224095.35</v>
      </c>
      <c r="J90" s="911"/>
      <c r="K90" s="913">
        <f t="shared" si="26"/>
        <v>0</v>
      </c>
      <c r="L90" s="913">
        <f t="shared" si="26"/>
        <v>0</v>
      </c>
      <c r="M90" s="911"/>
      <c r="N90" s="913">
        <f t="shared" si="27"/>
        <v>0</v>
      </c>
      <c r="O90" s="913">
        <f t="shared" si="27"/>
        <v>0</v>
      </c>
      <c r="P90" s="911"/>
      <c r="Q90" s="913">
        <f t="shared" si="28"/>
        <v>0</v>
      </c>
      <c r="R90" s="913">
        <f t="shared" si="28"/>
        <v>0</v>
      </c>
      <c r="S90" s="911"/>
      <c r="T90" s="913">
        <f t="shared" si="29"/>
        <v>0</v>
      </c>
      <c r="U90" s="913">
        <f t="shared" si="29"/>
        <v>0</v>
      </c>
    </row>
    <row r="91" s="906" customFormat="1" ht="15" customHeight="1" spans="1:23">
      <c r="A91" s="911"/>
      <c r="B91" s="911"/>
      <c r="C91" s="911" t="str">
        <f>TRIM(合并试算平衡表!A130)</f>
        <v>税金及附加</v>
      </c>
      <c r="D91" s="913"/>
      <c r="E91" s="914">
        <f t="shared" si="23"/>
        <v>0</v>
      </c>
      <c r="F91" s="914">
        <f t="shared" si="24"/>
        <v>0</v>
      </c>
      <c r="G91" s="913"/>
      <c r="H91" s="913">
        <f t="shared" si="25"/>
        <v>0</v>
      </c>
      <c r="I91" s="913">
        <f t="shared" si="25"/>
        <v>0</v>
      </c>
      <c r="J91" s="911"/>
      <c r="K91" s="913">
        <f t="shared" si="26"/>
        <v>0</v>
      </c>
      <c r="L91" s="913">
        <f t="shared" si="26"/>
        <v>0</v>
      </c>
      <c r="M91" s="911"/>
      <c r="N91" s="913">
        <f t="shared" si="27"/>
        <v>0</v>
      </c>
      <c r="O91" s="913">
        <f t="shared" si="27"/>
        <v>0</v>
      </c>
      <c r="P91" s="911"/>
      <c r="Q91" s="913">
        <f t="shared" si="28"/>
        <v>0</v>
      </c>
      <c r="R91" s="913">
        <f t="shared" si="28"/>
        <v>0</v>
      </c>
      <c r="S91" s="911"/>
      <c r="T91" s="913">
        <f t="shared" si="29"/>
        <v>0</v>
      </c>
      <c r="U91" s="913">
        <f t="shared" si="29"/>
        <v>0</v>
      </c>
    </row>
    <row r="92" s="906" customFormat="1" ht="15" customHeight="1" spans="1:23">
      <c r="A92" s="911"/>
      <c r="B92" s="911"/>
      <c r="C92" s="911" t="str">
        <f>TRIM(合并试算平衡表!A131)</f>
        <v>销售费用</v>
      </c>
      <c r="D92" s="913"/>
      <c r="E92" s="914">
        <f t="shared" si="23"/>
        <v>0</v>
      </c>
      <c r="F92" s="914">
        <f t="shared" si="24"/>
        <v>201064.85</v>
      </c>
      <c r="G92" s="913"/>
      <c r="H92" s="913">
        <f t="shared" si="25"/>
        <v>0</v>
      </c>
      <c r="I92" s="913">
        <f t="shared" si="25"/>
        <v>0</v>
      </c>
      <c r="J92" s="911"/>
      <c r="K92" s="913">
        <f t="shared" si="26"/>
        <v>0</v>
      </c>
      <c r="L92" s="913">
        <f t="shared" si="26"/>
        <v>0</v>
      </c>
      <c r="M92" s="911"/>
      <c r="N92" s="913">
        <f t="shared" si="27"/>
        <v>0</v>
      </c>
      <c r="O92" s="913">
        <f t="shared" si="27"/>
        <v>0</v>
      </c>
      <c r="P92" s="911"/>
      <c r="Q92" s="913">
        <f t="shared" si="28"/>
        <v>0</v>
      </c>
      <c r="R92" s="913">
        <f t="shared" si="28"/>
        <v>0</v>
      </c>
      <c r="S92" s="911"/>
      <c r="T92" s="913">
        <f t="shared" si="29"/>
        <v>0</v>
      </c>
      <c r="U92" s="913">
        <f t="shared" si="29"/>
        <v>0</v>
      </c>
    </row>
    <row r="93" s="906" customFormat="1" ht="15" customHeight="1" spans="1:23">
      <c r="A93" s="911"/>
      <c r="B93" s="911"/>
      <c r="C93" s="911" t="str">
        <f>TRIM(合并试算平衡表!A132)</f>
        <v>管理费用</v>
      </c>
      <c r="D93" s="913"/>
      <c r="E93" s="914">
        <f t="shared" si="23"/>
        <v>0</v>
      </c>
      <c r="F93" s="914">
        <f t="shared" si="24"/>
        <v>0</v>
      </c>
      <c r="G93" s="913"/>
      <c r="H93" s="913">
        <f t="shared" si="25"/>
        <v>0</v>
      </c>
      <c r="I93" s="913">
        <f t="shared" si="25"/>
        <v>126849.03</v>
      </c>
      <c r="J93" s="911"/>
      <c r="K93" s="913">
        <f t="shared" si="26"/>
        <v>0</v>
      </c>
      <c r="L93" s="913">
        <f t="shared" si="26"/>
        <v>283018.87</v>
      </c>
      <c r="M93" s="911"/>
      <c r="N93" s="913">
        <f t="shared" si="27"/>
        <v>0</v>
      </c>
      <c r="O93" s="913">
        <f t="shared" si="27"/>
        <v>0</v>
      </c>
      <c r="P93" s="911"/>
      <c r="Q93" s="913">
        <f t="shared" si="28"/>
        <v>0</v>
      </c>
      <c r="R93" s="913">
        <f t="shared" si="28"/>
        <v>0</v>
      </c>
      <c r="S93" s="911"/>
      <c r="T93" s="913">
        <f t="shared" si="29"/>
        <v>0</v>
      </c>
      <c r="U93" s="913">
        <f t="shared" si="29"/>
        <v>0</v>
      </c>
    </row>
    <row r="94" s="906" customFormat="1" ht="15" customHeight="1" spans="1:23">
      <c r="A94" s="911"/>
      <c r="B94" s="911"/>
      <c r="C94" s="911" t="str">
        <f>TRIM(合并试算平衡表!A133)</f>
        <v>研发费用</v>
      </c>
      <c r="D94" s="913"/>
      <c r="E94" s="914">
        <f t="shared" si="23"/>
        <v>0</v>
      </c>
      <c r="F94" s="914">
        <f t="shared" si="24"/>
        <v>851155.08</v>
      </c>
      <c r="G94" s="913"/>
      <c r="H94" s="913">
        <f t="shared" si="25"/>
        <v>0</v>
      </c>
      <c r="I94" s="913">
        <f t="shared" si="25"/>
        <v>0</v>
      </c>
      <c r="J94" s="911"/>
      <c r="K94" s="913">
        <f t="shared" si="26"/>
        <v>0</v>
      </c>
      <c r="L94" s="913">
        <f t="shared" si="26"/>
        <v>0</v>
      </c>
      <c r="M94" s="911"/>
      <c r="N94" s="913"/>
      <c r="O94" s="913"/>
      <c r="P94" s="911"/>
      <c r="Q94" s="913"/>
      <c r="R94" s="913"/>
      <c r="S94" s="911"/>
      <c r="T94" s="913"/>
      <c r="U94" s="913"/>
      <c r="W94" s="917">
        <f>K87+K88-L89-L93</f>
        <v>-8.14907252788544e-10</v>
      </c>
    </row>
    <row r="95" s="906" customFormat="1" ht="15" customHeight="1" spans="1:23">
      <c r="A95" s="911"/>
      <c r="B95" s="911"/>
      <c r="C95" s="911" t="str">
        <f>TRIM(合并试算平衡表!A134)</f>
        <v>财务费用</v>
      </c>
      <c r="D95" s="913"/>
      <c r="E95" s="914">
        <f t="shared" si="23"/>
        <v>0</v>
      </c>
      <c r="F95" s="914">
        <f t="shared" si="24"/>
        <v>0</v>
      </c>
      <c r="G95" s="913"/>
      <c r="H95" s="913">
        <f t="shared" si="25"/>
        <v>0</v>
      </c>
      <c r="I95" s="913">
        <f t="shared" si="25"/>
        <v>0</v>
      </c>
      <c r="J95" s="911"/>
      <c r="K95" s="913">
        <f t="shared" si="26"/>
        <v>0</v>
      </c>
      <c r="L95" s="913">
        <f t="shared" si="26"/>
        <v>0</v>
      </c>
      <c r="M95" s="911"/>
      <c r="N95" s="913">
        <f t="shared" ref="N95:O99" si="30">SUMIFS(N$135:N$407,$C$135:$C$407,$C95,$P$135:$P$407,"Y")</f>
        <v>0</v>
      </c>
      <c r="O95" s="913">
        <f t="shared" si="30"/>
        <v>0</v>
      </c>
      <c r="P95" s="911"/>
      <c r="Q95" s="913">
        <f t="shared" ref="Q95:R99" si="31">SUMIFS(Q$135:Q$407,$C$135:$C$407,$C95,$S$135:$S$407,"Y")</f>
        <v>0</v>
      </c>
      <c r="R95" s="913">
        <f t="shared" si="31"/>
        <v>0</v>
      </c>
      <c r="S95" s="911"/>
      <c r="T95" s="913">
        <f t="shared" ref="T95:U99" si="32">SUMIFS(T$135:T$407,$C$135:$C$407,$C95,$V$135:$V$407,"Y")</f>
        <v>0</v>
      </c>
      <c r="U95" s="913">
        <f t="shared" si="32"/>
        <v>0</v>
      </c>
    </row>
    <row r="96" s="906" customFormat="1" ht="15" customHeight="1" spans="1:23">
      <c r="A96" s="911"/>
      <c r="B96" s="911"/>
      <c r="C96" s="915" t="s">
        <v>788</v>
      </c>
      <c r="D96" s="913"/>
      <c r="E96" s="914">
        <f t="shared" si="23"/>
        <v>0</v>
      </c>
      <c r="F96" s="914">
        <f t="shared" si="24"/>
        <v>0</v>
      </c>
      <c r="G96" s="913"/>
      <c r="H96" s="913">
        <f t="shared" si="25"/>
        <v>0</v>
      </c>
      <c r="I96" s="913">
        <f t="shared" si="25"/>
        <v>0</v>
      </c>
      <c r="J96" s="911"/>
      <c r="K96" s="913">
        <f t="shared" si="26"/>
        <v>0</v>
      </c>
      <c r="L96" s="913">
        <f t="shared" si="26"/>
        <v>0</v>
      </c>
      <c r="M96" s="911"/>
      <c r="N96" s="913">
        <f t="shared" si="30"/>
        <v>0</v>
      </c>
      <c r="O96" s="913">
        <f t="shared" si="30"/>
        <v>0</v>
      </c>
      <c r="P96" s="911"/>
      <c r="Q96" s="913">
        <f t="shared" si="31"/>
        <v>0</v>
      </c>
      <c r="R96" s="913">
        <f t="shared" si="31"/>
        <v>0</v>
      </c>
      <c r="S96" s="911"/>
      <c r="T96" s="913">
        <f t="shared" si="32"/>
        <v>0</v>
      </c>
      <c r="U96" s="913">
        <f t="shared" si="32"/>
        <v>0</v>
      </c>
    </row>
    <row r="97" s="906" customFormat="1" ht="15" customHeight="1" spans="1:25">
      <c r="A97" s="911"/>
      <c r="B97" s="911"/>
      <c r="C97" s="915" t="s">
        <v>789</v>
      </c>
      <c r="D97" s="913"/>
      <c r="E97" s="914">
        <f t="shared" si="23"/>
        <v>0</v>
      </c>
      <c r="F97" s="914">
        <f t="shared" si="24"/>
        <v>0</v>
      </c>
      <c r="G97" s="913"/>
      <c r="H97" s="913">
        <f t="shared" si="25"/>
        <v>0</v>
      </c>
      <c r="I97" s="913">
        <f t="shared" si="25"/>
        <v>0</v>
      </c>
      <c r="J97" s="911"/>
      <c r="K97" s="913">
        <f t="shared" si="26"/>
        <v>0</v>
      </c>
      <c r="L97" s="913">
        <f t="shared" si="26"/>
        <v>0</v>
      </c>
      <c r="M97" s="911"/>
      <c r="N97" s="913">
        <f t="shared" si="30"/>
        <v>0</v>
      </c>
      <c r="O97" s="913">
        <f t="shared" si="30"/>
        <v>0</v>
      </c>
      <c r="P97" s="911"/>
      <c r="Q97" s="913">
        <f t="shared" si="31"/>
        <v>0</v>
      </c>
      <c r="R97" s="913">
        <f t="shared" si="31"/>
        <v>0</v>
      </c>
      <c r="S97" s="911"/>
      <c r="T97" s="913">
        <f t="shared" si="32"/>
        <v>0</v>
      </c>
      <c r="U97" s="913">
        <f t="shared" si="32"/>
        <v>0</v>
      </c>
      <c r="W97" s="917">
        <f>K108-L108</f>
        <v>-7646957.18</v>
      </c>
    </row>
    <row r="98" s="906" customFormat="1" ht="15" customHeight="1" spans="1:25">
      <c r="A98" s="911"/>
      <c r="B98" s="911"/>
      <c r="C98" s="915" t="s">
        <v>790</v>
      </c>
      <c r="D98" s="913"/>
      <c r="E98" s="914">
        <f t="shared" si="23"/>
        <v>0</v>
      </c>
      <c r="F98" s="914">
        <f t="shared" si="24"/>
        <v>-239060.41</v>
      </c>
      <c r="G98" s="913"/>
      <c r="H98" s="913"/>
      <c r="I98" s="913"/>
      <c r="J98" s="911"/>
      <c r="K98" s="913"/>
      <c r="L98" s="913"/>
      <c r="M98" s="911"/>
      <c r="N98" s="913"/>
      <c r="O98" s="913"/>
      <c r="P98" s="911"/>
      <c r="Q98" s="913"/>
      <c r="R98" s="913"/>
      <c r="S98" s="911"/>
      <c r="T98" s="913"/>
      <c r="U98" s="913"/>
      <c r="W98" s="917"/>
    </row>
    <row r="99" s="906" customFormat="1" ht="15" customHeight="1" spans="1:25">
      <c r="A99" s="911"/>
      <c r="B99" s="911"/>
      <c r="C99" s="915" t="s">
        <v>791</v>
      </c>
      <c r="D99" s="913"/>
      <c r="E99" s="914">
        <f t="shared" ref="E99:E121" si="33">SUMIFS(E$134:E$407,$C$134:$C$407,$C99,$G$134:$G$407,"Y")</f>
        <v>-3847293.9</v>
      </c>
      <c r="F99" s="914">
        <f t="shared" ref="F99:F121" si="34">SUMIFS(F$134:F$407,$C$134:$C$407,$C99,$G$134:$G$407,"Y")</f>
        <v>-3847293.9</v>
      </c>
      <c r="G99" s="913"/>
      <c r="H99" s="913">
        <f>SUMIFS(H$134:H$407,$C$134:$C$407,$C99,$J$134:$J$407,"Y")</f>
        <v>-8382211.28</v>
      </c>
      <c r="I99" s="913">
        <f>SUMIFS(I$134:I$407,$C$134:$C$407,$C99,$J$134:$J$407,"Y")</f>
        <v>-8382211.28</v>
      </c>
      <c r="J99" s="911"/>
      <c r="K99" s="913">
        <f>SUMIFS(K$134:K$407,$C$134:$C$407,$C99,$M$134:$M$407,"Y")</f>
        <v>-1225750.48</v>
      </c>
      <c r="L99" s="913">
        <f>SUMIFS(L$134:L$407,$C$134:$C$407,$C99,$M$134:$M$407,"Y")</f>
        <v>-1225750.48</v>
      </c>
      <c r="M99" s="911"/>
      <c r="N99" s="913">
        <f>SUMIFS(N$135:N$407,$C$135:$C$407,$C99,$P$135:$P$407,"Y")</f>
        <v>1626803.34</v>
      </c>
      <c r="O99" s="913">
        <f>SUMIFS(O$135:O$407,$C$135:$C$407,$C99,$P$135:$P$407,"Y")</f>
        <v>1626803.34</v>
      </c>
      <c r="P99" s="911"/>
      <c r="Q99" s="913">
        <f>SUMIFS(Q$135:Q$407,$C$135:$C$407,$C99,$S$135:$S$407,"Y")</f>
        <v>0</v>
      </c>
      <c r="R99" s="913">
        <f>SUMIFS(R$135:R$407,$C$135:$C$407,$C99,$S$135:$S$407,"Y")</f>
        <v>0</v>
      </c>
      <c r="S99" s="911"/>
      <c r="T99" s="913">
        <f>SUMIFS(T$135:T$407,$C$135:$C$407,$C99,$V$135:$V$407,"Y")</f>
        <v>0</v>
      </c>
      <c r="U99" s="913">
        <f>SUMIFS(U$135:U$407,$C$135:$C$407,$C99,$V$135:$V$407,"Y")</f>
        <v>0</v>
      </c>
      <c r="W99" s="917">
        <f>H108-I108</f>
        <v>-6919545.42</v>
      </c>
    </row>
    <row r="100" s="906" customFormat="1" ht="15" customHeight="1" spans="1:25">
      <c r="A100" s="911"/>
      <c r="B100" s="911"/>
      <c r="C100" s="911" t="str">
        <f>TRIM(合并试算平衡表!A137)</f>
        <v>其中:对联营企业和合营企业的投资收益</v>
      </c>
      <c r="D100" s="913"/>
      <c r="E100" s="914">
        <f t="shared" si="33"/>
        <v>0</v>
      </c>
      <c r="F100" s="914">
        <f t="shared" si="34"/>
        <v>0</v>
      </c>
      <c r="G100" s="913"/>
      <c r="H100" s="913">
        <f>SUMIFS(H$134:H$407,$C$134:$C$407,$C100,$J$134:$J$407,"Y")</f>
        <v>0</v>
      </c>
      <c r="I100" s="913">
        <f>SUMIFS(I$134:I$407,$C$134:$C$407,$C100,$J$134:$J$407,"Y")</f>
        <v>0</v>
      </c>
      <c r="J100" s="911"/>
      <c r="K100" s="913">
        <f>SUMIFS(K$134:K$407,$C$134:$C$407,$C100,$M$134:$M$407,"Y")</f>
        <v>0</v>
      </c>
      <c r="L100" s="913">
        <f>SUMIFS(L$134:L$407,$C$134:$C$407,$C100,$M$134:$M$407,"Y")</f>
        <v>0</v>
      </c>
      <c r="M100" s="911"/>
      <c r="N100" s="913">
        <f>SUMIFS(N$135:N$407,$C$135:$C$407,$C100,$P$135:$P$407,"Y")</f>
        <v>0</v>
      </c>
      <c r="O100" s="913">
        <f>SUMIFS(O$135:O$407,$C$135:$C$407,$C100,$P$135:$P$407,"Y")</f>
        <v>0</v>
      </c>
      <c r="P100" s="911"/>
      <c r="Q100" s="913">
        <f>SUMIFS(Q$135:Q$407,$C$135:$C$407,$C100,$S$135:$S$407,"Y")</f>
        <v>0</v>
      </c>
      <c r="R100" s="913">
        <f>SUMIFS(R$135:R$407,$C$135:$C$407,$C100,$S$135:$S$407,"Y")</f>
        <v>0</v>
      </c>
      <c r="S100" s="911"/>
      <c r="T100" s="913">
        <f>SUMIFS(T$135:T$407,$C$135:$C$407,$C100,$V$135:$V$407,"Y")</f>
        <v>0</v>
      </c>
      <c r="U100" s="913">
        <f>SUMIFS(U$135:U$407,$C$135:$C$407,$C100,$V$135:$V$407,"Y")</f>
        <v>0</v>
      </c>
      <c r="W100" s="917">
        <f>W97-W99</f>
        <v>-727411.76</v>
      </c>
    </row>
    <row r="101" s="906" customFormat="1" ht="15" customHeight="1" spans="1:25">
      <c r="A101" s="911"/>
      <c r="B101" s="911"/>
      <c r="C101" s="915" t="s">
        <v>792</v>
      </c>
      <c r="D101" s="913"/>
      <c r="E101" s="914">
        <f t="shared" si="33"/>
        <v>0</v>
      </c>
      <c r="F101" s="914">
        <f t="shared" si="34"/>
        <v>0</v>
      </c>
      <c r="G101" s="913"/>
      <c r="H101" s="913">
        <f>SUMIFS(H$134:H$407,$C$134:$C$407,$C101,$J$134:$J$407,"Y")</f>
        <v>0</v>
      </c>
      <c r="I101" s="913">
        <f>SUMIFS(I$134:I$407,$C$134:$C$407,$C101,$J$134:$J$407,"Y")</f>
        <v>0</v>
      </c>
      <c r="J101" s="911"/>
      <c r="K101" s="913">
        <f>SUMIFS(K$134:K$407,$C$134:$C$407,$C101,$M$134:$M$407,"Y")</f>
        <v>0</v>
      </c>
      <c r="L101" s="913">
        <f>SUMIFS(L$134:L$407,$C$134:$C$407,$C101,$M$134:$M$407,"Y")</f>
        <v>0</v>
      </c>
      <c r="M101" s="911"/>
      <c r="N101" s="913"/>
      <c r="O101" s="913"/>
      <c r="P101" s="911"/>
      <c r="Q101" s="913"/>
      <c r="R101" s="913"/>
      <c r="S101" s="911"/>
      <c r="T101" s="913"/>
      <c r="U101" s="913"/>
    </row>
    <row r="102" s="906" customFormat="1" ht="15" customHeight="1" spans="1:25">
      <c r="A102" s="911"/>
      <c r="B102" s="911"/>
      <c r="C102" s="915" t="s">
        <v>793</v>
      </c>
      <c r="D102" s="913"/>
      <c r="E102" s="914">
        <f t="shared" si="33"/>
        <v>0</v>
      </c>
      <c r="F102" s="914">
        <f t="shared" si="34"/>
        <v>0</v>
      </c>
      <c r="G102" s="913"/>
      <c r="H102" s="913">
        <f>SUMIFS(H$134:H$407,$C$134:$C$407,$C102,$J$134:$J$407,"Y")</f>
        <v>0</v>
      </c>
      <c r="I102" s="913">
        <f>SUMIFS(I$134:I$407,$C$134:$C$407,$C102,$J$134:$J$407,"Y")</f>
        <v>0</v>
      </c>
      <c r="J102" s="911"/>
      <c r="K102" s="913">
        <f>SUMIFS(K$134:K$407,$C$134:$C$407,$C102,$M$134:$M$407,"Y")</f>
        <v>0</v>
      </c>
      <c r="L102" s="913">
        <f>SUMIFS(L$134:L$407,$C$134:$C$407,$C102,$M$134:$M$407,"Y")</f>
        <v>0</v>
      </c>
      <c r="M102" s="911"/>
      <c r="N102" s="913"/>
      <c r="O102" s="913"/>
      <c r="P102" s="911"/>
      <c r="Q102" s="913"/>
      <c r="R102" s="913"/>
      <c r="S102" s="911"/>
      <c r="T102" s="913"/>
      <c r="U102" s="913"/>
    </row>
    <row r="103" s="906" customFormat="1" ht="15" customHeight="1" spans="1:25">
      <c r="A103" s="911"/>
      <c r="B103" s="911"/>
      <c r="C103" s="915" t="s">
        <v>794</v>
      </c>
      <c r="D103" s="913"/>
      <c r="E103" s="914">
        <f t="shared" si="33"/>
        <v>0</v>
      </c>
      <c r="F103" s="914">
        <f t="shared" si="34"/>
        <v>0</v>
      </c>
      <c r="G103" s="913"/>
      <c r="H103" s="913">
        <f>SUMIFS(H$134:H$407,$C$134:$C$407,$C103,$J$134:$J$407,"Y")</f>
        <v>0</v>
      </c>
      <c r="I103" s="913">
        <f>SUMIFS(I$134:I$407,$C$134:$C$407,$C103,$J$134:$J$407,"Y")</f>
        <v>0</v>
      </c>
      <c r="J103" s="911"/>
      <c r="K103" s="913">
        <f>SUMIFS(K$134:K$407,$C$134:$C$407,$C103,$M$134:$M$407,"Y")</f>
        <v>0</v>
      </c>
      <c r="L103" s="913">
        <f>SUMIFS(L$134:L$407,$C$134:$C$407,$C103,$M$134:$M$407,"Y")</f>
        <v>0</v>
      </c>
      <c r="M103" s="911"/>
      <c r="N103" s="913">
        <f t="shared" ref="N103:O121" si="35">SUMIFS(N$135:N$407,$C$135:$C$407,$C103,$P$135:$P$407,"Y")</f>
        <v>0</v>
      </c>
      <c r="O103" s="913">
        <f t="shared" si="35"/>
        <v>0</v>
      </c>
      <c r="P103" s="911"/>
      <c r="Q103" s="913">
        <f t="shared" ref="Q103:R121" si="36">SUMIFS(Q$135:Q$407,$C$135:$C$407,$C103,$S$135:$S$407,"Y")</f>
        <v>0</v>
      </c>
      <c r="R103" s="913">
        <f t="shared" si="36"/>
        <v>0</v>
      </c>
      <c r="S103" s="911"/>
      <c r="T103" s="913">
        <f t="shared" ref="T103:U121" si="37">SUMIFS(T$135:T$407,$C$135:$C$407,$C103,$V$135:$V$407,"Y")</f>
        <v>0</v>
      </c>
      <c r="U103" s="913">
        <f t="shared" si="37"/>
        <v>0</v>
      </c>
    </row>
    <row r="104" s="906" customFormat="1" ht="15" customHeight="1" spans="1:25">
      <c r="A104" s="911"/>
      <c r="B104" s="911"/>
      <c r="C104" s="911" t="str">
        <f>TRIM(合并试算平衡表!A144)</f>
        <v>其中:非流动资产处置利得</v>
      </c>
      <c r="D104" s="913"/>
      <c r="E104" s="914">
        <f t="shared" si="33"/>
        <v>0</v>
      </c>
      <c r="F104" s="914">
        <f t="shared" si="34"/>
        <v>0</v>
      </c>
      <c r="G104" s="913"/>
      <c r="H104" s="913">
        <f t="shared" ref="H104:I121" si="38">SUMIFS(H$134:H$407,$C$134:$C$407,$C104,$J$134:$J$407,"Y")</f>
        <v>0</v>
      </c>
      <c r="I104" s="913">
        <f t="shared" si="38"/>
        <v>0</v>
      </c>
      <c r="J104" s="911"/>
      <c r="K104" s="913">
        <f t="shared" ref="K104:L122" si="39">SUMIFS(K$134:K$407,$C$134:$C$407,$C104,$M$134:$M$407,"Y")</f>
        <v>0</v>
      </c>
      <c r="L104" s="913">
        <f t="shared" si="39"/>
        <v>0</v>
      </c>
      <c r="M104" s="911"/>
      <c r="N104" s="913">
        <f t="shared" si="35"/>
        <v>0</v>
      </c>
      <c r="O104" s="913">
        <f t="shared" si="35"/>
        <v>0</v>
      </c>
      <c r="P104" s="911"/>
      <c r="Q104" s="913">
        <f t="shared" si="36"/>
        <v>0</v>
      </c>
      <c r="R104" s="913">
        <f t="shared" si="36"/>
        <v>0</v>
      </c>
      <c r="S104" s="911"/>
      <c r="T104" s="913">
        <f t="shared" si="37"/>
        <v>0</v>
      </c>
      <c r="U104" s="913">
        <f t="shared" si="37"/>
        <v>0</v>
      </c>
    </row>
    <row r="105" s="906" customFormat="1" ht="15" customHeight="1" spans="1:25">
      <c r="A105" s="911"/>
      <c r="B105" s="911"/>
      <c r="C105" s="915" t="s">
        <v>795</v>
      </c>
      <c r="D105" s="913"/>
      <c r="E105" s="914">
        <f t="shared" si="33"/>
        <v>0</v>
      </c>
      <c r="F105" s="914">
        <f t="shared" si="34"/>
        <v>0</v>
      </c>
      <c r="G105" s="913"/>
      <c r="H105" s="913">
        <f t="shared" si="38"/>
        <v>0</v>
      </c>
      <c r="I105" s="913">
        <f t="shared" si="38"/>
        <v>0</v>
      </c>
      <c r="J105" s="911"/>
      <c r="K105" s="913">
        <f t="shared" si="39"/>
        <v>0</v>
      </c>
      <c r="L105" s="913">
        <f t="shared" si="39"/>
        <v>0</v>
      </c>
      <c r="M105" s="911"/>
      <c r="N105" s="913">
        <f t="shared" si="35"/>
        <v>0</v>
      </c>
      <c r="O105" s="913">
        <f t="shared" si="35"/>
        <v>0</v>
      </c>
      <c r="P105" s="911"/>
      <c r="Q105" s="913">
        <f t="shared" si="36"/>
        <v>0</v>
      </c>
      <c r="R105" s="913">
        <f t="shared" si="36"/>
        <v>0</v>
      </c>
      <c r="S105" s="911"/>
      <c r="T105" s="913">
        <f t="shared" si="37"/>
        <v>0</v>
      </c>
      <c r="U105" s="913">
        <f t="shared" si="37"/>
        <v>0</v>
      </c>
    </row>
    <row r="106" s="906" customFormat="1" ht="15" customHeight="1" spans="1:25">
      <c r="A106" s="911"/>
      <c r="B106" s="911"/>
      <c r="C106" s="911" t="str">
        <f>TRIM(合并试算平衡表!A146)</f>
        <v>其中:非流动资产处置损失</v>
      </c>
      <c r="D106" s="913"/>
      <c r="E106" s="914">
        <f t="shared" si="33"/>
        <v>0</v>
      </c>
      <c r="F106" s="914">
        <f t="shared" si="34"/>
        <v>0</v>
      </c>
      <c r="G106" s="913"/>
      <c r="H106" s="913">
        <f t="shared" si="38"/>
        <v>0</v>
      </c>
      <c r="I106" s="913">
        <f t="shared" si="38"/>
        <v>0</v>
      </c>
      <c r="J106" s="911"/>
      <c r="K106" s="913">
        <f t="shared" si="39"/>
        <v>0</v>
      </c>
      <c r="L106" s="913">
        <f t="shared" si="39"/>
        <v>0</v>
      </c>
      <c r="M106" s="911"/>
      <c r="N106" s="913">
        <f t="shared" si="35"/>
        <v>0</v>
      </c>
      <c r="O106" s="913">
        <f t="shared" si="35"/>
        <v>0</v>
      </c>
      <c r="P106" s="911"/>
      <c r="Q106" s="913">
        <f t="shared" si="36"/>
        <v>0</v>
      </c>
      <c r="R106" s="913">
        <f t="shared" si="36"/>
        <v>0</v>
      </c>
      <c r="S106" s="911"/>
      <c r="T106" s="913">
        <f t="shared" si="37"/>
        <v>0</v>
      </c>
      <c r="U106" s="913">
        <f t="shared" si="37"/>
        <v>0</v>
      </c>
    </row>
    <row r="107" s="906" customFormat="1" ht="15" customHeight="1" spans="1:25">
      <c r="A107" s="911"/>
      <c r="B107" s="911"/>
      <c r="C107" s="915" t="s">
        <v>796</v>
      </c>
      <c r="D107" s="913"/>
      <c r="E107" s="914">
        <f t="shared" si="33"/>
        <v>0</v>
      </c>
      <c r="F107" s="914">
        <f t="shared" si="34"/>
        <v>0</v>
      </c>
      <c r="G107" s="913"/>
      <c r="H107" s="913">
        <f t="shared" si="38"/>
        <v>0</v>
      </c>
      <c r="I107" s="913">
        <f t="shared" si="38"/>
        <v>0</v>
      </c>
      <c r="J107" s="911"/>
      <c r="K107" s="913">
        <f t="shared" si="39"/>
        <v>0</v>
      </c>
      <c r="L107" s="913">
        <f t="shared" si="39"/>
        <v>0</v>
      </c>
      <c r="M107" s="911"/>
      <c r="N107" s="913">
        <f t="shared" si="35"/>
        <v>0</v>
      </c>
      <c r="O107" s="913">
        <f t="shared" si="35"/>
        <v>0</v>
      </c>
      <c r="P107" s="911"/>
      <c r="Q107" s="913">
        <f t="shared" si="36"/>
        <v>0</v>
      </c>
      <c r="R107" s="913">
        <f t="shared" si="36"/>
        <v>0</v>
      </c>
      <c r="S107" s="911"/>
      <c r="T107" s="913">
        <f t="shared" si="37"/>
        <v>0</v>
      </c>
      <c r="U107" s="913">
        <f t="shared" si="37"/>
        <v>0</v>
      </c>
    </row>
    <row r="108" s="906" customFormat="1" ht="15" customHeight="1" spans="1:25">
      <c r="A108" s="911"/>
      <c r="B108" s="918"/>
      <c r="C108" s="915" t="s">
        <v>797</v>
      </c>
      <c r="D108" s="913"/>
      <c r="E108" s="916">
        <f t="shared" si="33"/>
        <v>-17313367.77</v>
      </c>
      <c r="F108" s="914">
        <f t="shared" si="34"/>
        <v>-10660588.42</v>
      </c>
      <c r="G108" s="913"/>
      <c r="H108" s="913">
        <f t="shared" si="38"/>
        <v>-8477528.12</v>
      </c>
      <c r="I108" s="913">
        <f t="shared" si="38"/>
        <v>-1557982.7</v>
      </c>
      <c r="J108" s="911"/>
      <c r="K108" s="913">
        <f t="shared" si="39"/>
        <v>-5726330.32</v>
      </c>
      <c r="L108" s="913">
        <f t="shared" si="39"/>
        <v>1920626.86</v>
      </c>
      <c r="M108" s="911"/>
      <c r="N108" s="913">
        <f t="shared" si="35"/>
        <v>-5518621.87</v>
      </c>
      <c r="O108" s="913">
        <f t="shared" si="35"/>
        <v>1769158.58</v>
      </c>
      <c r="P108" s="911"/>
      <c r="Q108" s="913">
        <f t="shared" si="36"/>
        <v>0</v>
      </c>
      <c r="R108" s="913">
        <f t="shared" si="36"/>
        <v>0</v>
      </c>
      <c r="S108" s="911"/>
      <c r="T108" s="913">
        <f t="shared" si="37"/>
        <v>0</v>
      </c>
      <c r="U108" s="913">
        <f t="shared" si="37"/>
        <v>0</v>
      </c>
      <c r="W108" s="917">
        <f>H108-K108</f>
        <v>-2751197.8</v>
      </c>
      <c r="X108" s="917">
        <f>合并试算平衡表!K3</f>
        <v>-1370059.7478</v>
      </c>
      <c r="Y108" s="917">
        <f>X108+W108</f>
        <v>-4121257.5478</v>
      </c>
    </row>
    <row r="109" s="906" customFormat="1" ht="15" customHeight="1" spans="1:25">
      <c r="A109" s="911"/>
      <c r="B109" s="911"/>
      <c r="C109" s="911" t="str">
        <f>TRIM(合并试算平衡表!A153)</f>
        <v>会计政策变更</v>
      </c>
      <c r="D109" s="913"/>
      <c r="E109" s="914">
        <f t="shared" si="33"/>
        <v>0</v>
      </c>
      <c r="F109" s="914">
        <f t="shared" si="34"/>
        <v>0</v>
      </c>
      <c r="G109" s="913"/>
      <c r="H109" s="913">
        <f t="shared" si="38"/>
        <v>0</v>
      </c>
      <c r="I109" s="913">
        <f t="shared" si="38"/>
        <v>0</v>
      </c>
      <c r="J109" s="911"/>
      <c r="K109" s="913">
        <f t="shared" si="39"/>
        <v>0</v>
      </c>
      <c r="L109" s="913">
        <f t="shared" si="39"/>
        <v>0</v>
      </c>
      <c r="M109" s="911"/>
      <c r="N109" s="913">
        <f t="shared" si="35"/>
        <v>0</v>
      </c>
      <c r="O109" s="913">
        <f t="shared" si="35"/>
        <v>0</v>
      </c>
      <c r="P109" s="911"/>
      <c r="Q109" s="913">
        <f t="shared" si="36"/>
        <v>0</v>
      </c>
      <c r="R109" s="913">
        <f t="shared" si="36"/>
        <v>0</v>
      </c>
      <c r="S109" s="911"/>
      <c r="T109" s="913">
        <f t="shared" si="37"/>
        <v>0</v>
      </c>
      <c r="U109" s="913">
        <f t="shared" si="37"/>
        <v>0</v>
      </c>
      <c r="W109" s="917">
        <f>N108-O108</f>
        <v>-7287780.45</v>
      </c>
    </row>
    <row r="110" s="906" customFormat="1" ht="15" customHeight="1" spans="1:25">
      <c r="A110" s="911"/>
      <c r="B110" s="911"/>
      <c r="C110" s="911" t="str">
        <f>TRIM(合并试算平衡表!A154)</f>
        <v>前期差错更正</v>
      </c>
      <c r="D110" s="913"/>
      <c r="E110" s="914">
        <f t="shared" si="33"/>
        <v>0</v>
      </c>
      <c r="F110" s="914">
        <f t="shared" si="34"/>
        <v>0</v>
      </c>
      <c r="G110" s="913"/>
      <c r="H110" s="913">
        <f t="shared" si="38"/>
        <v>0</v>
      </c>
      <c r="I110" s="913">
        <f t="shared" si="38"/>
        <v>0</v>
      </c>
      <c r="J110" s="911"/>
      <c r="K110" s="913">
        <f t="shared" si="39"/>
        <v>0</v>
      </c>
      <c r="L110" s="913">
        <f t="shared" si="39"/>
        <v>0</v>
      </c>
      <c r="M110" s="911"/>
      <c r="N110" s="913">
        <f t="shared" si="35"/>
        <v>0</v>
      </c>
      <c r="O110" s="913">
        <f t="shared" si="35"/>
        <v>0</v>
      </c>
      <c r="P110" s="911"/>
      <c r="Q110" s="913">
        <f t="shared" si="36"/>
        <v>0</v>
      </c>
      <c r="R110" s="913">
        <f t="shared" si="36"/>
        <v>0</v>
      </c>
      <c r="S110" s="911"/>
      <c r="T110" s="913">
        <f t="shared" si="37"/>
        <v>0</v>
      </c>
      <c r="U110" s="913">
        <f t="shared" si="37"/>
        <v>0</v>
      </c>
      <c r="W110" s="917">
        <f>W109-W97</f>
        <v>359176.73</v>
      </c>
    </row>
    <row r="111" s="906" customFormat="1" ht="15" customHeight="1" spans="1:25">
      <c r="A111" s="911"/>
      <c r="B111" s="911"/>
      <c r="C111" s="915" t="s">
        <v>798</v>
      </c>
      <c r="D111" s="913"/>
      <c r="E111" s="914">
        <f t="shared" si="33"/>
        <v>0</v>
      </c>
      <c r="F111" s="914">
        <f t="shared" si="34"/>
        <v>0</v>
      </c>
      <c r="G111" s="913"/>
      <c r="H111" s="913">
        <f t="shared" si="38"/>
        <v>0</v>
      </c>
      <c r="I111" s="913">
        <f t="shared" si="38"/>
        <v>0</v>
      </c>
      <c r="J111" s="911"/>
      <c r="K111" s="913">
        <f t="shared" si="39"/>
        <v>0</v>
      </c>
      <c r="L111" s="913">
        <f t="shared" si="39"/>
        <v>0</v>
      </c>
      <c r="M111" s="911"/>
      <c r="N111" s="913">
        <f t="shared" si="35"/>
        <v>0</v>
      </c>
      <c r="O111" s="913">
        <f t="shared" si="35"/>
        <v>0</v>
      </c>
      <c r="P111" s="911"/>
      <c r="Q111" s="913">
        <f t="shared" si="36"/>
        <v>0</v>
      </c>
      <c r="R111" s="913">
        <f t="shared" si="36"/>
        <v>0</v>
      </c>
      <c r="S111" s="911"/>
      <c r="T111" s="913">
        <f t="shared" si="37"/>
        <v>0</v>
      </c>
      <c r="U111" s="913">
        <f t="shared" si="37"/>
        <v>0</v>
      </c>
    </row>
    <row r="112" s="906" customFormat="1" ht="15" customHeight="1" spans="1:25">
      <c r="A112" s="911"/>
      <c r="B112" s="911"/>
      <c r="C112" s="911" t="str">
        <f>TRIM(合并试算平衡表!A157)</f>
        <v>提取任意盈余公积</v>
      </c>
      <c r="D112" s="913"/>
      <c r="E112" s="914">
        <f t="shared" si="33"/>
        <v>0</v>
      </c>
      <c r="F112" s="914">
        <f t="shared" si="34"/>
        <v>0</v>
      </c>
      <c r="G112" s="913"/>
      <c r="H112" s="913">
        <f t="shared" si="38"/>
        <v>0</v>
      </c>
      <c r="I112" s="913">
        <f t="shared" si="38"/>
        <v>0</v>
      </c>
      <c r="J112" s="911"/>
      <c r="K112" s="913">
        <f t="shared" si="39"/>
        <v>0</v>
      </c>
      <c r="L112" s="913">
        <f t="shared" si="39"/>
        <v>0</v>
      </c>
      <c r="M112" s="911"/>
      <c r="N112" s="913">
        <f t="shared" si="35"/>
        <v>0</v>
      </c>
      <c r="O112" s="913">
        <f t="shared" si="35"/>
        <v>0</v>
      </c>
      <c r="P112" s="911"/>
      <c r="Q112" s="913">
        <f t="shared" si="36"/>
        <v>0</v>
      </c>
      <c r="R112" s="913">
        <f t="shared" si="36"/>
        <v>0</v>
      </c>
      <c r="S112" s="911"/>
      <c r="T112" s="913">
        <f t="shared" si="37"/>
        <v>0</v>
      </c>
      <c r="U112" s="913">
        <f t="shared" si="37"/>
        <v>0</v>
      </c>
      <c r="W112" s="917">
        <f>N108-K108</f>
        <v>207708.45</v>
      </c>
    </row>
    <row r="113" s="906" customFormat="1" ht="15" customHeight="1" spans="1:22">
      <c r="A113" s="911"/>
      <c r="B113" s="911"/>
      <c r="C113" s="911" t="str">
        <f>TRIM(合并试算平衡表!A158)</f>
        <v>提取法定公益金</v>
      </c>
      <c r="D113" s="911"/>
      <c r="E113" s="914">
        <f t="shared" si="33"/>
        <v>0</v>
      </c>
      <c r="F113" s="914">
        <f t="shared" si="34"/>
        <v>0</v>
      </c>
      <c r="G113" s="911"/>
      <c r="H113" s="913">
        <f t="shared" si="38"/>
        <v>0</v>
      </c>
      <c r="I113" s="913">
        <f t="shared" si="38"/>
        <v>0</v>
      </c>
      <c r="J113" s="911"/>
      <c r="K113" s="913">
        <f t="shared" si="39"/>
        <v>0</v>
      </c>
      <c r="L113" s="913">
        <f t="shared" si="39"/>
        <v>0</v>
      </c>
      <c r="M113" s="911"/>
      <c r="N113" s="913">
        <f t="shared" si="35"/>
        <v>0</v>
      </c>
      <c r="O113" s="913">
        <f t="shared" si="35"/>
        <v>0</v>
      </c>
      <c r="P113" s="911"/>
      <c r="Q113" s="913">
        <f t="shared" si="36"/>
        <v>0</v>
      </c>
      <c r="R113" s="913">
        <f t="shared" si="36"/>
        <v>0</v>
      </c>
      <c r="S113" s="911"/>
      <c r="T113" s="913">
        <f t="shared" si="37"/>
        <v>0</v>
      </c>
      <c r="U113" s="913">
        <f t="shared" si="37"/>
        <v>0</v>
      </c>
    </row>
    <row r="114" s="906" customFormat="1" ht="15" customHeight="1" spans="1:22">
      <c r="A114" s="911"/>
      <c r="B114" s="911"/>
      <c r="C114" s="911" t="str">
        <f>TRIM(合并试算平衡表!A159)</f>
        <v>提取职工奖励及福利基金</v>
      </c>
      <c r="D114" s="911"/>
      <c r="E114" s="914">
        <f t="shared" si="33"/>
        <v>0</v>
      </c>
      <c r="F114" s="914">
        <f t="shared" si="34"/>
        <v>0</v>
      </c>
      <c r="G114" s="911"/>
      <c r="H114" s="913">
        <f t="shared" si="38"/>
        <v>0</v>
      </c>
      <c r="I114" s="913">
        <f t="shared" si="38"/>
        <v>0</v>
      </c>
      <c r="J114" s="911"/>
      <c r="K114" s="913">
        <f t="shared" si="39"/>
        <v>0</v>
      </c>
      <c r="L114" s="913">
        <f t="shared" si="39"/>
        <v>0</v>
      </c>
      <c r="M114" s="911"/>
      <c r="N114" s="913">
        <f t="shared" si="35"/>
        <v>0</v>
      </c>
      <c r="O114" s="913">
        <f t="shared" si="35"/>
        <v>0</v>
      </c>
      <c r="P114" s="911"/>
      <c r="Q114" s="913">
        <f t="shared" si="36"/>
        <v>0</v>
      </c>
      <c r="R114" s="913">
        <f t="shared" si="36"/>
        <v>0</v>
      </c>
      <c r="S114" s="911"/>
      <c r="T114" s="913">
        <f t="shared" si="37"/>
        <v>0</v>
      </c>
      <c r="U114" s="913">
        <f t="shared" si="37"/>
        <v>0</v>
      </c>
    </row>
    <row r="115" s="906" customFormat="1" ht="15" customHeight="1" spans="1:22">
      <c r="A115" s="911"/>
      <c r="B115" s="911"/>
      <c r="C115" s="911" t="str">
        <f>TRIM(合并试算平衡表!A160)</f>
        <v>提取储备基金</v>
      </c>
      <c r="D115" s="911"/>
      <c r="E115" s="914">
        <f t="shared" si="33"/>
        <v>0</v>
      </c>
      <c r="F115" s="914">
        <f t="shared" si="34"/>
        <v>0</v>
      </c>
      <c r="G115" s="911"/>
      <c r="H115" s="913">
        <f t="shared" si="38"/>
        <v>0</v>
      </c>
      <c r="I115" s="913">
        <f t="shared" si="38"/>
        <v>0</v>
      </c>
      <c r="J115" s="911"/>
      <c r="K115" s="913">
        <f t="shared" si="39"/>
        <v>0</v>
      </c>
      <c r="L115" s="913">
        <f t="shared" si="39"/>
        <v>0</v>
      </c>
      <c r="M115" s="911"/>
      <c r="N115" s="913">
        <f t="shared" si="35"/>
        <v>0</v>
      </c>
      <c r="O115" s="913">
        <f t="shared" si="35"/>
        <v>0</v>
      </c>
      <c r="P115" s="911"/>
      <c r="Q115" s="913">
        <f t="shared" si="36"/>
        <v>0</v>
      </c>
      <c r="R115" s="913">
        <f t="shared" si="36"/>
        <v>0</v>
      </c>
      <c r="S115" s="911"/>
      <c r="T115" s="913">
        <f t="shared" si="37"/>
        <v>0</v>
      </c>
      <c r="U115" s="913">
        <f t="shared" si="37"/>
        <v>0</v>
      </c>
    </row>
    <row r="116" s="906" customFormat="1" ht="12.75" spans="1:22">
      <c r="A116" s="911"/>
      <c r="B116" s="911"/>
      <c r="C116" s="911" t="str">
        <f>TRIM(合并试算平衡表!A161)</f>
        <v>提取企业发展基金</v>
      </c>
      <c r="D116" s="911"/>
      <c r="E116" s="914">
        <f t="shared" si="33"/>
        <v>0</v>
      </c>
      <c r="F116" s="914">
        <f t="shared" si="34"/>
        <v>0</v>
      </c>
      <c r="G116" s="911"/>
      <c r="H116" s="913">
        <f t="shared" si="38"/>
        <v>0</v>
      </c>
      <c r="I116" s="913">
        <f t="shared" si="38"/>
        <v>0</v>
      </c>
      <c r="J116" s="911"/>
      <c r="K116" s="913">
        <f t="shared" si="39"/>
        <v>0</v>
      </c>
      <c r="L116" s="913">
        <f t="shared" si="39"/>
        <v>0</v>
      </c>
      <c r="M116" s="911"/>
      <c r="N116" s="913">
        <f t="shared" si="35"/>
        <v>0</v>
      </c>
      <c r="O116" s="913">
        <f t="shared" si="35"/>
        <v>0</v>
      </c>
      <c r="P116" s="911"/>
      <c r="Q116" s="913">
        <f t="shared" si="36"/>
        <v>0</v>
      </c>
      <c r="R116" s="913">
        <f t="shared" si="36"/>
        <v>0</v>
      </c>
      <c r="S116" s="911"/>
      <c r="T116" s="913">
        <f t="shared" si="37"/>
        <v>0</v>
      </c>
      <c r="U116" s="913">
        <f t="shared" si="37"/>
        <v>0</v>
      </c>
    </row>
    <row r="117" s="906" customFormat="1" ht="12.75" spans="1:22">
      <c r="A117" s="911"/>
      <c r="B117" s="911"/>
      <c r="C117" s="911" t="str">
        <f>TRIM(合并试算平衡表!A162)</f>
        <v>应付股利</v>
      </c>
      <c r="D117" s="911"/>
      <c r="E117" s="914">
        <f t="shared" si="33"/>
        <v>0</v>
      </c>
      <c r="F117" s="914">
        <f t="shared" si="34"/>
        <v>0</v>
      </c>
      <c r="G117" s="911"/>
      <c r="H117" s="913">
        <f t="shared" si="38"/>
        <v>0</v>
      </c>
      <c r="I117" s="913">
        <f t="shared" si="38"/>
        <v>0</v>
      </c>
      <c r="J117" s="911"/>
      <c r="K117" s="913">
        <f t="shared" si="39"/>
        <v>0</v>
      </c>
      <c r="L117" s="913">
        <f t="shared" si="39"/>
        <v>0</v>
      </c>
      <c r="M117" s="911"/>
      <c r="N117" s="913">
        <f t="shared" si="35"/>
        <v>0</v>
      </c>
      <c r="O117" s="913">
        <f t="shared" si="35"/>
        <v>0</v>
      </c>
      <c r="P117" s="911"/>
      <c r="Q117" s="913">
        <f t="shared" si="36"/>
        <v>0</v>
      </c>
      <c r="R117" s="913">
        <f t="shared" si="36"/>
        <v>0</v>
      </c>
      <c r="S117" s="911"/>
      <c r="T117" s="913">
        <f t="shared" si="37"/>
        <v>0</v>
      </c>
      <c r="U117" s="913">
        <f t="shared" si="37"/>
        <v>0</v>
      </c>
    </row>
    <row r="118" s="906" customFormat="1" ht="12.75" spans="1:22">
      <c r="A118" s="911"/>
      <c r="B118" s="911"/>
      <c r="C118" s="911" t="str">
        <f>TRIM(合并试算平衡表!A163)</f>
        <v>转增股本</v>
      </c>
      <c r="D118" s="911"/>
      <c r="E118" s="914">
        <f t="shared" si="33"/>
        <v>0</v>
      </c>
      <c r="F118" s="914">
        <f t="shared" si="34"/>
        <v>0</v>
      </c>
      <c r="G118" s="911"/>
      <c r="H118" s="913">
        <f t="shared" si="38"/>
        <v>0</v>
      </c>
      <c r="I118" s="913">
        <f t="shared" si="38"/>
        <v>0</v>
      </c>
      <c r="J118" s="911"/>
      <c r="K118" s="913">
        <f t="shared" si="39"/>
        <v>0</v>
      </c>
      <c r="L118" s="913">
        <f t="shared" si="39"/>
        <v>0</v>
      </c>
      <c r="M118" s="911"/>
      <c r="N118" s="913">
        <f t="shared" si="35"/>
        <v>0</v>
      </c>
      <c r="O118" s="913">
        <f t="shared" si="35"/>
        <v>0</v>
      </c>
      <c r="P118" s="911"/>
      <c r="Q118" s="913">
        <f t="shared" si="36"/>
        <v>0</v>
      </c>
      <c r="R118" s="913">
        <f t="shared" si="36"/>
        <v>0</v>
      </c>
      <c r="S118" s="911"/>
      <c r="T118" s="913">
        <f t="shared" si="37"/>
        <v>0</v>
      </c>
      <c r="U118" s="913">
        <f t="shared" si="37"/>
        <v>0</v>
      </c>
    </row>
    <row r="119" s="906" customFormat="1" ht="12.75" spans="1:22">
      <c r="A119" s="911"/>
      <c r="B119" s="911"/>
      <c r="C119" s="911" t="str">
        <f>TRIM(合并试算平衡表!A164)</f>
        <v>其他</v>
      </c>
      <c r="D119" s="911"/>
      <c r="E119" s="914">
        <f t="shared" si="33"/>
        <v>0</v>
      </c>
      <c r="F119" s="914">
        <f t="shared" si="34"/>
        <v>0</v>
      </c>
      <c r="G119" s="911"/>
      <c r="H119" s="913">
        <f t="shared" si="38"/>
        <v>0</v>
      </c>
      <c r="I119" s="913">
        <f t="shared" si="38"/>
        <v>0</v>
      </c>
      <c r="J119" s="911"/>
      <c r="K119" s="913">
        <f t="shared" si="39"/>
        <v>0</v>
      </c>
      <c r="L119" s="913">
        <f t="shared" si="39"/>
        <v>0</v>
      </c>
      <c r="M119" s="911"/>
      <c r="N119" s="913">
        <f t="shared" si="35"/>
        <v>0</v>
      </c>
      <c r="O119" s="913">
        <f t="shared" si="35"/>
        <v>0</v>
      </c>
      <c r="P119" s="911"/>
      <c r="Q119" s="913">
        <f t="shared" si="36"/>
        <v>0</v>
      </c>
      <c r="R119" s="913">
        <f t="shared" si="36"/>
        <v>0</v>
      </c>
      <c r="S119" s="911"/>
      <c r="T119" s="913">
        <f t="shared" si="37"/>
        <v>0</v>
      </c>
      <c r="U119" s="913">
        <f t="shared" si="37"/>
        <v>0</v>
      </c>
    </row>
    <row r="120" s="906" customFormat="1" ht="12.75" spans="1:22">
      <c r="A120" s="911"/>
      <c r="B120" s="911"/>
      <c r="C120" s="915" t="s">
        <v>183</v>
      </c>
      <c r="D120" s="911"/>
      <c r="E120" s="914">
        <f t="shared" si="33"/>
        <v>0</v>
      </c>
      <c r="F120" s="914">
        <f t="shared" si="34"/>
        <v>1789588.52</v>
      </c>
      <c r="G120" s="911"/>
      <c r="H120" s="913">
        <f t="shared" si="38"/>
        <v>0</v>
      </c>
      <c r="I120" s="913">
        <f t="shared" si="38"/>
        <v>1859448.65</v>
      </c>
      <c r="J120" s="911"/>
      <c r="K120" s="913">
        <f t="shared" si="39"/>
        <v>0</v>
      </c>
      <c r="L120" s="913">
        <f t="shared" si="39"/>
        <v>2060641.14</v>
      </c>
      <c r="M120" s="911"/>
      <c r="N120" s="913">
        <f t="shared" si="35"/>
        <v>0</v>
      </c>
      <c r="O120" s="913">
        <f t="shared" si="35"/>
        <v>3006884.16</v>
      </c>
      <c r="P120" s="911"/>
      <c r="Q120" s="913">
        <f t="shared" si="36"/>
        <v>0</v>
      </c>
      <c r="R120" s="913">
        <f t="shared" si="36"/>
        <v>0</v>
      </c>
      <c r="S120" s="911"/>
      <c r="T120" s="913">
        <f t="shared" si="37"/>
        <v>0</v>
      </c>
      <c r="U120" s="913">
        <f t="shared" si="37"/>
        <v>0</v>
      </c>
    </row>
    <row r="121" s="906" customFormat="1" ht="12.75" spans="1:22">
      <c r="A121" s="911"/>
      <c r="B121" s="911"/>
      <c r="C121" s="915" t="s">
        <v>761</v>
      </c>
      <c r="D121" s="911"/>
      <c r="E121" s="914">
        <f t="shared" si="33"/>
        <v>43251.8832679999</v>
      </c>
      <c r="F121" s="914">
        <f t="shared" si="34"/>
        <v>0</v>
      </c>
      <c r="G121" s="911"/>
      <c r="H121" s="913">
        <f t="shared" si="38"/>
        <v>477.992196000176</v>
      </c>
      <c r="I121" s="913">
        <f t="shared" si="38"/>
        <v>0</v>
      </c>
      <c r="J121" s="911"/>
      <c r="K121" s="913">
        <f t="shared" si="39"/>
        <v>-374083.11</v>
      </c>
      <c r="L121" s="913">
        <f t="shared" si="39"/>
        <v>0</v>
      </c>
      <c r="M121" s="911"/>
      <c r="N121" s="913">
        <f t="shared" si="35"/>
        <v>212983.18</v>
      </c>
      <c r="O121" s="913">
        <f t="shared" si="35"/>
        <v>0</v>
      </c>
      <c r="P121" s="911"/>
      <c r="Q121" s="913">
        <f t="shared" si="36"/>
        <v>0</v>
      </c>
      <c r="R121" s="913">
        <f t="shared" si="36"/>
        <v>0</v>
      </c>
      <c r="S121" s="911"/>
      <c r="T121" s="913">
        <f t="shared" si="37"/>
        <v>0</v>
      </c>
      <c r="U121" s="913">
        <f t="shared" si="37"/>
        <v>0</v>
      </c>
    </row>
    <row r="122" s="906" customFormat="1" ht="12.75" spans="1:22">
      <c r="A122" s="911"/>
      <c r="B122" s="911"/>
      <c r="C122" s="911"/>
      <c r="D122" s="911"/>
      <c r="E122" s="911"/>
      <c r="F122" s="911"/>
      <c r="G122" s="911"/>
      <c r="H122" s="911"/>
      <c r="I122" s="911"/>
      <c r="J122" s="911"/>
      <c r="K122" s="913">
        <f t="shared" si="39"/>
        <v>0</v>
      </c>
      <c r="L122" s="913">
        <f t="shared" si="39"/>
        <v>0</v>
      </c>
      <c r="M122" s="911"/>
      <c r="N122" s="911"/>
      <c r="O122" s="911"/>
      <c r="P122" s="911"/>
      <c r="Q122" s="911"/>
      <c r="R122" s="911"/>
      <c r="S122" s="911"/>
    </row>
    <row r="123" spans="1:22">
      <c r="A123" s="919"/>
      <c r="B123" s="920"/>
      <c r="C123" s="919"/>
      <c r="D123" s="921"/>
      <c r="E123" s="919"/>
      <c r="F123" s="919"/>
      <c r="G123" s="919"/>
      <c r="H123" s="919"/>
      <c r="I123" s="919"/>
      <c r="J123" s="919"/>
      <c r="K123" s="919"/>
      <c r="L123" s="919"/>
      <c r="M123" s="919"/>
      <c r="N123" s="919"/>
      <c r="O123" s="919"/>
      <c r="P123" s="919"/>
      <c r="Q123" s="919"/>
      <c r="R123" s="919"/>
      <c r="S123" s="919"/>
    </row>
    <row r="124" ht="24" customHeight="1" spans="1:22">
      <c r="A124" s="922" t="s">
        <v>799</v>
      </c>
      <c r="B124" s="922"/>
      <c r="C124" s="922"/>
      <c r="D124" s="922"/>
      <c r="E124" s="922"/>
      <c r="F124" s="922"/>
      <c r="G124" s="922"/>
      <c r="H124" s="922"/>
      <c r="I124" s="922"/>
      <c r="J124" s="922"/>
      <c r="K124" s="922"/>
      <c r="L124" s="922"/>
      <c r="M124" s="922"/>
      <c r="N124" s="922"/>
      <c r="O124" s="922"/>
      <c r="P124" s="922"/>
      <c r="Q124" s="922"/>
      <c r="R124" s="922"/>
      <c r="S124" s="922"/>
      <c r="T124" s="923"/>
      <c r="U124" s="923"/>
      <c r="V124" s="923"/>
    </row>
    <row r="125" s="906" customFormat="1" ht="12.75" customHeight="1" spans="1:22">
      <c r="A125" s="924" t="str">
        <f>"被审计单位："&amp;基本信息!B2</f>
        <v>被审计单位：飞而康快速制造科技有限责任公司</v>
      </c>
      <c r="B125" s="924"/>
      <c r="C125" s="924"/>
      <c r="D125" s="924"/>
      <c r="E125" s="924"/>
      <c r="F125" s="924"/>
      <c r="G125" s="924"/>
      <c r="H125" s="924"/>
      <c r="I125" s="925"/>
      <c r="J125" s="924"/>
      <c r="K125" s="924" t="str">
        <f>基本信息!A16&amp;基本信息!B16</f>
        <v>编制人：</v>
      </c>
      <c r="L125" s="925"/>
      <c r="M125" s="924"/>
      <c r="N125" s="923"/>
      <c r="O125" s="923" t="str">
        <f>"编制日期："&amp;TEXT(基本信息!C16,"yyyy/mm/dd")</f>
        <v>编制日期：1900/01/00</v>
      </c>
      <c r="P125" s="923"/>
      <c r="Q125" s="923"/>
      <c r="R125" s="926" t="s">
        <v>800</v>
      </c>
      <c r="S125" s="923"/>
      <c r="T125" s="923"/>
      <c r="U125" s="923"/>
      <c r="V125" s="923"/>
    </row>
    <row r="126" s="906" customFormat="1" ht="12.75" customHeight="1" spans="1:22">
      <c r="A126" s="927" t="s">
        <v>801</v>
      </c>
      <c r="B126" s="924"/>
      <c r="C126" s="923"/>
      <c r="D126" s="924"/>
      <c r="E126" s="924"/>
      <c r="F126" s="924"/>
      <c r="G126" s="924"/>
      <c r="H126" s="924"/>
      <c r="I126" s="925"/>
      <c r="J126" s="924"/>
      <c r="K126" s="924" t="str">
        <f>基本信息!A17&amp;基本信息!B17</f>
        <v>复核人：</v>
      </c>
      <c r="L126" s="925"/>
      <c r="M126" s="924"/>
      <c r="N126" s="923"/>
      <c r="O126" s="923" t="str">
        <f>"复核日期："&amp;TEXT(基本信息!C17,"yyyy/mm/dd")</f>
        <v>复核日期：1900/01/00</v>
      </c>
      <c r="P126" s="923"/>
      <c r="Q126" s="923"/>
      <c r="R126" s="923"/>
      <c r="S126" s="923"/>
      <c r="T126" s="923"/>
      <c r="U126" s="923"/>
      <c r="V126" s="923"/>
    </row>
    <row r="127" s="906" customFormat="1" ht="6.75" customHeight="1" spans="1:22">
      <c r="A127" s="924"/>
      <c r="B127" s="924"/>
      <c r="C127" s="923"/>
      <c r="D127" s="924"/>
      <c r="E127" s="924"/>
      <c r="F127" s="924"/>
      <c r="G127" s="924"/>
      <c r="H127" s="924"/>
      <c r="I127" s="924"/>
      <c r="J127" s="924"/>
      <c r="K127" s="924"/>
      <c r="L127" s="924"/>
      <c r="M127" s="924"/>
      <c r="N127" s="923"/>
      <c r="O127" s="923"/>
      <c r="P127" s="923"/>
      <c r="Q127" s="923"/>
      <c r="R127" s="923"/>
      <c r="S127" s="923"/>
      <c r="T127" s="923"/>
      <c r="U127" s="923"/>
      <c r="V127" s="923"/>
    </row>
    <row r="128" spans="1:22">
      <c r="A128" s="928"/>
      <c r="B128" s="928"/>
      <c r="C128" s="928"/>
      <c r="D128" s="929" t="s">
        <v>802</v>
      </c>
      <c r="E128" s="930" t="str">
        <f>基本信息!C14&amp;"="</f>
        <v>2025年度=</v>
      </c>
      <c r="F128" s="929"/>
      <c r="G128" s="929"/>
      <c r="H128" s="930" t="str">
        <f>基本信息!C13&amp;"="</f>
        <v>2024年度=</v>
      </c>
      <c r="I128" s="931">
        <f>合并试算平衡表!J149-合并试算平衡表!I149</f>
        <v>-260948.789999999</v>
      </c>
      <c r="J128" s="932"/>
      <c r="K128" s="930" t="str">
        <f>基本信息!C12&amp;"="</f>
        <v>2023年度=</v>
      </c>
      <c r="L128" s="931">
        <f>合并试算平衡表!T149-合并试算平衡表!S149</f>
        <v>0</v>
      </c>
      <c r="M128" s="932"/>
      <c r="N128" s="930" t="str">
        <f>基本信息!C11&amp;"="</f>
        <v>2022年度=</v>
      </c>
      <c r="O128" s="931">
        <f>合并试算平衡表!AD149-合并试算平衡表!AC149</f>
        <v>1626803.34</v>
      </c>
      <c r="P128" s="933"/>
      <c r="Q128" s="930" t="str">
        <f>基本信息!C10&amp;"="</f>
        <v>=</v>
      </c>
      <c r="R128" s="931">
        <f>合并试算平衡表!AN149-合并试算平衡表!AM149</f>
        <v>0</v>
      </c>
      <c r="S128" s="933"/>
      <c r="T128" s="930" t="str">
        <f>基本信息!F10&amp;"="</f>
        <v>=</v>
      </c>
      <c r="U128" s="931">
        <f>合并试算平衡表!AQ149-合并试算平衡表!AP149</f>
        <v>0</v>
      </c>
      <c r="V128" s="923"/>
    </row>
    <row r="129" spans="1:22">
      <c r="A129" s="928"/>
      <c r="B129" s="928"/>
      <c r="C129" s="928"/>
      <c r="D129" s="929" t="s">
        <v>803</v>
      </c>
      <c r="E129" s="930" t="str">
        <f>E128</f>
        <v>2025年度=</v>
      </c>
      <c r="F129" s="929"/>
      <c r="G129" s="929"/>
      <c r="H129" s="930" t="str">
        <f>H128</f>
        <v>2024年度=</v>
      </c>
      <c r="I129" s="931">
        <f>合并试算平衡表!J115-合并试算平衡表!I115</f>
        <v>-258197093.213268</v>
      </c>
      <c r="J129" s="932"/>
      <c r="K129" s="930" t="str">
        <f>K128</f>
        <v>2023年度=</v>
      </c>
      <c r="L129" s="931">
        <f>合并试算平衡表!T115-合并试算平衡表!S115</f>
        <v>-257520828.052196</v>
      </c>
      <c r="M129" s="932"/>
      <c r="N129" s="930" t="str">
        <f>N128</f>
        <v>2022年度=</v>
      </c>
      <c r="O129" s="931">
        <f>合并试算平衡表!AD115-合并试算平衡表!AC115</f>
        <v>-27309303.06</v>
      </c>
      <c r="P129" s="933"/>
      <c r="Q129" s="930" t="str">
        <f>Q128</f>
        <v>=</v>
      </c>
      <c r="R129" s="931">
        <f>合并试算平衡表!AN115-合并试算平衡表!AM115</f>
        <v>0</v>
      </c>
      <c r="S129" s="933"/>
      <c r="T129" s="930" t="str">
        <f>T128</f>
        <v>=</v>
      </c>
      <c r="U129" s="931">
        <f>合并试算平衡表!AQ115-合并试算平衡表!AP115</f>
        <v>0</v>
      </c>
      <c r="V129" s="923"/>
    </row>
    <row r="130" s="907" customFormat="1" ht="9" customHeight="1" spans="1:22">
      <c r="A130" s="934"/>
      <c r="B130" s="934"/>
      <c r="C130" s="934"/>
      <c r="D130" s="935">
        <f>IF(ROUND(K131-L131,4)=0,0,"2015年调整分录不平，差额为"&amp;FIXED(K131-L131))</f>
        <v>0</v>
      </c>
      <c r="E130" s="935"/>
      <c r="F130" s="935"/>
      <c r="G130" s="935"/>
      <c r="H130" s="935"/>
      <c r="I130" s="935"/>
      <c r="J130" s="935"/>
      <c r="K130" s="935"/>
      <c r="L130" s="935"/>
      <c r="M130" s="935">
        <f>IF(ROUND(N131-O131,4)=0,0,"2014年调整分录不平，差额为"&amp;FIXED(N131-O131))</f>
        <v>0</v>
      </c>
      <c r="N130" s="935"/>
      <c r="O130" s="935"/>
      <c r="P130" s="936" t="str">
        <f>IF(ROUND(Q131-R131,4)=0,0,"2014年调整分录不平，差额为"&amp;FIXED(Q131-R131))</f>
        <v>2014年调整分录不平，差额为-214,939,267.63</v>
      </c>
      <c r="Q130" s="936"/>
      <c r="R130" s="936"/>
      <c r="S130" s="936">
        <f>IF(ROUND(T131-U131,4)=0,0,"2014年调整分录不平，差额为"&amp;FIXED(T131-U131))</f>
        <v>0</v>
      </c>
      <c r="T130" s="936"/>
      <c r="U130" s="936"/>
      <c r="V130" s="923"/>
    </row>
    <row r="131" spans="1:22">
      <c r="A131" s="928"/>
      <c r="B131" s="928"/>
      <c r="C131" s="928"/>
      <c r="D131" s="929" t="s">
        <v>804</v>
      </c>
      <c r="E131" s="937">
        <f>SUM(E133:E408)</f>
        <v>341144590.963268</v>
      </c>
      <c r="F131" s="937">
        <f>SUM(F133:F408)</f>
        <v>341144590.96</v>
      </c>
      <c r="G131" s="929"/>
      <c r="H131" s="937">
        <f>SUM(H133:H408)</f>
        <v>410930563.133696</v>
      </c>
      <c r="I131" s="937">
        <f>SUM(I133:I408)</f>
        <v>410930563.1315</v>
      </c>
      <c r="J131" s="932"/>
      <c r="K131" s="938">
        <f>SUM(K133:K408)</f>
        <v>65911225.27</v>
      </c>
      <c r="L131" s="938">
        <f>SUM(L133:L408)</f>
        <v>65911225.27</v>
      </c>
      <c r="M131" s="932"/>
      <c r="N131" s="938">
        <f>SUM(N133:N408)</f>
        <v>48154583.58</v>
      </c>
      <c r="O131" s="938">
        <f>SUM(O133:O408)</f>
        <v>48154583.58</v>
      </c>
      <c r="P131" s="938"/>
      <c r="Q131" s="938">
        <f>SUM(Q133:Q408)</f>
        <v>153568.28</v>
      </c>
      <c r="R131" s="938">
        <f>SUM(R133:R408)</f>
        <v>215092835.91</v>
      </c>
      <c r="S131" s="938"/>
      <c r="T131" s="938">
        <f>SUM(T133:T408)</f>
        <v>0</v>
      </c>
      <c r="U131" s="938">
        <f>SUM(U133:U408)</f>
        <v>0</v>
      </c>
      <c r="V131" s="923"/>
    </row>
    <row r="132" ht="13.5" customHeight="1" spans="1:22">
      <c r="A132" s="939" t="s">
        <v>805</v>
      </c>
      <c r="B132" s="940" t="s">
        <v>806</v>
      </c>
      <c r="C132" s="940" t="s">
        <v>807</v>
      </c>
      <c r="D132" s="940" t="s">
        <v>808</v>
      </c>
      <c r="E132" s="941" t="str">
        <f>基本信息!C14&amp;"调整金额"</f>
        <v>2025年度调整金额</v>
      </c>
      <c r="F132" s="941"/>
      <c r="G132" s="942" t="s">
        <v>809</v>
      </c>
      <c r="H132" s="941" t="str">
        <f>基本信息!C13&amp;"调整金额"</f>
        <v>2024年度调整金额</v>
      </c>
      <c r="I132" s="941"/>
      <c r="J132" s="942" t="s">
        <v>809</v>
      </c>
      <c r="K132" s="941" t="str">
        <f>基本信息!C12&amp;"调整金额"</f>
        <v>2023年度调整金额</v>
      </c>
      <c r="L132" s="941"/>
      <c r="M132" s="942" t="s">
        <v>809</v>
      </c>
      <c r="N132" s="941" t="str">
        <f>基本信息!C11&amp;"调整金额"</f>
        <v>2022年度调整金额</v>
      </c>
      <c r="O132" s="941"/>
      <c r="P132" s="942" t="s">
        <v>809</v>
      </c>
      <c r="Q132" s="941" t="str">
        <f>基本信息!C10&amp;"调整金额"</f>
        <v>调整金额</v>
      </c>
      <c r="R132" s="941"/>
      <c r="S132" s="943" t="s">
        <v>809</v>
      </c>
      <c r="T132" s="941" t="s">
        <v>810</v>
      </c>
      <c r="U132" s="941"/>
      <c r="V132" s="943" t="s">
        <v>809</v>
      </c>
    </row>
    <row r="133" spans="1:22">
      <c r="A133" s="944"/>
      <c r="B133" s="945"/>
      <c r="C133" s="945"/>
      <c r="D133" s="945"/>
      <c r="E133" s="945" t="s">
        <v>811</v>
      </c>
      <c r="F133" s="945" t="s">
        <v>812</v>
      </c>
      <c r="G133" s="946"/>
      <c r="H133" s="945" t="s">
        <v>811</v>
      </c>
      <c r="I133" s="945" t="s">
        <v>812</v>
      </c>
      <c r="J133" s="946"/>
      <c r="K133" s="945" t="s">
        <v>811</v>
      </c>
      <c r="L133" s="945" t="s">
        <v>812</v>
      </c>
      <c r="M133" s="946"/>
      <c r="N133" s="945" t="s">
        <v>811</v>
      </c>
      <c r="O133" s="945" t="s">
        <v>812</v>
      </c>
      <c r="P133" s="946"/>
      <c r="Q133" s="945" t="s">
        <v>811</v>
      </c>
      <c r="R133" s="945" t="s">
        <v>812</v>
      </c>
      <c r="S133" s="947"/>
      <c r="T133" s="948" t="s">
        <v>811</v>
      </c>
      <c r="U133" s="948" t="s">
        <v>812</v>
      </c>
      <c r="V133" s="949"/>
    </row>
    <row r="134" s="908" customFormat="1" ht="15.95" customHeight="1" spans="1:22">
      <c r="A134" s="950">
        <v>1</v>
      </c>
      <c r="B134" s="951" t="s">
        <v>813</v>
      </c>
      <c r="C134" s="951" t="s">
        <v>154</v>
      </c>
      <c r="D134" s="951"/>
      <c r="E134" s="952">
        <f>F136+F140</f>
        <v>-10671492.09</v>
      </c>
      <c r="F134" s="953"/>
      <c r="G134" s="954" t="s">
        <v>814</v>
      </c>
      <c r="H134" s="953">
        <v>-1568886.37</v>
      </c>
      <c r="I134" s="953"/>
      <c r="J134" s="954" t="s">
        <v>814</v>
      </c>
      <c r="K134" s="955">
        <v>1909723.19</v>
      </c>
      <c r="L134" s="955"/>
      <c r="M134" s="954" t="s">
        <v>814</v>
      </c>
      <c r="N134" s="955">
        <v>1758254.91</v>
      </c>
      <c r="O134" s="955"/>
      <c r="P134" s="954" t="s">
        <v>814</v>
      </c>
      <c r="Q134" s="955"/>
      <c r="R134" s="955"/>
      <c r="S134" s="956"/>
      <c r="T134" s="957"/>
      <c r="U134" s="955"/>
      <c r="V134" s="956"/>
    </row>
    <row r="135" s="908" customFormat="1" ht="15.95" customHeight="1" spans="1:22">
      <c r="A135" s="958"/>
      <c r="B135" s="959">
        <f>E131-F131</f>
        <v>0.00326800346374512</v>
      </c>
      <c r="C135" s="960" t="s">
        <v>791</v>
      </c>
      <c r="D135" s="960"/>
      <c r="E135" s="961"/>
      <c r="F135" s="961"/>
      <c r="G135" s="962" t="s">
        <v>814</v>
      </c>
      <c r="H135" s="961"/>
      <c r="I135" s="961"/>
      <c r="J135" s="962" t="s">
        <v>814</v>
      </c>
      <c r="K135" s="963"/>
      <c r="L135" s="963"/>
      <c r="M135" s="962" t="s">
        <v>814</v>
      </c>
      <c r="N135" s="963"/>
      <c r="O135" s="963"/>
      <c r="P135" s="962" t="s">
        <v>814</v>
      </c>
      <c r="Q135" s="963"/>
      <c r="R135" s="963"/>
      <c r="S135" s="964"/>
      <c r="T135" s="965"/>
      <c r="U135" s="963"/>
      <c r="V135" s="964"/>
    </row>
    <row r="136" s="908" customFormat="1" ht="15.95" customHeight="1" spans="1:22">
      <c r="A136" s="958"/>
      <c r="B136" s="960"/>
      <c r="C136" s="960" t="s">
        <v>173</v>
      </c>
      <c r="D136" s="960"/>
      <c r="E136" s="961"/>
      <c r="F136" s="966">
        <f>I136</f>
        <v>-10903.67</v>
      </c>
      <c r="G136" s="962" t="s">
        <v>814</v>
      </c>
      <c r="H136" s="961"/>
      <c r="I136" s="967">
        <v>-10903.67</v>
      </c>
      <c r="J136" s="962" t="s">
        <v>814</v>
      </c>
      <c r="K136" s="963"/>
      <c r="L136" s="963">
        <v>-10903.67</v>
      </c>
      <c r="M136" s="962" t="s">
        <v>814</v>
      </c>
      <c r="N136" s="963"/>
      <c r="O136" s="963">
        <v>-10903.67</v>
      </c>
      <c r="P136" s="962" t="s">
        <v>814</v>
      </c>
      <c r="Q136" s="963">
        <f>K134-N134</f>
        <v>151468.28</v>
      </c>
      <c r="R136" s="963"/>
      <c r="S136" s="964"/>
      <c r="T136" s="965"/>
      <c r="U136" s="963"/>
      <c r="V136" s="964"/>
    </row>
    <row r="137" s="908" customFormat="1" ht="15.95" customHeight="1" spans="1:22">
      <c r="A137" s="958"/>
      <c r="B137" s="959"/>
      <c r="C137" s="960" t="s">
        <v>744</v>
      </c>
      <c r="D137" s="960"/>
      <c r="E137" s="961"/>
      <c r="F137" s="961"/>
      <c r="G137" s="962" t="s">
        <v>814</v>
      </c>
      <c r="H137" s="961"/>
      <c r="I137" s="961"/>
      <c r="J137" s="962" t="s">
        <v>814</v>
      </c>
      <c r="K137" s="963"/>
      <c r="L137" s="963"/>
      <c r="M137" s="962" t="s">
        <v>814</v>
      </c>
      <c r="N137" s="963"/>
      <c r="O137" s="963"/>
      <c r="P137" s="962" t="s">
        <v>814</v>
      </c>
      <c r="Q137" s="963"/>
      <c r="R137" s="963"/>
      <c r="S137" s="964"/>
      <c r="T137" s="965"/>
      <c r="U137" s="963"/>
      <c r="V137" s="964"/>
    </row>
    <row r="138" s="908" customFormat="1" ht="15.95" customHeight="1" spans="1:22">
      <c r="A138" s="968"/>
      <c r="B138" s="960"/>
      <c r="C138" s="960" t="s">
        <v>745</v>
      </c>
      <c r="D138" s="960"/>
      <c r="E138" s="961"/>
      <c r="F138" s="961"/>
      <c r="G138" s="962" t="s">
        <v>814</v>
      </c>
      <c r="H138" s="961"/>
      <c r="I138" s="961"/>
      <c r="J138" s="962" t="s">
        <v>814</v>
      </c>
      <c r="K138" s="963"/>
      <c r="L138" s="963"/>
      <c r="M138" s="962" t="s">
        <v>814</v>
      </c>
      <c r="N138" s="963"/>
      <c r="O138" s="963"/>
      <c r="P138" s="962" t="s">
        <v>814</v>
      </c>
      <c r="Q138" s="963"/>
      <c r="R138" s="963"/>
      <c r="S138" s="964"/>
      <c r="T138" s="965"/>
      <c r="U138" s="963"/>
      <c r="V138" s="964"/>
    </row>
    <row r="139" s="908" customFormat="1" spans="1:22">
      <c r="A139" s="968"/>
      <c r="B139" s="960"/>
      <c r="C139" s="960" t="s">
        <v>746</v>
      </c>
      <c r="D139" s="960"/>
      <c r="E139" s="961"/>
      <c r="F139" s="961"/>
      <c r="G139" s="962" t="s">
        <v>814</v>
      </c>
      <c r="H139" s="961"/>
      <c r="I139" s="961"/>
      <c r="J139" s="962" t="s">
        <v>814</v>
      </c>
      <c r="K139" s="963"/>
      <c r="L139" s="963"/>
      <c r="M139" s="962" t="s">
        <v>814</v>
      </c>
      <c r="N139" s="963"/>
      <c r="O139" s="963"/>
      <c r="P139" s="962" t="s">
        <v>814</v>
      </c>
      <c r="Q139" s="963"/>
      <c r="R139" s="963"/>
      <c r="S139" s="964"/>
      <c r="T139" s="965"/>
      <c r="U139" s="963"/>
      <c r="V139" s="964"/>
    </row>
    <row r="140" s="908" customFormat="1" ht="15.95" customHeight="1" spans="1:22">
      <c r="A140" s="968"/>
      <c r="B140" s="960"/>
      <c r="C140" s="969" t="s">
        <v>797</v>
      </c>
      <c r="D140" s="960"/>
      <c r="E140" s="961"/>
      <c r="F140" s="961">
        <f>长期投资!H42</f>
        <v>-10660588.42</v>
      </c>
      <c r="G140" s="962" t="s">
        <v>814</v>
      </c>
      <c r="H140" s="961"/>
      <c r="I140" s="961">
        <v>-1557982.7</v>
      </c>
      <c r="J140" s="962" t="s">
        <v>814</v>
      </c>
      <c r="K140" s="963"/>
      <c r="L140" s="963">
        <v>1920626.86</v>
      </c>
      <c r="M140" s="962" t="s">
        <v>814</v>
      </c>
      <c r="N140" s="963"/>
      <c r="O140" s="963">
        <v>1769158.58</v>
      </c>
      <c r="P140" s="962" t="s">
        <v>814</v>
      </c>
      <c r="Q140" s="963"/>
      <c r="R140" s="963"/>
      <c r="S140" s="964"/>
      <c r="T140" s="965"/>
      <c r="U140" s="963"/>
      <c r="V140" s="964"/>
    </row>
    <row r="141" s="908" customFormat="1" ht="15.95" customHeight="1" spans="1:22">
      <c r="A141" s="968"/>
      <c r="B141" s="960"/>
      <c r="C141" s="960" t="s">
        <v>148</v>
      </c>
      <c r="D141" s="960"/>
      <c r="E141" s="961"/>
      <c r="F141" s="961"/>
      <c r="G141" s="962" t="s">
        <v>814</v>
      </c>
      <c r="H141" s="961"/>
      <c r="I141" s="961"/>
      <c r="J141" s="962" t="s">
        <v>814</v>
      </c>
      <c r="K141" s="963"/>
      <c r="L141" s="963"/>
      <c r="M141" s="962" t="s">
        <v>814</v>
      </c>
      <c r="N141" s="963"/>
      <c r="O141" s="963"/>
      <c r="P141" s="962" t="s">
        <v>814</v>
      </c>
      <c r="Q141" s="963"/>
      <c r="R141" s="963"/>
      <c r="S141" s="964"/>
      <c r="T141" s="965"/>
      <c r="U141" s="963"/>
      <c r="V141" s="964"/>
    </row>
    <row r="142" s="908" customFormat="1" ht="15.95" customHeight="1" spans="1:22">
      <c r="A142" s="968"/>
      <c r="B142" s="960"/>
      <c r="C142" s="969" t="s">
        <v>797</v>
      </c>
      <c r="D142" s="960"/>
      <c r="E142" s="961"/>
      <c r="F142" s="961"/>
      <c r="G142" s="962" t="s">
        <v>814</v>
      </c>
      <c r="H142" s="961"/>
      <c r="I142" s="961"/>
      <c r="J142" s="962" t="s">
        <v>814</v>
      </c>
      <c r="K142" s="963"/>
      <c r="L142" s="963"/>
      <c r="M142" s="962" t="s">
        <v>814</v>
      </c>
      <c r="N142" s="963"/>
      <c r="O142" s="963"/>
      <c r="P142" s="962" t="s">
        <v>814</v>
      </c>
      <c r="Q142" s="963"/>
      <c r="R142" s="963"/>
      <c r="S142" s="964"/>
      <c r="T142" s="965"/>
      <c r="U142" s="963"/>
      <c r="V142" s="964"/>
    </row>
    <row r="143" s="908" customFormat="1" ht="15.95" customHeight="1" spans="1:22">
      <c r="A143" s="968"/>
      <c r="B143" s="960"/>
      <c r="C143" s="960"/>
      <c r="D143" s="960"/>
      <c r="E143" s="961"/>
      <c r="F143" s="961"/>
      <c r="G143" s="962" t="s">
        <v>814</v>
      </c>
      <c r="H143" s="961"/>
      <c r="I143" s="961"/>
      <c r="J143" s="962" t="s">
        <v>814</v>
      </c>
      <c r="K143" s="963"/>
      <c r="L143" s="963"/>
      <c r="M143" s="962" t="s">
        <v>814</v>
      </c>
      <c r="N143" s="963"/>
      <c r="O143" s="963"/>
      <c r="P143" s="962" t="s">
        <v>814</v>
      </c>
      <c r="Q143" s="963"/>
      <c r="R143" s="963"/>
      <c r="S143" s="964"/>
      <c r="T143" s="965"/>
      <c r="U143" s="963"/>
      <c r="V143" s="964"/>
    </row>
    <row r="144" s="908" customFormat="1" ht="15.95" customHeight="1" spans="1:22">
      <c r="A144" s="968">
        <v>2</v>
      </c>
      <c r="B144" s="960" t="s">
        <v>815</v>
      </c>
      <c r="C144" s="960" t="s">
        <v>154</v>
      </c>
      <c r="D144" s="960"/>
      <c r="E144" s="967">
        <f>长期投资!H46</f>
        <v>-3847293.9</v>
      </c>
      <c r="F144" s="967"/>
      <c r="G144" s="962" t="s">
        <v>814</v>
      </c>
      <c r="H144" s="967">
        <v>-8382211.28</v>
      </c>
      <c r="I144" s="967"/>
      <c r="J144" s="962" t="s">
        <v>814</v>
      </c>
      <c r="K144" s="963">
        <v>-1225750.48</v>
      </c>
      <c r="L144" s="963"/>
      <c r="M144" s="962" t="s">
        <v>814</v>
      </c>
      <c r="N144" s="963">
        <v>1626803.34</v>
      </c>
      <c r="O144" s="963"/>
      <c r="P144" s="962" t="s">
        <v>814</v>
      </c>
      <c r="Q144" s="963"/>
      <c r="R144" s="963"/>
      <c r="S144" s="964"/>
      <c r="T144" s="965"/>
      <c r="U144" s="963"/>
      <c r="V144" s="964"/>
    </row>
    <row r="145" s="908" customFormat="1" ht="15.95" customHeight="1" spans="1:24">
      <c r="A145" s="968"/>
      <c r="B145" s="960"/>
      <c r="C145" s="960" t="s">
        <v>791</v>
      </c>
      <c r="D145" s="960"/>
      <c r="E145" s="967"/>
      <c r="F145" s="967">
        <f>E144</f>
        <v>-3847293.9</v>
      </c>
      <c r="G145" s="962" t="s">
        <v>814</v>
      </c>
      <c r="H145" s="967"/>
      <c r="I145" s="967">
        <v>-8382211.28</v>
      </c>
      <c r="J145" s="962" t="s">
        <v>814</v>
      </c>
      <c r="K145" s="963"/>
      <c r="L145" s="963">
        <v>-1225750.48</v>
      </c>
      <c r="M145" s="962" t="s">
        <v>814</v>
      </c>
      <c r="N145" s="963"/>
      <c r="O145" s="963">
        <v>1626803.34</v>
      </c>
      <c r="P145" s="962" t="s">
        <v>814</v>
      </c>
      <c r="Q145" s="963"/>
      <c r="R145" s="963"/>
      <c r="S145" s="964"/>
      <c r="T145" s="965"/>
      <c r="U145" s="963"/>
      <c r="V145" s="964"/>
    </row>
    <row r="146" s="908" customFormat="1" ht="15.95" customHeight="1" spans="1:24">
      <c r="A146" s="968"/>
      <c r="B146" s="960"/>
      <c r="C146" s="960" t="s">
        <v>173</v>
      </c>
      <c r="D146" s="960"/>
      <c r="E146" s="961"/>
      <c r="F146" s="961"/>
      <c r="G146" s="962" t="s">
        <v>814</v>
      </c>
      <c r="H146" s="961"/>
      <c r="I146" s="961"/>
      <c r="J146" s="962" t="s">
        <v>814</v>
      </c>
      <c r="K146" s="963"/>
      <c r="L146" s="963"/>
      <c r="M146" s="962" t="s">
        <v>814</v>
      </c>
      <c r="N146" s="963"/>
      <c r="O146" s="963"/>
      <c r="P146" s="962" t="s">
        <v>814</v>
      </c>
      <c r="Q146" s="963"/>
      <c r="R146" s="963"/>
      <c r="S146" s="964"/>
      <c r="T146" s="965"/>
      <c r="U146" s="963"/>
      <c r="V146" s="964"/>
    </row>
    <row r="147" s="908" customFormat="1" ht="15.95" customHeight="1" spans="1:24">
      <c r="A147" s="968"/>
      <c r="B147" s="960"/>
      <c r="C147" s="960" t="s">
        <v>744</v>
      </c>
      <c r="D147" s="960"/>
      <c r="E147" s="961"/>
      <c r="F147" s="961"/>
      <c r="G147" s="962" t="s">
        <v>814</v>
      </c>
      <c r="H147" s="961"/>
      <c r="I147" s="961"/>
      <c r="J147" s="962" t="s">
        <v>814</v>
      </c>
      <c r="K147" s="963"/>
      <c r="L147" s="963"/>
      <c r="M147" s="962" t="s">
        <v>814</v>
      </c>
      <c r="N147" s="963"/>
      <c r="O147" s="963"/>
      <c r="P147" s="962" t="s">
        <v>814</v>
      </c>
      <c r="Q147" s="963"/>
      <c r="R147" s="963"/>
      <c r="S147" s="964"/>
      <c r="T147" s="965"/>
      <c r="U147" s="963"/>
      <c r="V147" s="964"/>
    </row>
    <row r="148" s="908" customFormat="1" ht="15.95" customHeight="1" spans="1:24">
      <c r="A148" s="968"/>
      <c r="B148" s="960"/>
      <c r="C148" s="960" t="s">
        <v>745</v>
      </c>
      <c r="D148" s="960"/>
      <c r="E148" s="961"/>
      <c r="F148" s="961"/>
      <c r="G148" s="962" t="s">
        <v>814</v>
      </c>
      <c r="H148" s="961"/>
      <c r="I148" s="961"/>
      <c r="J148" s="962" t="s">
        <v>814</v>
      </c>
      <c r="K148" s="963"/>
      <c r="L148" s="963"/>
      <c r="M148" s="962" t="s">
        <v>814</v>
      </c>
      <c r="N148" s="963"/>
      <c r="O148" s="963"/>
      <c r="P148" s="962" t="s">
        <v>814</v>
      </c>
      <c r="Q148" s="963"/>
      <c r="R148" s="963"/>
      <c r="S148" s="964"/>
      <c r="T148" s="965"/>
      <c r="U148" s="963"/>
      <c r="V148" s="964"/>
    </row>
    <row r="149" s="908" customFormat="1" ht="15.95" customHeight="1" spans="1:24">
      <c r="A149" s="968"/>
      <c r="B149" s="960"/>
      <c r="C149" s="960" t="s">
        <v>746</v>
      </c>
      <c r="D149" s="960"/>
      <c r="E149" s="961"/>
      <c r="F149" s="961"/>
      <c r="G149" s="962" t="s">
        <v>814</v>
      </c>
      <c r="H149" s="961"/>
      <c r="I149" s="961"/>
      <c r="J149" s="962" t="s">
        <v>814</v>
      </c>
      <c r="K149" s="963"/>
      <c r="L149" s="963"/>
      <c r="M149" s="962" t="s">
        <v>814</v>
      </c>
      <c r="N149" s="963"/>
      <c r="O149" s="963"/>
      <c r="P149" s="962" t="s">
        <v>814</v>
      </c>
      <c r="Q149" s="963"/>
      <c r="R149" s="963"/>
      <c r="S149" s="964"/>
      <c r="T149" s="965"/>
      <c r="U149" s="963"/>
      <c r="V149" s="964"/>
    </row>
    <row r="150" s="908" customFormat="1" ht="15.95" customHeight="1" spans="1:24">
      <c r="A150" s="968"/>
      <c r="B150" s="960"/>
      <c r="C150" s="960"/>
      <c r="D150" s="960"/>
      <c r="E150" s="961"/>
      <c r="F150" s="961"/>
      <c r="G150" s="962" t="s">
        <v>814</v>
      </c>
      <c r="H150" s="961"/>
      <c r="I150" s="961"/>
      <c r="J150" s="962" t="s">
        <v>814</v>
      </c>
      <c r="K150" s="963"/>
      <c r="L150" s="963"/>
      <c r="M150" s="962" t="s">
        <v>814</v>
      </c>
      <c r="N150" s="963"/>
      <c r="O150" s="963"/>
      <c r="P150" s="962" t="s">
        <v>814</v>
      </c>
      <c r="Q150" s="963"/>
      <c r="R150" s="963"/>
      <c r="S150" s="964"/>
      <c r="T150" s="965"/>
      <c r="U150" s="963"/>
      <c r="V150" s="964"/>
    </row>
    <row r="151" s="908" customFormat="1" ht="15.95" customHeight="1" spans="1:24">
      <c r="A151" s="968">
        <v>3</v>
      </c>
      <c r="B151" s="960" t="s">
        <v>816</v>
      </c>
      <c r="C151" s="960" t="s">
        <v>171</v>
      </c>
      <c r="D151" s="960"/>
      <c r="E151" s="961">
        <f>合并试算平衡表!C104+合并试算平衡表!D104+合并试算平衡表!E104</f>
        <v>261428991.81</v>
      </c>
      <c r="F151" s="961"/>
      <c r="G151" s="962" t="s">
        <v>814</v>
      </c>
      <c r="H151" s="961">
        <v>261428991.81</v>
      </c>
      <c r="I151" s="961"/>
      <c r="J151" s="962" t="s">
        <v>814</v>
      </c>
      <c r="K151" s="963">
        <v>33000000</v>
      </c>
      <c r="L151" s="963"/>
      <c r="M151" s="962" t="s">
        <v>814</v>
      </c>
      <c r="N151" s="963">
        <v>33000000</v>
      </c>
      <c r="O151" s="963"/>
      <c r="P151" s="962" t="s">
        <v>814</v>
      </c>
      <c r="Q151" s="963"/>
      <c r="R151" s="963"/>
      <c r="S151" s="964"/>
      <c r="T151" s="965"/>
      <c r="U151" s="963"/>
      <c r="V151" s="964"/>
    </row>
    <row r="152" s="908" customFormat="1" ht="15.95" customHeight="1" spans="1:24">
      <c r="A152" s="968"/>
      <c r="B152" s="960"/>
      <c r="C152" s="960" t="s">
        <v>742</v>
      </c>
      <c r="D152" s="960"/>
      <c r="E152" s="961"/>
      <c r="F152" s="961"/>
      <c r="G152" s="962" t="s">
        <v>814</v>
      </c>
      <c r="H152" s="961"/>
      <c r="I152" s="961"/>
      <c r="J152" s="962" t="s">
        <v>814</v>
      </c>
      <c r="K152" s="963"/>
      <c r="L152" s="963"/>
      <c r="M152" s="962" t="s">
        <v>814</v>
      </c>
      <c r="N152" s="963">
        <v>0</v>
      </c>
      <c r="O152" s="963"/>
      <c r="P152" s="962" t="s">
        <v>814</v>
      </c>
      <c r="Q152" s="963"/>
      <c r="R152" s="963"/>
      <c r="S152" s="964"/>
      <c r="T152" s="965"/>
      <c r="U152" s="963"/>
      <c r="V152" s="964"/>
      <c r="X152" s="970">
        <f>H131-I131</f>
        <v>0.00219601392745972</v>
      </c>
    </row>
    <row r="153" s="908" customFormat="1" ht="15.95" customHeight="1" spans="1:24">
      <c r="A153" s="968"/>
      <c r="B153" s="971"/>
      <c r="C153" s="960"/>
      <c r="D153" s="960"/>
      <c r="E153" s="961"/>
      <c r="F153" s="961"/>
      <c r="G153" s="962" t="s">
        <v>814</v>
      </c>
      <c r="H153" s="961"/>
      <c r="I153" s="961"/>
      <c r="J153" s="962" t="s">
        <v>814</v>
      </c>
      <c r="K153" s="963"/>
      <c r="L153" s="963"/>
      <c r="M153" s="962" t="s">
        <v>814</v>
      </c>
      <c r="N153" s="963">
        <v>0</v>
      </c>
      <c r="O153" s="963"/>
      <c r="P153" s="962" t="s">
        <v>814</v>
      </c>
      <c r="Q153" s="963"/>
      <c r="R153" s="963"/>
      <c r="S153" s="964"/>
      <c r="T153" s="965"/>
      <c r="U153" s="963"/>
      <c r="V153" s="964"/>
    </row>
    <row r="154" s="908" customFormat="1" ht="15.95" customHeight="1" spans="1:24">
      <c r="A154" s="968"/>
      <c r="B154" s="971">
        <v>247699805.49</v>
      </c>
      <c r="C154" s="960"/>
      <c r="D154" s="960"/>
      <c r="E154" s="961"/>
      <c r="F154" s="961"/>
      <c r="G154" s="962" t="s">
        <v>814</v>
      </c>
      <c r="H154" s="961"/>
      <c r="I154" s="961"/>
      <c r="J154" s="962" t="s">
        <v>814</v>
      </c>
      <c r="K154" s="963"/>
      <c r="L154" s="963"/>
      <c r="M154" s="962" t="s">
        <v>814</v>
      </c>
      <c r="N154" s="963">
        <v>0</v>
      </c>
      <c r="O154" s="963"/>
      <c r="P154" s="962" t="s">
        <v>814</v>
      </c>
      <c r="Q154" s="963"/>
      <c r="R154" s="963"/>
      <c r="S154" s="964"/>
      <c r="T154" s="965"/>
      <c r="U154" s="963"/>
      <c r="V154" s="964"/>
    </row>
    <row r="155" s="908" customFormat="1" ht="15.95" customHeight="1" spans="1:24">
      <c r="A155" s="968"/>
      <c r="B155" s="971">
        <v>247699794.34</v>
      </c>
      <c r="C155" s="960" t="s">
        <v>173</v>
      </c>
      <c r="D155" s="960"/>
      <c r="E155" s="961"/>
      <c r="F155" s="961"/>
      <c r="G155" s="962" t="s">
        <v>814</v>
      </c>
      <c r="H155" s="961"/>
      <c r="I155" s="961"/>
      <c r="J155" s="962" t="s">
        <v>814</v>
      </c>
      <c r="K155" s="963"/>
      <c r="L155" s="963"/>
      <c r="M155" s="962" t="s">
        <v>814</v>
      </c>
      <c r="N155" s="963">
        <v>0</v>
      </c>
      <c r="O155" s="963"/>
      <c r="P155" s="962" t="s">
        <v>814</v>
      </c>
      <c r="Q155" s="963"/>
      <c r="R155" s="963"/>
      <c r="S155" s="964"/>
      <c r="T155" s="965"/>
      <c r="U155" s="963"/>
      <c r="V155" s="964"/>
    </row>
    <row r="156" s="908" customFormat="1" ht="15.95" customHeight="1" spans="1:24">
      <c r="A156" s="968"/>
      <c r="B156" s="960"/>
      <c r="C156" s="960" t="s">
        <v>817</v>
      </c>
      <c r="D156" s="960"/>
      <c r="E156" s="961"/>
      <c r="F156" s="961"/>
      <c r="G156" s="962" t="s">
        <v>814</v>
      </c>
      <c r="H156" s="961"/>
      <c r="I156" s="961"/>
      <c r="J156" s="962" t="s">
        <v>814</v>
      </c>
      <c r="K156" s="963"/>
      <c r="L156" s="963"/>
      <c r="M156" s="962" t="s">
        <v>814</v>
      </c>
      <c r="N156" s="963">
        <v>0</v>
      </c>
      <c r="O156" s="963"/>
      <c r="P156" s="962" t="s">
        <v>814</v>
      </c>
      <c r="Q156" s="963"/>
      <c r="R156" s="963"/>
      <c r="S156" s="964"/>
      <c r="T156" s="965"/>
      <c r="U156" s="963"/>
      <c r="V156" s="964"/>
    </row>
    <row r="157" s="908" customFormat="1" ht="15.95" customHeight="1" spans="1:24">
      <c r="A157" s="968"/>
      <c r="B157" s="960"/>
      <c r="C157" s="960" t="s">
        <v>744</v>
      </c>
      <c r="D157" s="960"/>
      <c r="E157" s="961"/>
      <c r="F157" s="961"/>
      <c r="G157" s="962" t="s">
        <v>814</v>
      </c>
      <c r="H157" s="961"/>
      <c r="I157" s="961"/>
      <c r="J157" s="962" t="s">
        <v>814</v>
      </c>
      <c r="K157" s="963"/>
      <c r="L157" s="963"/>
      <c r="M157" s="962" t="s">
        <v>814</v>
      </c>
      <c r="N157" s="963">
        <v>0</v>
      </c>
      <c r="O157" s="963"/>
      <c r="P157" s="962" t="s">
        <v>814</v>
      </c>
      <c r="Q157" s="963"/>
      <c r="R157" s="963"/>
      <c r="S157" s="964"/>
      <c r="T157" s="965"/>
      <c r="U157" s="963"/>
      <c r="V157" s="964"/>
    </row>
    <row r="158" s="908" customFormat="1" ht="15.95" customHeight="1" spans="1:24">
      <c r="A158" s="968"/>
      <c r="B158" s="960"/>
      <c r="C158" s="960" t="s">
        <v>745</v>
      </c>
      <c r="D158" s="960"/>
      <c r="E158" s="961"/>
      <c r="F158" s="961"/>
      <c r="G158" s="962" t="s">
        <v>814</v>
      </c>
      <c r="H158" s="961"/>
      <c r="I158" s="961"/>
      <c r="J158" s="962" t="s">
        <v>814</v>
      </c>
      <c r="K158" s="963"/>
      <c r="L158" s="963"/>
      <c r="M158" s="962" t="s">
        <v>814</v>
      </c>
      <c r="N158" s="963">
        <v>0</v>
      </c>
      <c r="O158" s="963"/>
      <c r="P158" s="962" t="s">
        <v>814</v>
      </c>
      <c r="Q158" s="963"/>
      <c r="R158" s="963"/>
      <c r="S158" s="964"/>
      <c r="T158" s="965"/>
      <c r="U158" s="963"/>
      <c r="V158" s="964"/>
    </row>
    <row r="159" s="908" customFormat="1" ht="15.95" customHeight="1" spans="1:24">
      <c r="A159" s="968"/>
      <c r="B159" s="960"/>
      <c r="C159" s="960" t="s">
        <v>177</v>
      </c>
      <c r="D159" s="960"/>
      <c r="E159" s="961">
        <v>105776.41</v>
      </c>
      <c r="F159" s="961"/>
      <c r="G159" s="962" t="s">
        <v>814</v>
      </c>
      <c r="H159" s="961"/>
      <c r="I159" s="961"/>
      <c r="J159" s="962" t="s">
        <v>814</v>
      </c>
      <c r="K159" s="963"/>
      <c r="L159" s="963"/>
      <c r="M159" s="962" t="s">
        <v>814</v>
      </c>
      <c r="N159" s="963">
        <v>0</v>
      </c>
      <c r="O159" s="963"/>
      <c r="P159" s="962" t="s">
        <v>814</v>
      </c>
      <c r="Q159" s="963"/>
      <c r="R159" s="963"/>
      <c r="S159" s="964"/>
      <c r="T159" s="965"/>
      <c r="U159" s="963"/>
      <c r="V159" s="964"/>
    </row>
    <row r="160" s="908" customFormat="1" ht="15.95" customHeight="1" spans="1:24">
      <c r="A160" s="968"/>
      <c r="B160" s="960"/>
      <c r="C160" s="960" t="s">
        <v>746</v>
      </c>
      <c r="D160" s="960"/>
      <c r="E160" s="961"/>
      <c r="F160" s="961"/>
      <c r="G160" s="962" t="s">
        <v>814</v>
      </c>
      <c r="H160" s="961"/>
      <c r="I160" s="961"/>
      <c r="J160" s="962" t="s">
        <v>814</v>
      </c>
      <c r="K160" s="963"/>
      <c r="L160" s="963"/>
      <c r="M160" s="962" t="s">
        <v>814</v>
      </c>
      <c r="N160" s="963">
        <v>0</v>
      </c>
      <c r="O160" s="963"/>
      <c r="P160" s="962" t="s">
        <v>814</v>
      </c>
      <c r="Q160" s="963"/>
      <c r="R160" s="963"/>
      <c r="S160" s="964"/>
      <c r="T160" s="965"/>
      <c r="U160" s="963"/>
      <c r="V160" s="964"/>
    </row>
    <row r="161" s="908" customFormat="1" ht="15.95" customHeight="1" spans="1:22">
      <c r="A161" s="968"/>
      <c r="B161" s="960"/>
      <c r="C161" s="960" t="s">
        <v>179</v>
      </c>
      <c r="D161" s="960"/>
      <c r="E161" s="972">
        <f>合并试算平衡表!C114+合并试算平衡表!D114+合并试算平衡表!E114</f>
        <v>-22905740.49</v>
      </c>
      <c r="F161" s="961"/>
      <c r="G161" s="962" t="s">
        <v>814</v>
      </c>
      <c r="H161" s="961">
        <v>-18162426.75</v>
      </c>
      <c r="I161" s="961"/>
      <c r="J161" s="962" t="s">
        <v>814</v>
      </c>
      <c r="K161" s="963">
        <v>-7326163.91</v>
      </c>
      <c r="L161" s="963"/>
      <c r="M161" s="962" t="s">
        <v>814</v>
      </c>
      <c r="N161" s="963">
        <v>-3678835.35</v>
      </c>
      <c r="O161" s="963"/>
      <c r="P161" s="962" t="s">
        <v>814</v>
      </c>
      <c r="Q161" s="963"/>
      <c r="R161" s="963"/>
      <c r="S161" s="964"/>
      <c r="T161" s="965"/>
      <c r="U161" s="963"/>
      <c r="V161" s="964"/>
    </row>
    <row r="162" s="908" customFormat="1" ht="15.95" customHeight="1" spans="1:22">
      <c r="A162" s="968"/>
      <c r="B162" s="960"/>
      <c r="C162" s="960" t="s">
        <v>180</v>
      </c>
      <c r="D162" s="960"/>
      <c r="E162" s="961">
        <v>6070777.76</v>
      </c>
      <c r="F162" s="961"/>
      <c r="G162" s="962" t="s">
        <v>814</v>
      </c>
      <c r="H162" s="961">
        <v>6070777.76</v>
      </c>
      <c r="I162" s="961"/>
      <c r="J162" s="962" t="s">
        <v>814</v>
      </c>
      <c r="K162" s="963">
        <v>6070777.76</v>
      </c>
      <c r="L162" s="963"/>
      <c r="M162" s="962" t="s">
        <v>814</v>
      </c>
      <c r="N162" s="963">
        <v>6070777.76</v>
      </c>
      <c r="O162" s="963"/>
      <c r="P162" s="962" t="s">
        <v>814</v>
      </c>
      <c r="Q162" s="963"/>
      <c r="R162" s="963"/>
      <c r="S162" s="964"/>
      <c r="T162" s="965"/>
      <c r="U162" s="963"/>
      <c r="V162" s="964"/>
    </row>
    <row r="163" s="908" customFormat="1" ht="15.95" customHeight="1" spans="1:22">
      <c r="A163" s="968"/>
      <c r="B163" s="960"/>
      <c r="C163" s="960" t="s">
        <v>173</v>
      </c>
      <c r="D163" s="960"/>
      <c r="E163" s="961">
        <v>3000000</v>
      </c>
      <c r="F163" s="961"/>
      <c r="G163" s="962" t="s">
        <v>814</v>
      </c>
      <c r="H163" s="961">
        <v>3000000</v>
      </c>
      <c r="I163" s="961"/>
      <c r="J163" s="962" t="s">
        <v>814</v>
      </c>
      <c r="K163" s="963">
        <v>3000000</v>
      </c>
      <c r="L163" s="963"/>
      <c r="M163" s="962" t="s">
        <v>814</v>
      </c>
      <c r="N163" s="963">
        <v>3000000</v>
      </c>
      <c r="O163" s="963"/>
      <c r="P163" s="962" t="s">
        <v>814</v>
      </c>
      <c r="Q163" s="963"/>
      <c r="R163" s="963"/>
      <c r="S163" s="964"/>
      <c r="T163" s="965"/>
      <c r="U163" s="963"/>
      <c r="V163" s="964"/>
    </row>
    <row r="164" s="908" customFormat="1" ht="15.95" customHeight="1" spans="1:22">
      <c r="A164" s="968"/>
      <c r="B164" s="960"/>
      <c r="C164" s="960" t="s">
        <v>154</v>
      </c>
      <c r="D164" s="960"/>
      <c r="E164" s="961"/>
      <c r="F164" s="961">
        <f>长期投资!H52</f>
        <v>245910205.82</v>
      </c>
      <c r="G164" s="962" t="s">
        <v>814</v>
      </c>
      <c r="H164" s="961"/>
      <c r="I164" s="961">
        <v>250477894.16</v>
      </c>
      <c r="J164" s="962" t="s">
        <v>814</v>
      </c>
      <c r="K164" s="963"/>
      <c r="L164" s="963">
        <v>32683972.71</v>
      </c>
      <c r="M164" s="962" t="s">
        <v>814</v>
      </c>
      <c r="N164" s="963"/>
      <c r="O164" s="963">
        <v>35385058.25</v>
      </c>
      <c r="P164" s="962" t="s">
        <v>814</v>
      </c>
      <c r="Q164" s="963"/>
      <c r="R164" s="963"/>
      <c r="S164" s="964"/>
      <c r="T164" s="965"/>
      <c r="U164" s="963"/>
      <c r="V164" s="964"/>
    </row>
    <row r="165" s="908" customFormat="1" ht="15.95" customHeight="1" spans="1:22">
      <c r="A165" s="968"/>
      <c r="B165" s="960"/>
      <c r="C165" s="960" t="s">
        <v>183</v>
      </c>
      <c r="D165" s="960"/>
      <c r="E165" s="961"/>
      <c r="F165" s="961">
        <f>长期投资!H33</f>
        <v>1789588.52</v>
      </c>
      <c r="G165" s="962" t="s">
        <v>814</v>
      </c>
      <c r="H165" s="961"/>
      <c r="I165" s="961">
        <v>1859448.65</v>
      </c>
      <c r="J165" s="962" t="s">
        <v>814</v>
      </c>
      <c r="K165" s="963"/>
      <c r="L165" s="963">
        <v>2060641.14</v>
      </c>
      <c r="M165" s="962" t="s">
        <v>814</v>
      </c>
      <c r="N165" s="963"/>
      <c r="O165" s="963">
        <v>3006884.16</v>
      </c>
      <c r="P165" s="962" t="s">
        <v>814</v>
      </c>
      <c r="Q165" s="963"/>
      <c r="R165" s="963"/>
      <c r="S165" s="964"/>
      <c r="T165" s="965"/>
      <c r="U165" s="963"/>
      <c r="V165" s="964"/>
    </row>
    <row r="166" s="908" customFormat="1" ht="15.95" customHeight="1" spans="1:22">
      <c r="A166" s="968"/>
      <c r="B166" s="960"/>
      <c r="C166" s="960"/>
      <c r="D166" s="960"/>
      <c r="E166" s="961"/>
      <c r="F166" s="961"/>
      <c r="G166" s="962" t="s">
        <v>814</v>
      </c>
      <c r="H166" s="961"/>
      <c r="I166" s="961"/>
      <c r="J166" s="962" t="s">
        <v>814</v>
      </c>
      <c r="K166" s="963"/>
      <c r="L166" s="963"/>
      <c r="M166" s="962" t="s">
        <v>814</v>
      </c>
      <c r="N166" s="963"/>
      <c r="O166" s="963"/>
      <c r="P166" s="962" t="s">
        <v>814</v>
      </c>
      <c r="Q166" s="963"/>
      <c r="R166" s="963"/>
      <c r="S166" s="964"/>
      <c r="T166" s="965"/>
      <c r="U166" s="963"/>
      <c r="V166" s="964"/>
    </row>
    <row r="167" s="908" customFormat="1" ht="15.95" customHeight="1" spans="1:22">
      <c r="A167" s="968">
        <v>4</v>
      </c>
      <c r="B167" s="960" t="s">
        <v>818</v>
      </c>
      <c r="C167" s="960" t="s">
        <v>113</v>
      </c>
      <c r="D167" s="960"/>
      <c r="E167" s="961">
        <f>内部交易和往来!D108</f>
        <v>84166416.88</v>
      </c>
      <c r="F167" s="961"/>
      <c r="G167" s="962" t="s">
        <v>814</v>
      </c>
      <c r="H167" s="961">
        <v>63078608.77</v>
      </c>
      <c r="I167" s="961"/>
      <c r="J167" s="962" t="s">
        <v>814</v>
      </c>
      <c r="K167" s="963">
        <v>21170257.07</v>
      </c>
      <c r="L167" s="963"/>
      <c r="M167" s="962" t="s">
        <v>814</v>
      </c>
      <c r="N167" s="963">
        <v>5028788.13</v>
      </c>
      <c r="O167" s="963"/>
      <c r="P167" s="962" t="s">
        <v>814</v>
      </c>
      <c r="Q167" s="963"/>
      <c r="R167" s="963"/>
      <c r="S167" s="964"/>
      <c r="T167" s="965"/>
      <c r="U167" s="963"/>
      <c r="V167" s="964"/>
    </row>
    <row r="168" s="908" customFormat="1" ht="15.95" customHeight="1" spans="1:22">
      <c r="A168" s="968"/>
      <c r="B168" s="960"/>
      <c r="C168" s="960" t="s">
        <v>88</v>
      </c>
      <c r="D168" s="960"/>
      <c r="E168" s="961"/>
      <c r="F168" s="961">
        <f>内部交易和往来!D112</f>
        <v>443894.34</v>
      </c>
      <c r="G168" s="962" t="s">
        <v>814</v>
      </c>
      <c r="H168" s="961"/>
      <c r="I168" s="961">
        <v>0</v>
      </c>
      <c r="J168" s="962" t="s">
        <v>814</v>
      </c>
      <c r="K168" s="963"/>
      <c r="L168" s="963"/>
      <c r="M168" s="962" t="s">
        <v>814</v>
      </c>
      <c r="N168" s="963">
        <v>1408058.12</v>
      </c>
      <c r="O168" s="963"/>
      <c r="P168" s="962" t="s">
        <v>814</v>
      </c>
      <c r="Q168" s="963"/>
      <c r="R168" s="963"/>
      <c r="S168" s="964"/>
      <c r="T168" s="965"/>
      <c r="U168" s="963"/>
      <c r="V168" s="964"/>
    </row>
    <row r="169" s="908" customFormat="1" ht="15.95" customHeight="1" spans="1:22">
      <c r="A169" s="968"/>
      <c r="B169" s="960"/>
      <c r="C169" s="960" t="s">
        <v>124</v>
      </c>
      <c r="D169" s="960"/>
      <c r="E169" s="961"/>
      <c r="F169" s="961"/>
      <c r="G169" s="962" t="s">
        <v>814</v>
      </c>
      <c r="H169" s="961"/>
      <c r="I169" s="961"/>
      <c r="J169" s="962" t="s">
        <v>814</v>
      </c>
      <c r="K169" s="963"/>
      <c r="L169" s="963"/>
      <c r="M169" s="962" t="s">
        <v>814</v>
      </c>
      <c r="N169" s="963"/>
      <c r="O169" s="963"/>
      <c r="P169" s="962" t="s">
        <v>814</v>
      </c>
      <c r="Q169" s="963"/>
      <c r="R169" s="963"/>
      <c r="S169" s="964"/>
      <c r="T169" s="965"/>
      <c r="U169" s="963"/>
      <c r="V169" s="964"/>
    </row>
    <row r="170" s="908" customFormat="1" ht="15.95" customHeight="1" spans="1:22">
      <c r="A170" s="968"/>
      <c r="B170" s="960"/>
      <c r="C170" s="960" t="s">
        <v>126</v>
      </c>
      <c r="D170" s="960"/>
      <c r="E170" s="961">
        <f>内部交易和往来!D109</f>
        <v>0</v>
      </c>
      <c r="F170" s="961"/>
      <c r="G170" s="962" t="s">
        <v>814</v>
      </c>
      <c r="H170" s="961">
        <v>336853</v>
      </c>
      <c r="I170" s="961"/>
      <c r="J170" s="962" t="s">
        <v>814</v>
      </c>
      <c r="K170" s="963">
        <v>1668414.24</v>
      </c>
      <c r="L170" s="963"/>
      <c r="M170" s="962" t="s">
        <v>814</v>
      </c>
      <c r="N170" s="963"/>
      <c r="O170" s="963"/>
      <c r="P170" s="962" t="s">
        <v>814</v>
      </c>
      <c r="Q170" s="963"/>
      <c r="R170" s="963"/>
      <c r="S170" s="964"/>
      <c r="T170" s="965"/>
      <c r="U170" s="963"/>
      <c r="V170" s="964"/>
    </row>
    <row r="171" s="908" customFormat="1" ht="15.95" customHeight="1" spans="1:22">
      <c r="A171" s="968"/>
      <c r="B171" s="960"/>
      <c r="C171" s="960" t="s">
        <v>116</v>
      </c>
      <c r="D171" s="960"/>
      <c r="E171" s="961"/>
      <c r="F171" s="961">
        <f>内部交易和往来!D110</f>
        <v>83722522.54</v>
      </c>
      <c r="G171" s="962" t="s">
        <v>814</v>
      </c>
      <c r="H171" s="961"/>
      <c r="I171" s="961">
        <v>63078608.77</v>
      </c>
      <c r="J171" s="962" t="s">
        <v>814</v>
      </c>
      <c r="K171" s="963"/>
      <c r="L171" s="963">
        <v>21170257.07</v>
      </c>
      <c r="M171" s="962" t="s">
        <v>814</v>
      </c>
      <c r="N171" s="963"/>
      <c r="O171" s="963">
        <v>4469405.81</v>
      </c>
      <c r="P171" s="962" t="s">
        <v>814</v>
      </c>
      <c r="Q171" s="963"/>
      <c r="R171" s="963">
        <f>L164-O164</f>
        <v>-2701085.54</v>
      </c>
      <c r="S171" s="964"/>
      <c r="T171" s="965"/>
      <c r="U171" s="963"/>
      <c r="V171" s="964"/>
    </row>
    <row r="172" s="908" customFormat="1" ht="15.95" customHeight="1" spans="1:22">
      <c r="A172" s="968"/>
      <c r="B172" s="960"/>
      <c r="C172" s="960" t="s">
        <v>117</v>
      </c>
      <c r="D172" s="960"/>
      <c r="E172" s="961"/>
      <c r="F172" s="961"/>
      <c r="G172" s="962" t="s">
        <v>814</v>
      </c>
      <c r="H172" s="961"/>
      <c r="I172" s="961"/>
      <c r="J172" s="962" t="s">
        <v>814</v>
      </c>
      <c r="K172" s="963"/>
      <c r="L172" s="963"/>
      <c r="M172" s="962" t="s">
        <v>814</v>
      </c>
      <c r="N172" s="963"/>
      <c r="O172" s="963">
        <v>1408058.12</v>
      </c>
      <c r="P172" s="962" t="s">
        <v>814</v>
      </c>
      <c r="Q172" s="963"/>
      <c r="R172" s="963">
        <f>I164-L164</f>
        <v>217793921.45</v>
      </c>
      <c r="S172" s="964"/>
      <c r="T172" s="965"/>
      <c r="U172" s="963"/>
      <c r="V172" s="964"/>
    </row>
    <row r="173" s="908" customFormat="1" ht="15.95" customHeight="1" spans="1:22">
      <c r="A173" s="968"/>
      <c r="B173" s="960"/>
      <c r="C173" s="960" t="s">
        <v>121</v>
      </c>
      <c r="D173" s="960"/>
      <c r="E173" s="961"/>
      <c r="F173" s="961"/>
      <c r="G173" s="962" t="s">
        <v>814</v>
      </c>
      <c r="H173" s="961"/>
      <c r="I173" s="961"/>
      <c r="J173" s="962" t="s">
        <v>814</v>
      </c>
      <c r="K173" s="963"/>
      <c r="L173" s="963"/>
      <c r="M173" s="962" t="s">
        <v>814</v>
      </c>
      <c r="N173" s="963"/>
      <c r="O173" s="963"/>
      <c r="P173" s="962" t="s">
        <v>814</v>
      </c>
      <c r="Q173" s="963"/>
      <c r="R173" s="963"/>
      <c r="S173" s="964"/>
      <c r="T173" s="965"/>
      <c r="U173" s="963"/>
      <c r="V173" s="964"/>
    </row>
    <row r="174" s="908" customFormat="1" ht="15.95" customHeight="1" spans="1:22">
      <c r="A174" s="968"/>
      <c r="B174" s="960"/>
      <c r="C174" s="960" t="s">
        <v>123</v>
      </c>
      <c r="D174" s="960"/>
      <c r="E174" s="961"/>
      <c r="F174" s="961">
        <f>内部交易和往来!D111</f>
        <v>0</v>
      </c>
      <c r="G174" s="962" t="s">
        <v>814</v>
      </c>
      <c r="H174" s="961"/>
      <c r="I174" s="961">
        <v>336853</v>
      </c>
      <c r="J174" s="962" t="s">
        <v>814</v>
      </c>
      <c r="K174" s="963"/>
      <c r="L174" s="963">
        <v>1668414.24</v>
      </c>
      <c r="M174" s="962" t="s">
        <v>814</v>
      </c>
      <c r="N174" s="963"/>
      <c r="O174" s="963">
        <v>559382.32</v>
      </c>
      <c r="P174" s="962" t="s">
        <v>814</v>
      </c>
      <c r="Q174" s="963"/>
      <c r="R174" s="963"/>
      <c r="S174" s="964"/>
      <c r="T174" s="965"/>
      <c r="U174" s="963"/>
      <c r="V174" s="964"/>
    </row>
    <row r="175" s="908" customFormat="1" ht="15.95" customHeight="1" spans="1:22">
      <c r="A175" s="968"/>
      <c r="B175" s="960"/>
      <c r="C175" s="960"/>
      <c r="D175" s="960"/>
      <c r="E175" s="961"/>
      <c r="F175" s="961"/>
      <c r="G175" s="962" t="s">
        <v>814</v>
      </c>
      <c r="H175" s="961"/>
      <c r="I175" s="961"/>
      <c r="J175" s="962" t="s">
        <v>814</v>
      </c>
      <c r="K175" s="963"/>
      <c r="L175" s="963"/>
      <c r="M175" s="962" t="s">
        <v>814</v>
      </c>
      <c r="N175" s="963"/>
      <c r="O175" s="963"/>
      <c r="P175" s="962" t="s">
        <v>814</v>
      </c>
      <c r="Q175" s="963"/>
      <c r="R175" s="963"/>
      <c r="S175" s="964"/>
      <c r="T175" s="965"/>
      <c r="U175" s="963"/>
      <c r="V175" s="964"/>
    </row>
    <row r="176" s="908" customFormat="1" ht="15.95" customHeight="1" spans="1:22">
      <c r="A176" s="968">
        <v>5</v>
      </c>
      <c r="B176" s="960" t="s">
        <v>819</v>
      </c>
      <c r="C176" s="969" t="s">
        <v>797</v>
      </c>
      <c r="D176" s="960"/>
      <c r="E176" s="961"/>
      <c r="F176" s="961"/>
      <c r="G176" s="962" t="s">
        <v>814</v>
      </c>
      <c r="H176" s="961"/>
      <c r="I176" s="961"/>
      <c r="J176" s="962" t="s">
        <v>814</v>
      </c>
      <c r="K176" s="963"/>
      <c r="L176" s="963"/>
      <c r="M176" s="962" t="s">
        <v>814</v>
      </c>
      <c r="N176" s="963"/>
      <c r="O176" s="963"/>
      <c r="P176" s="962" t="s">
        <v>814</v>
      </c>
      <c r="Q176" s="963"/>
      <c r="R176" s="963"/>
      <c r="S176" s="964"/>
      <c r="T176" s="965"/>
      <c r="U176" s="963"/>
      <c r="V176" s="964"/>
    </row>
    <row r="177" s="908" customFormat="1" ht="15.95" customHeight="1" spans="1:22">
      <c r="A177" s="968"/>
      <c r="B177" s="960"/>
      <c r="C177" s="960" t="s">
        <v>125</v>
      </c>
      <c r="D177" s="960"/>
      <c r="E177" s="961"/>
      <c r="F177" s="961"/>
      <c r="G177" s="962" t="s">
        <v>814</v>
      </c>
      <c r="H177" s="961"/>
      <c r="I177" s="961">
        <v>44089.49</v>
      </c>
      <c r="J177" s="962" t="s">
        <v>814</v>
      </c>
      <c r="K177" s="963"/>
      <c r="L177" s="963"/>
      <c r="M177" s="962" t="s">
        <v>814</v>
      </c>
      <c r="N177" s="963"/>
      <c r="O177" s="963"/>
      <c r="P177" s="962" t="s">
        <v>814</v>
      </c>
      <c r="Q177" s="963"/>
      <c r="R177" s="963"/>
      <c r="S177" s="964"/>
      <c r="T177" s="965"/>
      <c r="U177" s="963"/>
      <c r="V177" s="964"/>
    </row>
    <row r="178" s="908" customFormat="1" ht="15.95" customHeight="1" spans="1:22">
      <c r="A178" s="968"/>
      <c r="B178" s="960"/>
      <c r="C178" s="960" t="s">
        <v>796</v>
      </c>
      <c r="D178" s="960"/>
      <c r="E178" s="961"/>
      <c r="F178" s="961"/>
      <c r="G178" s="962" t="s">
        <v>814</v>
      </c>
      <c r="H178" s="961"/>
      <c r="I178" s="961"/>
      <c r="J178" s="962" t="s">
        <v>814</v>
      </c>
      <c r="K178" s="963"/>
      <c r="L178" s="963"/>
      <c r="M178" s="962" t="s">
        <v>814</v>
      </c>
      <c r="N178" s="963"/>
      <c r="O178" s="963"/>
      <c r="P178" s="962" t="s">
        <v>814</v>
      </c>
      <c r="Q178" s="963"/>
      <c r="R178" s="963"/>
      <c r="S178" s="964"/>
      <c r="T178" s="965"/>
      <c r="U178" s="963"/>
      <c r="V178" s="964"/>
    </row>
    <row r="179" s="908" customFormat="1" ht="15.95" customHeight="1" spans="1:22">
      <c r="A179" s="968"/>
      <c r="B179" s="960"/>
      <c r="C179" s="969" t="s">
        <v>797</v>
      </c>
      <c r="D179" s="960"/>
      <c r="E179" s="961"/>
      <c r="F179" s="961"/>
      <c r="G179" s="962" t="s">
        <v>814</v>
      </c>
      <c r="H179" s="961">
        <v>44089.49</v>
      </c>
      <c r="I179" s="961"/>
      <c r="J179" s="962" t="s">
        <v>814</v>
      </c>
      <c r="K179" s="963"/>
      <c r="L179" s="963"/>
      <c r="M179" s="962" t="s">
        <v>814</v>
      </c>
      <c r="N179" s="963"/>
      <c r="O179" s="963"/>
      <c r="P179" s="962" t="s">
        <v>814</v>
      </c>
      <c r="Q179" s="963"/>
      <c r="R179" s="963"/>
      <c r="S179" s="964"/>
      <c r="T179" s="965"/>
      <c r="U179" s="963"/>
      <c r="V179" s="964"/>
    </row>
    <row r="180" s="908" customFormat="1" ht="15.95" customHeight="1" spans="1:22">
      <c r="A180" s="968"/>
      <c r="B180" s="960"/>
      <c r="C180" s="960"/>
      <c r="D180" s="960"/>
      <c r="E180" s="961"/>
      <c r="F180" s="961"/>
      <c r="G180" s="962" t="s">
        <v>814</v>
      </c>
      <c r="H180" s="961"/>
      <c r="I180" s="961"/>
      <c r="J180" s="962" t="s">
        <v>814</v>
      </c>
      <c r="K180" s="963"/>
      <c r="L180" s="963"/>
      <c r="M180" s="962" t="s">
        <v>814</v>
      </c>
      <c r="N180" s="963"/>
      <c r="O180" s="963"/>
      <c r="P180" s="962" t="s">
        <v>814</v>
      </c>
      <c r="Q180" s="963"/>
      <c r="R180" s="963"/>
      <c r="S180" s="964"/>
      <c r="T180" s="965"/>
      <c r="U180" s="963"/>
      <c r="V180" s="964"/>
    </row>
    <row r="181" s="908" customFormat="1" ht="15.95" customHeight="1" spans="1:22">
      <c r="A181" s="968"/>
      <c r="B181" s="960"/>
      <c r="C181" s="960"/>
      <c r="D181" s="960"/>
      <c r="E181" s="961"/>
      <c r="F181" s="961"/>
      <c r="G181" s="962" t="s">
        <v>814</v>
      </c>
      <c r="H181" s="961"/>
      <c r="I181" s="961"/>
      <c r="J181" s="962" t="s">
        <v>814</v>
      </c>
      <c r="K181" s="973"/>
      <c r="L181" s="963"/>
      <c r="M181" s="962" t="s">
        <v>814</v>
      </c>
      <c r="N181" s="963"/>
      <c r="O181" s="963"/>
      <c r="P181" s="962" t="s">
        <v>814</v>
      </c>
      <c r="Q181" s="963"/>
      <c r="R181" s="963"/>
      <c r="S181" s="964"/>
      <c r="T181" s="965"/>
      <c r="U181" s="963"/>
      <c r="V181" s="964"/>
    </row>
    <row r="182" s="908" customFormat="1" ht="15.95" customHeight="1" spans="1:22">
      <c r="A182" s="968">
        <v>6</v>
      </c>
      <c r="B182" s="960" t="s">
        <v>820</v>
      </c>
      <c r="C182" s="960" t="s">
        <v>787</v>
      </c>
      <c r="D182" s="960"/>
      <c r="E182" s="961"/>
      <c r="F182" s="961"/>
      <c r="G182" s="962" t="s">
        <v>814</v>
      </c>
      <c r="H182" s="961"/>
      <c r="I182" s="961"/>
      <c r="J182" s="962" t="s">
        <v>814</v>
      </c>
      <c r="K182" s="963"/>
      <c r="L182" s="963"/>
      <c r="M182" s="962" t="s">
        <v>814</v>
      </c>
      <c r="N182" s="963"/>
      <c r="O182" s="963"/>
      <c r="P182" s="962" t="s">
        <v>814</v>
      </c>
      <c r="Q182" s="963"/>
      <c r="R182" s="963"/>
      <c r="S182" s="964"/>
      <c r="T182" s="965"/>
      <c r="U182" s="963"/>
      <c r="V182" s="964"/>
    </row>
    <row r="183" s="908" customFormat="1" ht="15.95" customHeight="1" spans="1:22">
      <c r="A183" s="968"/>
      <c r="B183" s="960"/>
      <c r="C183" s="960" t="s">
        <v>125</v>
      </c>
      <c r="D183" s="960"/>
      <c r="E183" s="961"/>
      <c r="F183" s="961"/>
      <c r="G183" s="962" t="s">
        <v>814</v>
      </c>
      <c r="H183" s="961"/>
      <c r="I183" s="961"/>
      <c r="J183" s="962" t="s">
        <v>814</v>
      </c>
      <c r="K183" s="963"/>
      <c r="L183" s="963"/>
      <c r="M183" s="962" t="s">
        <v>814</v>
      </c>
      <c r="N183" s="963"/>
      <c r="O183" s="963"/>
      <c r="P183" s="962" t="s">
        <v>814</v>
      </c>
      <c r="Q183" s="963"/>
      <c r="R183" s="963"/>
      <c r="S183" s="964"/>
      <c r="T183" s="965"/>
      <c r="U183" s="963"/>
      <c r="V183" s="964"/>
    </row>
    <row r="184" s="908" customFormat="1" ht="15.95" customHeight="1" spans="1:22">
      <c r="A184" s="968"/>
      <c r="B184" s="960"/>
      <c r="C184" s="960"/>
      <c r="D184" s="960"/>
      <c r="E184" s="961"/>
      <c r="F184" s="961"/>
      <c r="G184" s="962" t="s">
        <v>814</v>
      </c>
      <c r="H184" s="961"/>
      <c r="I184" s="961"/>
      <c r="J184" s="962" t="s">
        <v>814</v>
      </c>
      <c r="K184" s="963"/>
      <c r="L184" s="963"/>
      <c r="M184" s="962" t="s">
        <v>814</v>
      </c>
      <c r="N184" s="963"/>
      <c r="O184" s="963"/>
      <c r="P184" s="962" t="s">
        <v>814</v>
      </c>
      <c r="Q184" s="963"/>
      <c r="R184" s="963"/>
      <c r="S184" s="964"/>
      <c r="T184" s="965"/>
      <c r="U184" s="963"/>
      <c r="V184" s="964"/>
    </row>
    <row r="185" s="908" customFormat="1" ht="15.95" customHeight="1" spans="1:22">
      <c r="A185" s="968">
        <v>7</v>
      </c>
      <c r="B185" s="960" t="s">
        <v>821</v>
      </c>
      <c r="C185" s="960" t="s">
        <v>786</v>
      </c>
      <c r="D185" s="960"/>
      <c r="E185" s="961"/>
      <c r="F185" s="961"/>
      <c r="G185" s="962" t="s">
        <v>814</v>
      </c>
      <c r="H185" s="961"/>
      <c r="I185" s="961"/>
      <c r="J185" s="962" t="s">
        <v>814</v>
      </c>
      <c r="K185" s="963"/>
      <c r="L185" s="963"/>
      <c r="M185" s="962" t="s">
        <v>814</v>
      </c>
      <c r="N185" s="963">
        <v>3276714.88</v>
      </c>
      <c r="O185" s="963"/>
      <c r="P185" s="962" t="s">
        <v>814</v>
      </c>
      <c r="Q185" s="963"/>
      <c r="R185" s="963"/>
      <c r="S185" s="964"/>
      <c r="T185" s="965"/>
      <c r="U185" s="963"/>
      <c r="V185" s="964"/>
    </row>
    <row r="186" s="908" customFormat="1" ht="15.95" customHeight="1" spans="1:22">
      <c r="A186" s="968"/>
      <c r="B186" s="960"/>
      <c r="C186" s="960" t="s">
        <v>787</v>
      </c>
      <c r="D186" s="960"/>
      <c r="E186" s="961"/>
      <c r="F186" s="961"/>
      <c r="G186" s="962" t="s">
        <v>814</v>
      </c>
      <c r="H186" s="961"/>
      <c r="I186" s="961"/>
      <c r="J186" s="962" t="s">
        <v>814</v>
      </c>
      <c r="K186" s="963"/>
      <c r="L186" s="963"/>
      <c r="M186" s="962" t="s">
        <v>814</v>
      </c>
      <c r="N186" s="963"/>
      <c r="O186" s="963">
        <v>3276714.88</v>
      </c>
      <c r="P186" s="962" t="s">
        <v>814</v>
      </c>
      <c r="Q186" s="963"/>
      <c r="R186" s="963"/>
      <c r="S186" s="964"/>
      <c r="T186" s="965"/>
      <c r="U186" s="963"/>
      <c r="V186" s="964"/>
    </row>
    <row r="187" s="908" customFormat="1" ht="15.95" customHeight="1" spans="1:22">
      <c r="A187" s="968"/>
      <c r="B187" s="960"/>
      <c r="C187" s="960" t="s">
        <v>125</v>
      </c>
      <c r="D187" s="960"/>
      <c r="E187" s="961"/>
      <c r="F187" s="961"/>
      <c r="G187" s="962" t="s">
        <v>814</v>
      </c>
      <c r="H187" s="961"/>
      <c r="I187" s="961"/>
      <c r="J187" s="962" t="s">
        <v>814</v>
      </c>
      <c r="K187" s="963"/>
      <c r="L187" s="963"/>
      <c r="M187" s="962" t="s">
        <v>814</v>
      </c>
      <c r="N187" s="963"/>
      <c r="O187" s="963"/>
      <c r="P187" s="962" t="s">
        <v>814</v>
      </c>
      <c r="Q187" s="963"/>
      <c r="R187" s="963"/>
      <c r="S187" s="964"/>
      <c r="T187" s="965"/>
      <c r="U187" s="963"/>
      <c r="V187" s="964"/>
    </row>
    <row r="188" s="908" customFormat="1" ht="15.95" customHeight="1" spans="1:22">
      <c r="A188" s="968"/>
      <c r="B188" s="960"/>
      <c r="C188" s="960"/>
      <c r="D188" s="960"/>
      <c r="E188" s="961"/>
      <c r="F188" s="961"/>
      <c r="G188" s="962" t="s">
        <v>814</v>
      </c>
      <c r="H188" s="961"/>
      <c r="I188" s="961"/>
      <c r="J188" s="962" t="s">
        <v>814</v>
      </c>
      <c r="K188" s="963"/>
      <c r="L188" s="963"/>
      <c r="M188" s="962" t="s">
        <v>814</v>
      </c>
      <c r="N188" s="963"/>
      <c r="O188" s="963"/>
      <c r="P188" s="962" t="s">
        <v>814</v>
      </c>
      <c r="Q188" s="963"/>
      <c r="R188" s="963"/>
      <c r="S188" s="964"/>
      <c r="T188" s="965"/>
      <c r="U188" s="963"/>
      <c r="V188" s="964"/>
    </row>
    <row r="189" s="908" customFormat="1" ht="15.95" customHeight="1" spans="1:22">
      <c r="A189" s="968">
        <v>8</v>
      </c>
      <c r="B189" s="960" t="s">
        <v>822</v>
      </c>
      <c r="C189" s="960" t="s">
        <v>786</v>
      </c>
      <c r="D189" s="960"/>
      <c r="E189" s="961">
        <f>GETPIVOTDATA("金额2",'关联交易-利润表-25.11月'!$B$200,"核算科目","主营业务收入")</f>
        <v>28024036.16</v>
      </c>
      <c r="F189" s="961"/>
      <c r="G189" s="962" t="s">
        <v>814</v>
      </c>
      <c r="H189" s="961">
        <v>127292025.9115</v>
      </c>
      <c r="I189" s="961"/>
      <c r="J189" s="962" t="s">
        <v>814</v>
      </c>
      <c r="K189" s="963">
        <v>14357829.59</v>
      </c>
      <c r="L189" s="963"/>
      <c r="M189" s="962" t="s">
        <v>814</v>
      </c>
      <c r="N189" s="963">
        <v>342857.14</v>
      </c>
      <c r="O189" s="963"/>
      <c r="P189" s="962" t="s">
        <v>814</v>
      </c>
      <c r="Q189" s="963"/>
      <c r="R189" s="963"/>
      <c r="S189" s="964"/>
      <c r="T189" s="965"/>
      <c r="U189" s="963"/>
      <c r="V189" s="964"/>
    </row>
    <row r="190" s="908" customFormat="1" ht="15.95" customHeight="1" spans="1:22">
      <c r="A190" s="968"/>
      <c r="B190" s="960"/>
      <c r="C190" s="960" t="s">
        <v>787</v>
      </c>
      <c r="D190" s="960"/>
      <c r="E190" s="961"/>
      <c r="F190" s="961">
        <f>GETPIVOTDATA("金额2",'关联交易-利润表-25.11月'!$B$200,"核算科目","主营业务收入","抵消科目","营业成本")+(16890528.21-F192-F196)-F198-F199</f>
        <v>32569884.04</v>
      </c>
      <c r="G190" s="962" t="s">
        <v>814</v>
      </c>
      <c r="H190" s="961"/>
      <c r="I190" s="961">
        <v>127292025.9115</v>
      </c>
      <c r="J190" s="962" t="s">
        <v>814</v>
      </c>
      <c r="K190" s="963"/>
      <c r="L190" s="963">
        <v>14074810.72</v>
      </c>
      <c r="M190" s="962" t="s">
        <v>814</v>
      </c>
      <c r="N190" s="963"/>
      <c r="O190" s="963">
        <v>342857.14</v>
      </c>
      <c r="P190" s="962" t="s">
        <v>814</v>
      </c>
      <c r="Q190" s="963">
        <f>2100*0.5*0.97</f>
        <v>1018.5</v>
      </c>
      <c r="R190" s="963"/>
      <c r="S190" s="964"/>
      <c r="T190" s="965"/>
      <c r="U190" s="963"/>
      <c r="V190" s="964"/>
    </row>
    <row r="191" s="908" customFormat="1" ht="15.95" customHeight="1" spans="1:22">
      <c r="A191" s="968"/>
      <c r="B191" s="971">
        <f>E191-F192-F196-F198</f>
        <v>5397002.96</v>
      </c>
      <c r="C191" s="960" t="s">
        <v>823</v>
      </c>
      <c r="D191" s="960"/>
      <c r="E191" s="961">
        <f>GETPIVOTDATA("金额2",'关联交易-利润表-25.11月'!$B$200,"核算科目","其他业务收入")</f>
        <v>16890528.21</v>
      </c>
      <c r="F191" s="961"/>
      <c r="G191" s="962" t="s">
        <v>814</v>
      </c>
      <c r="H191" s="961">
        <v>9350944.38</v>
      </c>
      <c r="I191" s="961"/>
      <c r="J191" s="962" t="s">
        <v>814</v>
      </c>
      <c r="K191" s="963">
        <v>612301.72</v>
      </c>
      <c r="L191" s="963"/>
      <c r="M191" s="962" t="s">
        <v>814</v>
      </c>
      <c r="N191" s="963"/>
      <c r="O191" s="963"/>
      <c r="P191" s="962" t="s">
        <v>814</v>
      </c>
      <c r="Q191" s="963">
        <f>2100-Q190</f>
        <v>1081.5</v>
      </c>
      <c r="R191" s="963"/>
      <c r="S191" s="964"/>
      <c r="T191" s="965"/>
      <c r="U191" s="963"/>
      <c r="V191" s="964"/>
    </row>
    <row r="192" s="908" customFormat="1" ht="15.95" customHeight="1" spans="1:22">
      <c r="A192" s="968"/>
      <c r="B192" s="971">
        <f>B191-F199</f>
        <v>4545847.88</v>
      </c>
      <c r="C192" s="960" t="s">
        <v>824</v>
      </c>
      <c r="D192" s="960"/>
      <c r="E192" s="961"/>
      <c r="F192" s="974">
        <v>11270572.02</v>
      </c>
      <c r="G192" s="962" t="s">
        <v>814</v>
      </c>
      <c r="H192" s="961"/>
      <c r="I192" s="961">
        <v>9224095.35</v>
      </c>
      <c r="J192" s="962" t="s">
        <v>814</v>
      </c>
      <c r="K192" s="963"/>
      <c r="L192" s="963"/>
      <c r="M192" s="962" t="s">
        <v>814</v>
      </c>
      <c r="N192" s="963"/>
      <c r="O192" s="963"/>
      <c r="P192" s="962" t="s">
        <v>814</v>
      </c>
      <c r="Q192" s="963"/>
      <c r="R192" s="963"/>
      <c r="S192" s="964"/>
      <c r="T192" s="965"/>
      <c r="U192" s="963"/>
      <c r="V192" s="964"/>
    </row>
    <row r="193" s="908" customFormat="1" ht="15.95" customHeight="1" spans="1:22">
      <c r="A193" s="968"/>
      <c r="B193" s="971"/>
      <c r="C193" s="960" t="s">
        <v>787</v>
      </c>
      <c r="D193" s="960"/>
      <c r="E193" s="961"/>
      <c r="F193" s="961"/>
      <c r="G193" s="962" t="s">
        <v>814</v>
      </c>
      <c r="H193" s="961"/>
      <c r="I193" s="961"/>
      <c r="J193" s="962" t="s">
        <v>814</v>
      </c>
      <c r="K193" s="963"/>
      <c r="L193" s="963">
        <v>612301.72</v>
      </c>
      <c r="M193" s="962" t="s">
        <v>814</v>
      </c>
      <c r="N193" s="963"/>
      <c r="O193" s="963"/>
      <c r="P193" s="962" t="s">
        <v>814</v>
      </c>
      <c r="Q193" s="963"/>
      <c r="R193" s="963"/>
      <c r="S193" s="964"/>
      <c r="T193" s="965"/>
      <c r="U193" s="963"/>
      <c r="V193" s="964"/>
    </row>
    <row r="194" s="908" customFormat="1" ht="15.95" customHeight="1" spans="1:22">
      <c r="A194" s="968"/>
      <c r="B194" s="971"/>
      <c r="C194" s="960" t="s">
        <v>825</v>
      </c>
      <c r="D194" s="960"/>
      <c r="E194" s="961">
        <f>-H192</f>
        <v>0</v>
      </c>
      <c r="F194" s="961">
        <f>IFERROR(GETPIVOTDATA("金额2",'关联交易-利润表-25.11月'!$B$200,"核算科目","其他业务收入","抵消科目","管理费用"),0)</f>
        <v>0</v>
      </c>
      <c r="G194" s="962" t="s">
        <v>814</v>
      </c>
      <c r="H194" s="961">
        <v>0</v>
      </c>
      <c r="I194" s="961">
        <v>126849.03</v>
      </c>
      <c r="J194" s="962" t="s">
        <v>814</v>
      </c>
      <c r="K194" s="963"/>
      <c r="L194" s="963">
        <v>283018.87</v>
      </c>
      <c r="M194" s="962" t="s">
        <v>814</v>
      </c>
      <c r="N194" s="963"/>
      <c r="O194" s="963"/>
      <c r="P194" s="962" t="s">
        <v>814</v>
      </c>
      <c r="Q194" s="963"/>
      <c r="R194" s="963"/>
      <c r="S194" s="964"/>
      <c r="T194" s="965"/>
      <c r="U194" s="963"/>
      <c r="V194" s="964"/>
    </row>
    <row r="195" s="908" customFormat="1" ht="15.95" customHeight="1" spans="1:22">
      <c r="A195" s="968"/>
      <c r="B195" s="971"/>
      <c r="C195" s="960" t="s">
        <v>786</v>
      </c>
      <c r="D195" s="960"/>
      <c r="E195" s="961"/>
      <c r="F195" s="961"/>
      <c r="G195" s="962" t="s">
        <v>814</v>
      </c>
      <c r="H195" s="961"/>
      <c r="I195" s="961"/>
      <c r="J195" s="962" t="s">
        <v>814</v>
      </c>
      <c r="K195" s="963"/>
      <c r="L195" s="963"/>
      <c r="M195" s="962" t="s">
        <v>814</v>
      </c>
      <c r="N195" s="963"/>
      <c r="O195" s="963"/>
      <c r="P195" s="962" t="s">
        <v>814</v>
      </c>
      <c r="Q195" s="963"/>
      <c r="R195" s="963"/>
      <c r="S195" s="964"/>
      <c r="T195" s="965"/>
      <c r="U195" s="963"/>
      <c r="V195" s="964"/>
    </row>
    <row r="196" s="908" customFormat="1" ht="15.95" customHeight="1" spans="1:22">
      <c r="A196" s="968"/>
      <c r="B196" s="971"/>
      <c r="C196" s="960" t="s">
        <v>125</v>
      </c>
      <c r="D196" s="960"/>
      <c r="E196" s="961"/>
      <c r="F196" s="974">
        <f>109441.9/5*1</f>
        <v>21888.38</v>
      </c>
      <c r="G196" s="962" t="s">
        <v>814</v>
      </c>
      <c r="H196" s="961"/>
      <c r="I196" s="961"/>
      <c r="J196" s="962" t="s">
        <v>814</v>
      </c>
      <c r="K196" s="963"/>
      <c r="L196" s="963">
        <v>0</v>
      </c>
      <c r="M196" s="962" t="s">
        <v>814</v>
      </c>
      <c r="N196" s="963"/>
      <c r="O196" s="963"/>
      <c r="P196" s="962" t="s">
        <v>814</v>
      </c>
      <c r="Q196" s="963"/>
      <c r="R196" s="963"/>
      <c r="S196" s="964"/>
      <c r="T196" s="965"/>
      <c r="U196" s="963"/>
      <c r="V196" s="964"/>
    </row>
    <row r="197" s="908" customFormat="1" ht="15.95" customHeight="1" spans="1:22">
      <c r="A197" s="968"/>
      <c r="B197" s="971"/>
      <c r="C197" s="969" t="s">
        <v>797</v>
      </c>
      <c r="D197" s="960"/>
      <c r="E197" s="961">
        <f>K195</f>
        <v>0</v>
      </c>
      <c r="F197" s="961"/>
      <c r="G197" s="962" t="s">
        <v>814</v>
      </c>
      <c r="H197" s="961">
        <v>0</v>
      </c>
      <c r="I197" s="961"/>
      <c r="J197" s="962" t="s">
        <v>814</v>
      </c>
      <c r="K197" s="963"/>
      <c r="L197" s="963"/>
      <c r="M197" s="962" t="s">
        <v>814</v>
      </c>
      <c r="N197" s="963"/>
      <c r="O197" s="963"/>
      <c r="P197" s="962"/>
      <c r="Q197" s="963"/>
      <c r="R197" s="963"/>
      <c r="S197" s="964"/>
      <c r="T197" s="965"/>
      <c r="U197" s="963"/>
      <c r="V197" s="964"/>
    </row>
    <row r="198" s="908" customFormat="1" ht="15.95" customHeight="1" spans="1:22">
      <c r="A198" s="968"/>
      <c r="B198" s="960"/>
      <c r="C198" s="960" t="s">
        <v>826</v>
      </c>
      <c r="D198" s="960"/>
      <c r="E198" s="961"/>
      <c r="F198" s="961">
        <f>GETPIVOTDATA("金额2",'关联交易-利润表-25.11月'!$B$200,"单位","热等静压","核算科目","其他业务收入","抵消科目","销售费用")</f>
        <v>201064.85</v>
      </c>
      <c r="G198" s="962" t="s">
        <v>814</v>
      </c>
      <c r="H198" s="961"/>
      <c r="I198" s="961"/>
      <c r="J198" s="962" t="s">
        <v>814</v>
      </c>
      <c r="K198" s="963"/>
      <c r="L198" s="963"/>
      <c r="M198" s="962" t="s">
        <v>814</v>
      </c>
      <c r="N198" s="963"/>
      <c r="O198" s="963"/>
      <c r="P198" s="962"/>
      <c r="Q198" s="963"/>
      <c r="R198" s="963"/>
      <c r="S198" s="964"/>
      <c r="T198" s="965"/>
      <c r="U198" s="963"/>
      <c r="V198" s="964"/>
    </row>
    <row r="199" s="908" customFormat="1" ht="15.95" customHeight="1" spans="1:22">
      <c r="A199" s="968"/>
      <c r="B199" s="960"/>
      <c r="C199" s="960" t="s">
        <v>827</v>
      </c>
      <c r="D199" s="960"/>
      <c r="E199" s="961"/>
      <c r="F199" s="961">
        <f>GETPIVOTDATA("金额2",'关联交易-利润表-25.11月'!$B$200,"单位","新材料","核算科目","其他业务收入","抵消科目","研发费用")</f>
        <v>851155.08</v>
      </c>
      <c r="G199" s="962" t="s">
        <v>814</v>
      </c>
      <c r="H199" s="961"/>
      <c r="I199" s="961"/>
      <c r="J199" s="962" t="s">
        <v>814</v>
      </c>
      <c r="K199" s="963"/>
      <c r="L199" s="963"/>
      <c r="M199" s="962" t="s">
        <v>814</v>
      </c>
      <c r="N199" s="963"/>
      <c r="O199" s="963"/>
      <c r="P199" s="962"/>
      <c r="Q199" s="963"/>
      <c r="R199" s="963"/>
      <c r="S199" s="964"/>
      <c r="T199" s="965"/>
      <c r="U199" s="963"/>
      <c r="V199" s="964"/>
    </row>
    <row r="200" s="908" customFormat="1" ht="15.95" customHeight="1" spans="1:22">
      <c r="A200" s="968"/>
      <c r="B200" s="960"/>
      <c r="C200" s="960" t="s">
        <v>828</v>
      </c>
      <c r="D200" s="960"/>
      <c r="E200" s="961">
        <f>GETPIVOTDATA("金额2",'关联交易-利润表-25.11月'!$B$200,"核算科目","财务费用","抵消科目","财务费用")</f>
        <v>1266.67</v>
      </c>
      <c r="F200" s="961"/>
      <c r="G200" s="962" t="s">
        <v>814</v>
      </c>
      <c r="H200" s="961">
        <v>4858.5</v>
      </c>
      <c r="I200" s="961"/>
      <c r="J200" s="962" t="s">
        <v>814</v>
      </c>
      <c r="K200" s="963"/>
      <c r="L200" s="963"/>
      <c r="M200" s="962" t="s">
        <v>814</v>
      </c>
      <c r="N200" s="963"/>
      <c r="O200" s="963"/>
      <c r="P200" s="962"/>
      <c r="Q200" s="963"/>
      <c r="R200" s="963"/>
      <c r="S200" s="964"/>
      <c r="T200" s="965"/>
      <c r="U200" s="963"/>
      <c r="V200" s="964"/>
    </row>
    <row r="201" s="908" customFormat="1" ht="15.95" customHeight="1" spans="1:22">
      <c r="A201" s="968"/>
      <c r="B201" s="960"/>
      <c r="C201" s="960" t="s">
        <v>828</v>
      </c>
      <c r="D201" s="960"/>
      <c r="E201" s="961">
        <f>-E200</f>
        <v>-1266.67</v>
      </c>
      <c r="F201" s="961"/>
      <c r="G201" s="962" t="s">
        <v>814</v>
      </c>
      <c r="H201" s="961">
        <v>-4858.5</v>
      </c>
      <c r="I201" s="961"/>
      <c r="J201" s="962" t="s">
        <v>814</v>
      </c>
      <c r="K201" s="963"/>
      <c r="L201" s="963"/>
      <c r="M201" s="962" t="s">
        <v>814</v>
      </c>
      <c r="N201" s="963"/>
      <c r="O201" s="963"/>
      <c r="P201" s="962"/>
      <c r="Q201" s="963"/>
      <c r="R201" s="963"/>
      <c r="S201" s="964"/>
      <c r="T201" s="965"/>
      <c r="U201" s="963"/>
      <c r="V201" s="964"/>
    </row>
    <row r="202" s="908" customFormat="1" ht="15.95" customHeight="1" spans="1:22">
      <c r="A202" s="968"/>
      <c r="B202" s="960"/>
      <c r="C202" s="960"/>
      <c r="D202" s="960"/>
      <c r="E202" s="961"/>
      <c r="F202" s="961"/>
      <c r="G202" s="962" t="s">
        <v>814</v>
      </c>
      <c r="H202" s="961"/>
      <c r="I202" s="961"/>
      <c r="J202" s="962"/>
      <c r="K202" s="963"/>
      <c r="L202" s="963"/>
      <c r="M202" s="962" t="s">
        <v>814</v>
      </c>
      <c r="N202" s="963"/>
      <c r="O202" s="963"/>
      <c r="P202" s="962"/>
      <c r="Q202" s="963"/>
      <c r="R202" s="963"/>
      <c r="S202" s="964"/>
      <c r="T202" s="965"/>
      <c r="U202" s="963"/>
      <c r="V202" s="964"/>
    </row>
    <row r="203" s="908" customFormat="1" ht="15.95" customHeight="1" spans="1:22">
      <c r="A203" s="968"/>
      <c r="B203" s="960"/>
      <c r="C203" s="960"/>
      <c r="D203" s="960"/>
      <c r="E203" s="961"/>
      <c r="F203" s="961"/>
      <c r="G203" s="962" t="s">
        <v>814</v>
      </c>
      <c r="H203" s="961"/>
      <c r="I203" s="961"/>
      <c r="J203" s="962"/>
      <c r="K203" s="963"/>
      <c r="L203" s="963"/>
      <c r="M203" s="962" t="s">
        <v>814</v>
      </c>
      <c r="N203" s="963"/>
      <c r="O203" s="963"/>
      <c r="P203" s="962"/>
      <c r="Q203" s="963"/>
      <c r="R203" s="963"/>
      <c r="S203" s="964"/>
      <c r="T203" s="965"/>
      <c r="U203" s="963"/>
      <c r="V203" s="964"/>
    </row>
    <row r="204" s="908" customFormat="1" ht="15.95" customHeight="1" spans="1:22">
      <c r="A204" s="968">
        <v>9</v>
      </c>
      <c r="B204" s="960" t="s">
        <v>829</v>
      </c>
      <c r="C204" s="975" t="s">
        <v>830</v>
      </c>
      <c r="D204" s="960"/>
      <c r="E204" s="961"/>
      <c r="F204" s="961"/>
      <c r="G204" s="962" t="s">
        <v>814</v>
      </c>
      <c r="H204" s="961"/>
      <c r="I204" s="961"/>
      <c r="J204" s="976" t="s">
        <v>814</v>
      </c>
      <c r="K204" s="963"/>
      <c r="L204" s="963"/>
      <c r="M204" s="976" t="s">
        <v>814</v>
      </c>
      <c r="N204" s="963"/>
      <c r="O204" s="963"/>
      <c r="P204" s="962" t="s">
        <v>814</v>
      </c>
      <c r="Q204" s="963"/>
      <c r="R204" s="963"/>
      <c r="S204" s="964"/>
      <c r="T204" s="965"/>
      <c r="U204" s="963"/>
      <c r="V204" s="964"/>
    </row>
    <row r="205" s="908" customFormat="1" ht="15.95" customHeight="1" spans="1:22">
      <c r="A205" s="968"/>
      <c r="B205" s="960"/>
      <c r="C205" s="960" t="s">
        <v>158</v>
      </c>
      <c r="D205" s="960"/>
      <c r="E205" s="961"/>
      <c r="F205" s="961"/>
      <c r="G205" s="962" t="s">
        <v>814</v>
      </c>
      <c r="H205" s="961"/>
      <c r="I205" s="961"/>
      <c r="J205" s="976" t="s">
        <v>814</v>
      </c>
      <c r="K205" s="963"/>
      <c r="L205" s="963"/>
      <c r="M205" s="976" t="s">
        <v>814</v>
      </c>
      <c r="N205" s="963"/>
      <c r="O205" s="963"/>
      <c r="P205" s="962" t="s">
        <v>814</v>
      </c>
      <c r="Q205" s="963"/>
      <c r="R205" s="963"/>
      <c r="S205" s="964"/>
      <c r="T205" s="965"/>
      <c r="U205" s="963"/>
      <c r="V205" s="964"/>
    </row>
    <row r="206" s="908" customFormat="1" ht="15.95" customHeight="1" spans="1:22">
      <c r="A206" s="968"/>
      <c r="B206" s="960"/>
      <c r="C206" s="960" t="s">
        <v>784</v>
      </c>
      <c r="D206" s="960"/>
      <c r="E206" s="961"/>
      <c r="F206" s="961"/>
      <c r="G206" s="962" t="s">
        <v>814</v>
      </c>
      <c r="H206" s="961"/>
      <c r="I206" s="961"/>
      <c r="J206" s="976" t="s">
        <v>814</v>
      </c>
      <c r="K206" s="963"/>
      <c r="L206" s="963"/>
      <c r="M206" s="976" t="s">
        <v>814</v>
      </c>
      <c r="N206" s="963"/>
      <c r="O206" s="963"/>
      <c r="P206" s="962" t="s">
        <v>814</v>
      </c>
      <c r="Q206" s="963"/>
      <c r="R206" s="963"/>
      <c r="S206" s="964"/>
      <c r="T206" s="965"/>
      <c r="U206" s="963"/>
      <c r="V206" s="964"/>
    </row>
    <row r="207" s="908" customFormat="1" ht="15.95" customHeight="1" spans="1:22">
      <c r="A207" s="968"/>
      <c r="B207" s="960"/>
      <c r="C207" s="960"/>
      <c r="D207" s="960"/>
      <c r="E207" s="961"/>
      <c r="F207" s="961"/>
      <c r="G207" s="962" t="s">
        <v>814</v>
      </c>
      <c r="H207" s="961"/>
      <c r="I207" s="961"/>
      <c r="J207" s="976" t="s">
        <v>814</v>
      </c>
      <c r="K207" s="963"/>
      <c r="L207" s="963"/>
      <c r="M207" s="976" t="s">
        <v>814</v>
      </c>
      <c r="N207" s="963"/>
      <c r="O207" s="963"/>
      <c r="P207" s="962" t="s">
        <v>814</v>
      </c>
      <c r="Q207" s="963"/>
      <c r="R207" s="963"/>
      <c r="S207" s="964"/>
      <c r="T207" s="965"/>
      <c r="U207" s="963"/>
      <c r="V207" s="964"/>
    </row>
    <row r="208" s="908" customFormat="1" ht="15.95" customHeight="1" spans="1:22">
      <c r="A208" s="968"/>
      <c r="B208" s="960"/>
      <c r="C208" s="960"/>
      <c r="D208" s="960"/>
      <c r="E208" s="961"/>
      <c r="F208" s="961"/>
      <c r="G208" s="962" t="s">
        <v>814</v>
      </c>
      <c r="H208" s="961"/>
      <c r="I208" s="961"/>
      <c r="J208" s="976" t="s">
        <v>814</v>
      </c>
      <c r="K208" s="963"/>
      <c r="L208" s="963"/>
      <c r="M208" s="976" t="s">
        <v>814</v>
      </c>
      <c r="N208" s="963"/>
      <c r="O208" s="963"/>
      <c r="P208" s="962" t="s">
        <v>814</v>
      </c>
      <c r="Q208" s="963"/>
      <c r="R208" s="963"/>
      <c r="S208" s="964"/>
      <c r="T208" s="965"/>
      <c r="U208" s="963"/>
      <c r="V208" s="964"/>
    </row>
    <row r="209" s="908" customFormat="1" ht="15.95" customHeight="1" spans="1:23">
      <c r="A209" s="968"/>
      <c r="B209" s="960"/>
      <c r="C209" s="960"/>
      <c r="D209" s="960"/>
      <c r="E209" s="961"/>
      <c r="F209" s="961"/>
      <c r="G209" s="962" t="s">
        <v>814</v>
      </c>
      <c r="H209" s="961"/>
      <c r="I209" s="961"/>
      <c r="J209" s="962" t="s">
        <v>814</v>
      </c>
      <c r="K209" s="963"/>
      <c r="L209" s="963"/>
      <c r="M209" s="962" t="s">
        <v>814</v>
      </c>
      <c r="N209" s="963"/>
      <c r="O209" s="963"/>
      <c r="P209" s="962" t="s">
        <v>814</v>
      </c>
      <c r="Q209" s="963"/>
      <c r="R209" s="963"/>
      <c r="S209" s="964"/>
      <c r="T209" s="965"/>
      <c r="U209" s="963"/>
      <c r="V209" s="964"/>
    </row>
    <row r="210" s="908" customFormat="1" ht="15.95" customHeight="1" spans="1:23">
      <c r="A210" s="968">
        <v>10</v>
      </c>
      <c r="B210" s="960" t="s">
        <v>831</v>
      </c>
      <c r="C210" s="960" t="s">
        <v>791</v>
      </c>
      <c r="D210" s="960" t="s">
        <v>832</v>
      </c>
      <c r="E210" s="961"/>
      <c r="F210" s="961"/>
      <c r="G210" s="962" t="s">
        <v>814</v>
      </c>
      <c r="H210" s="961"/>
      <c r="I210" s="961"/>
      <c r="J210" s="962" t="s">
        <v>814</v>
      </c>
      <c r="K210" s="963"/>
      <c r="L210" s="963"/>
      <c r="M210" s="962" t="s">
        <v>814</v>
      </c>
      <c r="N210" s="963"/>
      <c r="O210" s="963"/>
      <c r="P210" s="962" t="s">
        <v>814</v>
      </c>
      <c r="Q210" s="963"/>
      <c r="R210" s="963"/>
      <c r="S210" s="964"/>
      <c r="T210" s="965"/>
      <c r="U210" s="963"/>
      <c r="V210" s="964"/>
    </row>
    <row r="211" s="908" customFormat="1" ht="15.95" customHeight="1" spans="1:23">
      <c r="A211" s="968"/>
      <c r="B211" s="977" t="s">
        <v>833</v>
      </c>
      <c r="C211" s="960" t="s">
        <v>791</v>
      </c>
      <c r="D211" s="960" t="s">
        <v>834</v>
      </c>
      <c r="E211" s="961">
        <f>E144</f>
        <v>-3847293.9</v>
      </c>
      <c r="F211" s="961"/>
      <c r="G211" s="962" t="s">
        <v>814</v>
      </c>
      <c r="H211" s="961">
        <v>-8382211.28</v>
      </c>
      <c r="I211" s="961"/>
      <c r="J211" s="962" t="s">
        <v>814</v>
      </c>
      <c r="K211" s="963">
        <v>-1225750.48</v>
      </c>
      <c r="L211" s="963"/>
      <c r="M211" s="962" t="s">
        <v>814</v>
      </c>
      <c r="N211" s="963">
        <v>1626803.34</v>
      </c>
      <c r="O211" s="963"/>
      <c r="P211" s="962" t="s">
        <v>814</v>
      </c>
      <c r="Q211" s="963"/>
      <c r="R211" s="963"/>
      <c r="S211" s="964"/>
      <c r="T211" s="965"/>
      <c r="U211" s="963"/>
      <c r="V211" s="964"/>
    </row>
    <row r="212" s="908" customFormat="1" ht="15.95" customHeight="1" spans="1:23">
      <c r="A212" s="968"/>
      <c r="B212" s="977"/>
      <c r="C212" s="960" t="s">
        <v>835</v>
      </c>
      <c r="D212" s="960"/>
      <c r="E212" s="961"/>
      <c r="F212" s="961"/>
      <c r="G212" s="962" t="s">
        <v>814</v>
      </c>
      <c r="H212" s="961"/>
      <c r="I212" s="961"/>
      <c r="J212" s="962" t="s">
        <v>814</v>
      </c>
      <c r="K212" s="963"/>
      <c r="L212" s="963"/>
      <c r="M212" s="962" t="s">
        <v>814</v>
      </c>
      <c r="N212" s="963"/>
      <c r="O212" s="963"/>
      <c r="P212" s="962" t="s">
        <v>814</v>
      </c>
      <c r="Q212" s="963"/>
      <c r="R212" s="963"/>
      <c r="S212" s="964"/>
      <c r="T212" s="965"/>
      <c r="U212" s="963"/>
      <c r="V212" s="964"/>
    </row>
    <row r="213" s="908" customFormat="1" ht="15.95" customHeight="1" spans="1:23">
      <c r="A213" s="968"/>
      <c r="B213" s="977" t="s">
        <v>836</v>
      </c>
      <c r="C213" s="960" t="s">
        <v>761</v>
      </c>
      <c r="D213" s="960"/>
      <c r="E213" s="978">
        <f>合并试算平衡表!D149*0.2222</f>
        <v>43251.8832679999</v>
      </c>
      <c r="F213" s="961"/>
      <c r="G213" s="962" t="s">
        <v>814</v>
      </c>
      <c r="H213" s="961">
        <v>477.992196000176</v>
      </c>
      <c r="I213" s="961"/>
      <c r="J213" s="962" t="s">
        <v>814</v>
      </c>
      <c r="K213" s="963">
        <v>-374083.11</v>
      </c>
      <c r="L213" s="963"/>
      <c r="M213" s="962" t="s">
        <v>814</v>
      </c>
      <c r="N213" s="963">
        <v>212983.18</v>
      </c>
      <c r="O213" s="963"/>
      <c r="P213" s="962" t="s">
        <v>814</v>
      </c>
      <c r="Q213" s="963"/>
      <c r="R213" s="963"/>
      <c r="S213" s="964"/>
      <c r="T213" s="965"/>
      <c r="U213" s="963"/>
      <c r="V213" s="964"/>
      <c r="W213" s="970"/>
    </row>
    <row r="214" s="908" customFormat="1" ht="15.95" customHeight="1" spans="1:23">
      <c r="A214" s="968"/>
      <c r="B214" s="979" t="s">
        <v>837</v>
      </c>
      <c r="C214" s="969" t="s">
        <v>797</v>
      </c>
      <c r="D214" s="960"/>
      <c r="E214" s="961">
        <f>合并试算平衡表!C152+合并试算平衡表!D152+合并试算平衡表!E152</f>
        <v>-19101709.62</v>
      </c>
      <c r="F214" s="961"/>
      <c r="G214" s="962" t="s">
        <v>814</v>
      </c>
      <c r="H214" s="961">
        <v>-9780693.47</v>
      </c>
      <c r="I214" s="961"/>
      <c r="J214" s="962" t="s">
        <v>814</v>
      </c>
      <c r="K214" s="963">
        <v>-5726330.32</v>
      </c>
      <c r="L214" s="963"/>
      <c r="M214" s="962" t="s">
        <v>814</v>
      </c>
      <c r="N214" s="963">
        <v>-5518621.87</v>
      </c>
      <c r="O214" s="963"/>
      <c r="P214" s="962" t="s">
        <v>814</v>
      </c>
      <c r="Q214" s="963"/>
      <c r="R214" s="963"/>
      <c r="S214" s="964"/>
      <c r="T214" s="965"/>
      <c r="U214" s="963"/>
      <c r="V214" s="964"/>
      <c r="W214" s="970"/>
    </row>
    <row r="215" s="908" customFormat="1" ht="15.95" customHeight="1" spans="1:23">
      <c r="A215" s="968"/>
      <c r="B215" s="960"/>
      <c r="C215" s="960" t="s">
        <v>838</v>
      </c>
      <c r="D215" s="960"/>
      <c r="E215" s="961"/>
      <c r="F215" s="961"/>
      <c r="G215" s="962" t="s">
        <v>814</v>
      </c>
      <c r="H215" s="961"/>
      <c r="I215" s="961"/>
      <c r="J215" s="962" t="s">
        <v>814</v>
      </c>
      <c r="K215" s="963"/>
      <c r="L215" s="963"/>
      <c r="M215" s="962" t="s">
        <v>814</v>
      </c>
      <c r="N215" s="963"/>
      <c r="O215" s="963"/>
      <c r="P215" s="962" t="s">
        <v>814</v>
      </c>
      <c r="Q215" s="963"/>
      <c r="R215" s="963"/>
      <c r="S215" s="964"/>
      <c r="T215" s="965"/>
      <c r="U215" s="963"/>
      <c r="V215" s="964"/>
    </row>
    <row r="216" s="908" customFormat="1" ht="15.95" customHeight="1" spans="1:23">
      <c r="A216" s="968"/>
      <c r="B216" s="960"/>
      <c r="C216" s="960" t="s">
        <v>798</v>
      </c>
      <c r="D216" s="960"/>
      <c r="E216" s="961"/>
      <c r="F216" s="961"/>
      <c r="G216" s="962" t="s">
        <v>814</v>
      </c>
      <c r="H216" s="961"/>
      <c r="I216" s="961"/>
      <c r="J216" s="962" t="s">
        <v>814</v>
      </c>
      <c r="K216" s="963"/>
      <c r="L216" s="963"/>
      <c r="M216" s="962" t="s">
        <v>814</v>
      </c>
      <c r="N216" s="963"/>
      <c r="O216" s="963"/>
      <c r="P216" s="962" t="s">
        <v>814</v>
      </c>
      <c r="Q216" s="963"/>
      <c r="R216" s="963"/>
      <c r="S216" s="964"/>
      <c r="T216" s="965"/>
      <c r="U216" s="963"/>
      <c r="V216" s="964"/>
    </row>
    <row r="217" s="908" customFormat="1" ht="15.95" customHeight="1" spans="1:23">
      <c r="A217" s="968"/>
      <c r="B217" s="971"/>
      <c r="C217" s="960" t="s">
        <v>767</v>
      </c>
      <c r="D217" s="960"/>
      <c r="E217" s="961"/>
      <c r="F217" s="961"/>
      <c r="G217" s="962" t="s">
        <v>814</v>
      </c>
      <c r="H217" s="961"/>
      <c r="I217" s="961"/>
      <c r="J217" s="962" t="s">
        <v>814</v>
      </c>
      <c r="K217" s="963"/>
      <c r="L217" s="963"/>
      <c r="M217" s="962" t="s">
        <v>814</v>
      </c>
      <c r="N217" s="963"/>
      <c r="O217" s="963"/>
      <c r="P217" s="962" t="s">
        <v>814</v>
      </c>
      <c r="Q217" s="963"/>
      <c r="R217" s="963"/>
      <c r="S217" s="964"/>
      <c r="T217" s="965"/>
      <c r="U217" s="963"/>
      <c r="V217" s="964"/>
    </row>
    <row r="218" s="908" customFormat="1" ht="15.95" customHeight="1" spans="1:23">
      <c r="A218" s="968"/>
      <c r="B218" s="960"/>
      <c r="C218" s="960" t="s">
        <v>835</v>
      </c>
      <c r="D218" s="960"/>
      <c r="E218" s="961"/>
      <c r="F218" s="961"/>
      <c r="G218" s="962" t="s">
        <v>814</v>
      </c>
      <c r="H218" s="961"/>
      <c r="I218" s="961"/>
      <c r="J218" s="962" t="s">
        <v>814</v>
      </c>
      <c r="K218" s="963"/>
      <c r="L218" s="963"/>
      <c r="M218" s="962" t="s">
        <v>814</v>
      </c>
      <c r="N218" s="963"/>
      <c r="O218" s="963"/>
      <c r="P218" s="962" t="s">
        <v>814</v>
      </c>
      <c r="Q218" s="963"/>
      <c r="R218" s="963"/>
      <c r="S218" s="964"/>
      <c r="T218" s="965"/>
      <c r="U218" s="963"/>
      <c r="V218" s="964"/>
    </row>
    <row r="219" s="908" customFormat="1" ht="15.95" customHeight="1" spans="1:23">
      <c r="A219" s="968"/>
      <c r="B219" s="960"/>
      <c r="C219" s="960" t="s">
        <v>839</v>
      </c>
      <c r="D219" s="960"/>
      <c r="E219" s="961"/>
      <c r="F219" s="961"/>
      <c r="G219" s="962" t="s">
        <v>814</v>
      </c>
      <c r="H219" s="961"/>
      <c r="I219" s="961"/>
      <c r="J219" s="962" t="s">
        <v>814</v>
      </c>
      <c r="K219" s="963"/>
      <c r="L219" s="963"/>
      <c r="M219" s="962" t="s">
        <v>814</v>
      </c>
      <c r="N219" s="963"/>
      <c r="O219" s="963"/>
      <c r="P219" s="962" t="s">
        <v>814</v>
      </c>
      <c r="Q219" s="963"/>
      <c r="R219" s="963"/>
      <c r="S219" s="964"/>
      <c r="T219" s="965"/>
      <c r="U219" s="963"/>
      <c r="V219" s="964"/>
    </row>
    <row r="220" s="908" customFormat="1" ht="15.95" customHeight="1" spans="1:23">
      <c r="A220" s="968"/>
      <c r="B220" s="960"/>
      <c r="C220" s="960" t="s">
        <v>840</v>
      </c>
      <c r="D220" s="960"/>
      <c r="E220" s="961"/>
      <c r="F220" s="961"/>
      <c r="G220" s="962" t="s">
        <v>814</v>
      </c>
      <c r="H220" s="961"/>
      <c r="I220" s="961"/>
      <c r="J220" s="962" t="s">
        <v>814</v>
      </c>
      <c r="K220" s="963"/>
      <c r="L220" s="963"/>
      <c r="M220" s="962" t="s">
        <v>814</v>
      </c>
      <c r="N220" s="963"/>
      <c r="O220" s="963"/>
      <c r="P220" s="962" t="s">
        <v>814</v>
      </c>
      <c r="Q220" s="963"/>
      <c r="R220" s="963"/>
      <c r="S220" s="964"/>
      <c r="T220" s="965"/>
      <c r="U220" s="963"/>
      <c r="V220" s="964"/>
    </row>
    <row r="221" s="908" customFormat="1" ht="15.95" customHeight="1" spans="1:23">
      <c r="A221" s="968"/>
      <c r="B221" s="960"/>
      <c r="C221" s="960" t="s">
        <v>841</v>
      </c>
      <c r="D221" s="960"/>
      <c r="E221" s="961"/>
      <c r="F221" s="961"/>
      <c r="G221" s="962" t="s">
        <v>814</v>
      </c>
      <c r="H221" s="961"/>
      <c r="I221" s="961"/>
      <c r="J221" s="962" t="s">
        <v>814</v>
      </c>
      <c r="K221" s="963"/>
      <c r="L221" s="963"/>
      <c r="M221" s="962" t="s">
        <v>814</v>
      </c>
      <c r="N221" s="963"/>
      <c r="O221" s="963"/>
      <c r="P221" s="962" t="s">
        <v>814</v>
      </c>
      <c r="Q221" s="963"/>
      <c r="R221" s="963"/>
      <c r="S221" s="964"/>
      <c r="T221" s="965"/>
      <c r="U221" s="963"/>
      <c r="V221" s="964"/>
    </row>
    <row r="222" s="908" customFormat="1" ht="15.95" customHeight="1" spans="1:23">
      <c r="A222" s="968"/>
      <c r="B222" s="977" t="s">
        <v>842</v>
      </c>
      <c r="C222" s="960" t="s">
        <v>179</v>
      </c>
      <c r="D222" s="960"/>
      <c r="E222" s="961"/>
      <c r="F222" s="972">
        <f>E161</f>
        <v>-22905740.49</v>
      </c>
      <c r="G222" s="962" t="s">
        <v>814</v>
      </c>
      <c r="H222" s="961"/>
      <c r="I222" s="961">
        <v>-18162426.75</v>
      </c>
      <c r="J222" s="962" t="s">
        <v>814</v>
      </c>
      <c r="K222" s="963"/>
      <c r="L222" s="963">
        <v>-7326163.91</v>
      </c>
      <c r="M222" s="962" t="s">
        <v>814</v>
      </c>
      <c r="N222" s="963"/>
      <c r="O222" s="980">
        <v>-3678835.35</v>
      </c>
      <c r="P222" s="962" t="s">
        <v>814</v>
      </c>
      <c r="Q222" s="963"/>
      <c r="R222" s="963"/>
      <c r="S222" s="964"/>
      <c r="T222" s="965"/>
      <c r="U222" s="963"/>
      <c r="V222" s="964"/>
    </row>
    <row r="223" s="908" customFormat="1" ht="15.95" customHeight="1" spans="1:23">
      <c r="A223" s="981"/>
      <c r="B223" s="982"/>
      <c r="C223" s="969"/>
      <c r="D223" s="983"/>
      <c r="E223" s="961"/>
      <c r="F223" s="961"/>
      <c r="G223" s="962" t="s">
        <v>814</v>
      </c>
      <c r="H223" s="961"/>
      <c r="I223" s="961"/>
      <c r="J223" s="962" t="s">
        <v>814</v>
      </c>
      <c r="K223" s="963"/>
      <c r="L223" s="963"/>
      <c r="M223" s="962"/>
      <c r="N223" s="963"/>
      <c r="O223" s="963"/>
      <c r="P223" s="962" t="s">
        <v>814</v>
      </c>
      <c r="Q223" s="963"/>
      <c r="R223" s="963"/>
      <c r="S223" s="964"/>
      <c r="T223" s="965"/>
      <c r="U223" s="963"/>
      <c r="V223" s="964"/>
    </row>
    <row r="224" s="908" customFormat="1" ht="15.95" customHeight="1" spans="1:23">
      <c r="A224" s="984">
        <v>11</v>
      </c>
      <c r="B224" s="969" t="s">
        <v>843</v>
      </c>
      <c r="C224" s="969" t="s">
        <v>823</v>
      </c>
      <c r="D224" s="983"/>
      <c r="E224" s="963"/>
      <c r="F224" s="963"/>
      <c r="G224" s="962" t="s">
        <v>814</v>
      </c>
      <c r="H224" s="963"/>
      <c r="I224" s="963">
        <v>-14654852.69</v>
      </c>
      <c r="J224" s="962" t="s">
        <v>814</v>
      </c>
      <c r="K224" s="963"/>
      <c r="L224" s="963"/>
      <c r="M224" s="962"/>
      <c r="N224" s="963"/>
      <c r="O224" s="963"/>
      <c r="P224" s="962"/>
      <c r="Q224" s="963"/>
      <c r="R224" s="963"/>
      <c r="S224" s="964"/>
      <c r="T224" s="965"/>
      <c r="U224" s="963"/>
      <c r="V224" s="964"/>
    </row>
    <row r="225" s="908" customFormat="1" ht="15.95" customHeight="1" spans="1:22">
      <c r="A225" s="984"/>
      <c r="B225" s="983"/>
      <c r="C225" s="969" t="s">
        <v>824</v>
      </c>
      <c r="D225" s="983"/>
      <c r="E225" s="963"/>
      <c r="F225" s="963"/>
      <c r="G225" s="962" t="s">
        <v>814</v>
      </c>
      <c r="H225" s="963">
        <v>-14654852.69</v>
      </c>
      <c r="I225" s="963"/>
      <c r="J225" s="962" t="s">
        <v>814</v>
      </c>
      <c r="K225" s="963"/>
      <c r="L225" s="963"/>
      <c r="M225" s="962"/>
      <c r="N225" s="963"/>
      <c r="O225" s="963"/>
      <c r="P225" s="962"/>
      <c r="Q225" s="963"/>
      <c r="R225" s="963"/>
      <c r="S225" s="964"/>
      <c r="T225" s="965"/>
      <c r="U225" s="963"/>
      <c r="V225" s="964"/>
    </row>
    <row r="226" s="908" customFormat="1" ht="15.95" customHeight="1" spans="1:22">
      <c r="A226" s="984"/>
      <c r="B226" s="983"/>
      <c r="C226" s="983"/>
      <c r="D226" s="983"/>
      <c r="E226" s="963"/>
      <c r="F226" s="963"/>
      <c r="G226" s="962" t="s">
        <v>814</v>
      </c>
      <c r="H226" s="963"/>
      <c r="I226" s="963"/>
      <c r="J226" s="962" t="s">
        <v>814</v>
      </c>
      <c r="K226" s="963"/>
      <c r="L226" s="963"/>
      <c r="M226" s="962"/>
      <c r="N226" s="963"/>
      <c r="O226" s="963"/>
      <c r="P226" s="962"/>
      <c r="Q226" s="963"/>
      <c r="R226" s="963"/>
      <c r="S226" s="964"/>
      <c r="T226" s="965"/>
      <c r="U226" s="963"/>
      <c r="V226" s="964"/>
    </row>
    <row r="227" s="908" customFormat="1" ht="15.95" customHeight="1" spans="1:22">
      <c r="A227" s="981">
        <v>12</v>
      </c>
      <c r="B227" s="969" t="s">
        <v>844</v>
      </c>
      <c r="C227" s="969" t="s">
        <v>797</v>
      </c>
      <c r="D227" s="983"/>
      <c r="E227" s="963">
        <f>1259075.86+768326.4</f>
        <v>2027402.26</v>
      </c>
      <c r="F227" s="963"/>
      <c r="G227" s="962" t="s">
        <v>814</v>
      </c>
      <c r="H227" s="963">
        <v>1259075.86</v>
      </c>
      <c r="I227" s="963"/>
      <c r="J227" s="962" t="s">
        <v>814</v>
      </c>
      <c r="K227" s="963"/>
      <c r="L227" s="963"/>
      <c r="M227" s="962"/>
      <c r="N227" s="963"/>
      <c r="O227" s="963"/>
      <c r="P227" s="962"/>
      <c r="Q227" s="963"/>
      <c r="R227" s="963"/>
      <c r="S227" s="964"/>
      <c r="T227" s="965"/>
      <c r="U227" s="963"/>
      <c r="V227" s="964"/>
    </row>
    <row r="228" s="908" customFormat="1" ht="15.95" customHeight="1" spans="1:22">
      <c r="A228" s="985"/>
      <c r="B228" s="969"/>
      <c r="C228" s="969" t="s">
        <v>180</v>
      </c>
      <c r="D228" s="983"/>
      <c r="E228" s="963"/>
      <c r="F228" s="963">
        <v>2027402.26</v>
      </c>
      <c r="G228" s="962" t="s">
        <v>814</v>
      </c>
      <c r="H228" s="963"/>
      <c r="I228" s="963">
        <v>1259075.86</v>
      </c>
      <c r="J228" s="962" t="s">
        <v>814</v>
      </c>
      <c r="K228" s="963"/>
      <c r="L228" s="963"/>
      <c r="M228" s="962"/>
      <c r="N228" s="963"/>
      <c r="O228" s="963"/>
      <c r="P228" s="962"/>
      <c r="Q228" s="963"/>
      <c r="R228" s="963"/>
      <c r="S228" s="964"/>
      <c r="T228" s="965"/>
      <c r="U228" s="963"/>
      <c r="V228" s="964"/>
    </row>
    <row r="229" s="908" customFormat="1" ht="15.95" customHeight="1" spans="1:22">
      <c r="A229" s="984"/>
      <c r="B229" s="969"/>
      <c r="C229" s="969"/>
      <c r="D229" s="983"/>
      <c r="E229" s="963"/>
      <c r="F229" s="963"/>
      <c r="G229" s="962" t="s">
        <v>814</v>
      </c>
      <c r="H229" s="963"/>
      <c r="I229" s="963"/>
      <c r="J229" s="962" t="s">
        <v>814</v>
      </c>
      <c r="K229" s="963"/>
      <c r="L229" s="963"/>
      <c r="M229" s="962"/>
      <c r="N229" s="986"/>
      <c r="O229" s="986"/>
      <c r="P229" s="962"/>
      <c r="Q229" s="963"/>
      <c r="R229" s="963"/>
      <c r="S229" s="964"/>
      <c r="T229" s="965"/>
      <c r="U229" s="963"/>
      <c r="V229" s="964"/>
    </row>
    <row r="230" s="908" customFormat="1" ht="15.95" customHeight="1" spans="1:22">
      <c r="A230" s="984">
        <v>13</v>
      </c>
      <c r="B230" s="987" t="s">
        <v>845</v>
      </c>
      <c r="C230" s="969" t="s">
        <v>797</v>
      </c>
      <c r="D230" s="983"/>
      <c r="E230" s="988">
        <v>-239060.41</v>
      </c>
      <c r="F230" s="983"/>
      <c r="G230" s="962" t="s">
        <v>814</v>
      </c>
      <c r="H230" s="963"/>
      <c r="I230" s="963"/>
      <c r="J230" s="962"/>
      <c r="K230" s="963"/>
      <c r="L230" s="963"/>
      <c r="M230" s="962"/>
      <c r="N230" s="986"/>
      <c r="O230" s="986"/>
      <c r="P230" s="962"/>
      <c r="Q230" s="963"/>
      <c r="R230" s="963"/>
      <c r="S230" s="964"/>
      <c r="T230" s="965"/>
      <c r="U230" s="963"/>
      <c r="V230" s="964"/>
    </row>
    <row r="231" s="908" customFormat="1" ht="15.95" customHeight="1" spans="1:22">
      <c r="A231" s="984"/>
      <c r="B231" s="983"/>
      <c r="C231" s="969" t="s">
        <v>790</v>
      </c>
      <c r="D231" s="969"/>
      <c r="E231" s="983"/>
      <c r="F231" s="989">
        <v>-239060.41</v>
      </c>
      <c r="G231" s="962" t="s">
        <v>814</v>
      </c>
      <c r="H231" s="963"/>
      <c r="I231" s="963"/>
      <c r="J231" s="962"/>
      <c r="K231" s="963"/>
      <c r="L231" s="963"/>
      <c r="M231" s="962"/>
      <c r="N231" s="986"/>
      <c r="O231" s="986"/>
      <c r="P231" s="962"/>
      <c r="Q231" s="963"/>
      <c r="R231" s="963"/>
      <c r="S231" s="964"/>
      <c r="T231" s="965"/>
      <c r="U231" s="963"/>
      <c r="V231" s="964"/>
    </row>
    <row r="232" s="908" customFormat="1" ht="15.95" customHeight="1" spans="1:22">
      <c r="A232" s="984"/>
      <c r="B232" s="983"/>
      <c r="C232" s="983"/>
      <c r="D232" s="983"/>
      <c r="E232" s="983"/>
      <c r="F232" s="983"/>
      <c r="G232" s="983"/>
      <c r="H232" s="963"/>
      <c r="I232" s="963"/>
      <c r="J232" s="962"/>
      <c r="K232" s="963"/>
      <c r="L232" s="963"/>
      <c r="M232" s="962"/>
      <c r="N232" s="986"/>
      <c r="O232" s="986"/>
      <c r="P232" s="962"/>
      <c r="Q232" s="963"/>
      <c r="R232" s="963"/>
      <c r="S232" s="964"/>
      <c r="T232" s="965"/>
      <c r="U232" s="963"/>
      <c r="V232" s="964"/>
    </row>
    <row r="233" s="908" customFormat="1" ht="15.95" customHeight="1" spans="1:22">
      <c r="A233" s="984"/>
      <c r="B233" s="983"/>
      <c r="C233" s="969"/>
      <c r="D233" s="983"/>
      <c r="E233" s="983"/>
      <c r="F233" s="983"/>
      <c r="G233" s="983"/>
      <c r="H233" s="963"/>
      <c r="I233" s="963"/>
      <c r="J233" s="962"/>
      <c r="K233" s="963"/>
      <c r="L233" s="963"/>
      <c r="M233" s="962"/>
      <c r="N233" s="986"/>
      <c r="O233" s="986"/>
      <c r="P233" s="962"/>
      <c r="Q233" s="963"/>
      <c r="R233" s="963"/>
      <c r="S233" s="964"/>
      <c r="T233" s="965"/>
      <c r="U233" s="963"/>
      <c r="V233" s="964"/>
    </row>
    <row r="234" s="908" customFormat="1" ht="15.95" customHeight="1" spans="1:22">
      <c r="A234" s="984"/>
      <c r="B234" s="983"/>
      <c r="C234" s="969"/>
      <c r="D234" s="983"/>
      <c r="E234" s="983"/>
      <c r="F234" s="983"/>
      <c r="G234" s="983"/>
      <c r="H234" s="963"/>
      <c r="I234" s="963"/>
      <c r="J234" s="962"/>
      <c r="K234" s="963"/>
      <c r="L234" s="963"/>
      <c r="M234" s="962"/>
      <c r="N234" s="986"/>
      <c r="O234" s="986"/>
      <c r="P234" s="962"/>
      <c r="Q234" s="963"/>
      <c r="R234" s="963"/>
      <c r="S234" s="964"/>
      <c r="T234" s="965"/>
      <c r="U234" s="963"/>
      <c r="V234" s="964"/>
    </row>
    <row r="235" s="908" customFormat="1" ht="15.95" customHeight="1" spans="1:22">
      <c r="A235" s="984"/>
      <c r="B235" s="983"/>
      <c r="C235" s="969"/>
      <c r="D235" s="983"/>
      <c r="E235" s="983"/>
      <c r="F235" s="983"/>
      <c r="G235" s="983"/>
      <c r="H235" s="963"/>
      <c r="I235" s="963"/>
      <c r="J235" s="962"/>
      <c r="K235" s="963"/>
      <c r="L235" s="963"/>
      <c r="M235" s="962"/>
      <c r="N235" s="963"/>
      <c r="O235" s="963"/>
      <c r="P235" s="962"/>
      <c r="Q235" s="963"/>
      <c r="R235" s="963"/>
      <c r="S235" s="964"/>
      <c r="T235" s="965"/>
      <c r="U235" s="963"/>
      <c r="V235" s="964"/>
    </row>
    <row r="236" s="908" customFormat="1" ht="15.95" customHeight="1" spans="1:22">
      <c r="A236" s="984"/>
      <c r="B236" s="969"/>
      <c r="C236" s="983"/>
      <c r="D236" s="983"/>
      <c r="E236" s="983"/>
      <c r="F236" s="983"/>
      <c r="G236" s="983"/>
      <c r="H236" s="963"/>
      <c r="I236" s="963"/>
      <c r="J236" s="962"/>
      <c r="K236" s="963"/>
      <c r="L236" s="963"/>
      <c r="M236" s="962"/>
      <c r="N236" s="963"/>
      <c r="O236" s="963"/>
      <c r="P236" s="962"/>
      <c r="Q236" s="963"/>
      <c r="R236" s="963"/>
      <c r="S236" s="964"/>
      <c r="T236" s="965"/>
      <c r="U236" s="963"/>
      <c r="V236" s="964"/>
    </row>
    <row r="237" s="908" customFormat="1" ht="15.95" customHeight="1" spans="1:22">
      <c r="A237" s="984"/>
      <c r="B237" s="969"/>
      <c r="C237" s="983"/>
      <c r="D237" s="983"/>
      <c r="E237" s="983"/>
      <c r="F237" s="983"/>
      <c r="G237" s="983"/>
      <c r="H237" s="963"/>
      <c r="I237" s="963"/>
      <c r="J237" s="962"/>
      <c r="K237" s="963"/>
      <c r="L237" s="963"/>
      <c r="M237" s="962"/>
      <c r="N237" s="963"/>
      <c r="O237" s="963"/>
      <c r="P237" s="962"/>
      <c r="Q237" s="963"/>
      <c r="R237" s="963"/>
      <c r="S237" s="964"/>
      <c r="T237" s="965"/>
      <c r="U237" s="963"/>
      <c r="V237" s="964"/>
    </row>
    <row r="238" s="908" customFormat="1" ht="15.95" customHeight="1" spans="1:22">
      <c r="A238" s="984"/>
      <c r="B238" s="983"/>
      <c r="C238" s="983"/>
      <c r="D238" s="983"/>
      <c r="E238" s="983"/>
      <c r="F238" s="983"/>
      <c r="G238" s="983"/>
      <c r="H238" s="963"/>
      <c r="I238" s="963"/>
      <c r="J238" s="962"/>
      <c r="K238" s="963"/>
      <c r="L238" s="963"/>
      <c r="M238" s="962"/>
      <c r="N238" s="963"/>
      <c r="O238" s="963"/>
      <c r="P238" s="962"/>
      <c r="Q238" s="963"/>
      <c r="R238" s="963"/>
      <c r="S238" s="964"/>
      <c r="T238" s="965"/>
      <c r="U238" s="963"/>
      <c r="V238" s="964"/>
    </row>
    <row r="239" s="908" customFormat="1" ht="15.95" customHeight="1" spans="1:22">
      <c r="A239" s="984"/>
      <c r="B239" s="983"/>
      <c r="C239" s="983"/>
      <c r="D239" s="969"/>
      <c r="E239" s="969"/>
      <c r="F239" s="969"/>
      <c r="G239" s="969"/>
      <c r="H239" s="963"/>
      <c r="I239" s="963"/>
      <c r="J239" s="962"/>
      <c r="K239" s="963"/>
      <c r="L239" s="963"/>
      <c r="M239" s="962"/>
      <c r="N239" s="963"/>
      <c r="O239" s="963"/>
      <c r="P239" s="962"/>
      <c r="Q239" s="963"/>
      <c r="R239" s="963"/>
      <c r="S239" s="964"/>
      <c r="T239" s="965"/>
      <c r="U239" s="963"/>
      <c r="V239" s="964"/>
    </row>
    <row r="240" s="908" customFormat="1" ht="15.95" customHeight="1" spans="1:22">
      <c r="A240" s="984"/>
      <c r="B240" s="983"/>
      <c r="C240" s="969"/>
      <c r="D240" s="969"/>
      <c r="E240" s="969"/>
      <c r="F240" s="969"/>
      <c r="G240" s="969"/>
      <c r="H240" s="963"/>
      <c r="I240" s="963"/>
      <c r="J240" s="962"/>
      <c r="K240" s="963"/>
      <c r="L240" s="963"/>
      <c r="M240" s="962"/>
      <c r="N240" s="963"/>
      <c r="O240" s="963"/>
      <c r="P240" s="962"/>
      <c r="Q240" s="963"/>
      <c r="R240" s="963"/>
      <c r="S240" s="964"/>
      <c r="T240" s="965"/>
      <c r="U240" s="963"/>
      <c r="V240" s="964"/>
    </row>
    <row r="241" s="908" customFormat="1" ht="15.95" customHeight="1" spans="1:22">
      <c r="A241" s="984"/>
      <c r="B241" s="983"/>
      <c r="C241" s="983"/>
      <c r="D241" s="983"/>
      <c r="E241" s="983"/>
      <c r="F241" s="983"/>
      <c r="G241" s="983"/>
      <c r="H241" s="963"/>
      <c r="I241" s="963"/>
      <c r="J241" s="962"/>
      <c r="K241" s="963"/>
      <c r="L241" s="963"/>
      <c r="M241" s="962"/>
      <c r="N241" s="963"/>
      <c r="O241" s="963"/>
      <c r="P241" s="962"/>
      <c r="Q241" s="963"/>
      <c r="R241" s="963"/>
      <c r="S241" s="964"/>
      <c r="T241" s="965"/>
      <c r="U241" s="963"/>
      <c r="V241" s="964"/>
    </row>
    <row r="242" s="908" customFormat="1" ht="15.95" customHeight="1" spans="1:22">
      <c r="A242" s="984"/>
      <c r="B242" s="969"/>
      <c r="C242" s="983"/>
      <c r="D242" s="983"/>
      <c r="E242" s="983"/>
      <c r="F242" s="983"/>
      <c r="G242" s="983"/>
      <c r="H242" s="963"/>
      <c r="I242" s="963"/>
      <c r="J242" s="962"/>
      <c r="K242" s="963"/>
      <c r="L242" s="963"/>
      <c r="M242" s="962"/>
      <c r="N242" s="963"/>
      <c r="O242" s="963"/>
      <c r="P242" s="962"/>
      <c r="Q242" s="963"/>
      <c r="R242" s="963"/>
      <c r="S242" s="964"/>
      <c r="T242" s="965"/>
      <c r="U242" s="963"/>
      <c r="V242" s="964"/>
    </row>
    <row r="243" s="908" customFormat="1" ht="15.95" customHeight="1" spans="1:22">
      <c r="A243" s="984"/>
      <c r="B243" s="969"/>
      <c r="C243" s="969"/>
      <c r="D243" s="969"/>
      <c r="E243" s="969"/>
      <c r="F243" s="969"/>
      <c r="G243" s="969"/>
      <c r="H243" s="963"/>
      <c r="I243" s="963"/>
      <c r="J243" s="962"/>
      <c r="K243" s="963"/>
      <c r="L243" s="963"/>
      <c r="M243" s="962"/>
      <c r="N243" s="963"/>
      <c r="O243" s="963"/>
      <c r="P243" s="962"/>
      <c r="Q243" s="963"/>
      <c r="R243" s="963"/>
      <c r="S243" s="964"/>
      <c r="T243" s="965"/>
      <c r="U243" s="963"/>
      <c r="V243" s="964"/>
    </row>
    <row r="244" s="908" customFormat="1" ht="15.95" customHeight="1" spans="1:22">
      <c r="A244" s="984"/>
      <c r="B244" s="983"/>
      <c r="C244" s="969"/>
      <c r="D244" s="969"/>
      <c r="E244" s="969"/>
      <c r="F244" s="969"/>
      <c r="G244" s="969"/>
      <c r="H244" s="963"/>
      <c r="I244" s="963"/>
      <c r="J244" s="962"/>
      <c r="K244" s="963"/>
      <c r="L244" s="963"/>
      <c r="M244" s="962"/>
      <c r="N244" s="963"/>
      <c r="O244" s="963"/>
      <c r="P244" s="962"/>
      <c r="Q244" s="963"/>
      <c r="R244" s="963"/>
      <c r="S244" s="964"/>
      <c r="T244" s="965"/>
      <c r="U244" s="963"/>
      <c r="V244" s="964"/>
    </row>
    <row r="245" s="908" customFormat="1" ht="15.95" customHeight="1" spans="1:22">
      <c r="A245" s="984"/>
      <c r="B245" s="983"/>
      <c r="C245" s="969"/>
      <c r="D245" s="983"/>
      <c r="E245" s="983"/>
      <c r="F245" s="983"/>
      <c r="G245" s="983"/>
      <c r="H245" s="963"/>
      <c r="I245" s="963"/>
      <c r="J245" s="962"/>
      <c r="K245" s="963"/>
      <c r="L245" s="963"/>
      <c r="M245" s="962"/>
      <c r="N245" s="963"/>
      <c r="O245" s="963"/>
      <c r="P245" s="962"/>
      <c r="Q245" s="963"/>
      <c r="R245" s="963"/>
      <c r="S245" s="964"/>
      <c r="T245" s="965"/>
      <c r="U245" s="963"/>
      <c r="V245" s="964"/>
    </row>
    <row r="246" s="908" customFormat="1" ht="15.95" customHeight="1" spans="1:22">
      <c r="A246" s="984"/>
      <c r="B246" s="983"/>
      <c r="C246" s="969"/>
      <c r="D246" s="983"/>
      <c r="E246" s="983"/>
      <c r="F246" s="983"/>
      <c r="G246" s="983"/>
      <c r="H246" s="963"/>
      <c r="I246" s="963"/>
      <c r="J246" s="962"/>
      <c r="K246" s="963"/>
      <c r="L246" s="963"/>
      <c r="M246" s="962"/>
      <c r="N246" s="963"/>
      <c r="O246" s="963"/>
      <c r="P246" s="962"/>
      <c r="Q246" s="963"/>
      <c r="R246" s="963"/>
      <c r="S246" s="964"/>
      <c r="T246" s="965"/>
      <c r="U246" s="963"/>
      <c r="V246" s="964"/>
    </row>
    <row r="247" s="908" customFormat="1" ht="15.95" customHeight="1" spans="1:22">
      <c r="A247" s="984"/>
      <c r="B247" s="983"/>
      <c r="C247" s="983"/>
      <c r="D247" s="983"/>
      <c r="E247" s="983"/>
      <c r="F247" s="983"/>
      <c r="G247" s="983"/>
      <c r="H247" s="963"/>
      <c r="I247" s="963"/>
      <c r="J247" s="962"/>
      <c r="K247" s="963"/>
      <c r="L247" s="963"/>
      <c r="M247" s="962"/>
      <c r="N247" s="963"/>
      <c r="O247" s="963"/>
      <c r="P247" s="962"/>
      <c r="Q247" s="963"/>
      <c r="R247" s="963"/>
      <c r="S247" s="964"/>
      <c r="T247" s="965"/>
      <c r="U247" s="963"/>
      <c r="V247" s="964"/>
    </row>
    <row r="248" s="908" customFormat="1" ht="15.95" customHeight="1" spans="1:22">
      <c r="A248" s="984"/>
      <c r="B248" s="969"/>
      <c r="C248" s="983"/>
      <c r="D248" s="963"/>
      <c r="E248" s="963"/>
      <c r="F248" s="963"/>
      <c r="G248" s="963"/>
      <c r="H248" s="963"/>
      <c r="I248" s="963"/>
      <c r="J248" s="962"/>
      <c r="K248" s="963"/>
      <c r="L248" s="963"/>
      <c r="M248" s="962"/>
      <c r="N248" s="963"/>
      <c r="O248" s="963"/>
      <c r="P248" s="962"/>
      <c r="Q248" s="963"/>
      <c r="R248" s="963"/>
      <c r="S248" s="964"/>
      <c r="T248" s="965"/>
      <c r="U248" s="963"/>
      <c r="V248" s="964"/>
    </row>
    <row r="249" s="908" customFormat="1" ht="15.95" customHeight="1" spans="1:22">
      <c r="A249" s="984"/>
      <c r="B249" s="983"/>
      <c r="C249" s="983"/>
      <c r="D249" s="969"/>
      <c r="E249" s="969"/>
      <c r="F249" s="969"/>
      <c r="G249" s="969"/>
      <c r="H249" s="963"/>
      <c r="I249" s="963"/>
      <c r="J249" s="962"/>
      <c r="K249" s="963"/>
      <c r="L249" s="963"/>
      <c r="M249" s="962"/>
      <c r="N249" s="963"/>
      <c r="O249" s="963"/>
      <c r="P249" s="962"/>
      <c r="Q249" s="963"/>
      <c r="R249" s="963"/>
      <c r="S249" s="964"/>
      <c r="T249" s="965"/>
      <c r="U249" s="963"/>
      <c r="V249" s="964"/>
    </row>
    <row r="250" s="908" customFormat="1" ht="15.95" customHeight="1" spans="1:22">
      <c r="A250" s="984"/>
      <c r="B250" s="983"/>
      <c r="C250" s="983"/>
      <c r="D250" s="969"/>
      <c r="E250" s="969"/>
      <c r="F250" s="969"/>
      <c r="G250" s="969"/>
      <c r="H250" s="963"/>
      <c r="I250" s="963"/>
      <c r="J250" s="962"/>
      <c r="K250" s="963"/>
      <c r="L250" s="963"/>
      <c r="M250" s="962"/>
      <c r="N250" s="963"/>
      <c r="O250" s="963"/>
      <c r="P250" s="962"/>
      <c r="Q250" s="963"/>
      <c r="R250" s="963"/>
      <c r="S250" s="964"/>
      <c r="T250" s="965"/>
      <c r="U250" s="963"/>
      <c r="V250" s="964"/>
    </row>
    <row r="251" s="908" customFormat="1" ht="15.95" customHeight="1" spans="1:22">
      <c r="A251" s="984"/>
      <c r="B251" s="983"/>
      <c r="C251" s="969"/>
      <c r="D251" s="969"/>
      <c r="E251" s="969"/>
      <c r="F251" s="969"/>
      <c r="G251" s="969"/>
      <c r="H251" s="963"/>
      <c r="I251" s="963"/>
      <c r="J251" s="962"/>
      <c r="K251" s="963"/>
      <c r="L251" s="963"/>
      <c r="M251" s="962"/>
      <c r="N251" s="963"/>
      <c r="O251" s="963"/>
      <c r="P251" s="962"/>
      <c r="Q251" s="963"/>
      <c r="R251" s="963"/>
      <c r="S251" s="964"/>
      <c r="T251" s="965"/>
      <c r="U251" s="963"/>
      <c r="V251" s="964"/>
    </row>
    <row r="252" s="908" customFormat="1" ht="15.95" customHeight="1" spans="1:22">
      <c r="A252" s="984"/>
      <c r="B252" s="983"/>
      <c r="C252" s="969"/>
      <c r="D252" s="969"/>
      <c r="E252" s="969"/>
      <c r="F252" s="969"/>
      <c r="G252" s="969"/>
      <c r="H252" s="963"/>
      <c r="I252" s="963"/>
      <c r="J252" s="962"/>
      <c r="K252" s="963"/>
      <c r="L252" s="963"/>
      <c r="M252" s="962"/>
      <c r="N252" s="963"/>
      <c r="O252" s="963"/>
      <c r="P252" s="962"/>
      <c r="Q252" s="963"/>
      <c r="R252" s="963"/>
      <c r="S252" s="964"/>
      <c r="T252" s="965"/>
      <c r="U252" s="963"/>
      <c r="V252" s="964"/>
    </row>
    <row r="253" s="908" customFormat="1" ht="15.95" customHeight="1" spans="1:22">
      <c r="A253" s="984"/>
      <c r="B253" s="983"/>
      <c r="C253" s="969"/>
      <c r="D253" s="969"/>
      <c r="E253" s="969"/>
      <c r="F253" s="969"/>
      <c r="G253" s="969"/>
      <c r="H253" s="963"/>
      <c r="I253" s="963"/>
      <c r="J253" s="962"/>
      <c r="K253" s="963"/>
      <c r="L253" s="963"/>
      <c r="M253" s="962"/>
      <c r="N253" s="963"/>
      <c r="O253" s="963"/>
      <c r="P253" s="962"/>
      <c r="Q253" s="963"/>
      <c r="R253" s="963"/>
      <c r="S253" s="964"/>
      <c r="T253" s="965"/>
      <c r="U253" s="963"/>
      <c r="V253" s="964"/>
    </row>
    <row r="254" s="908" customFormat="1" ht="15.95" customHeight="1" spans="1:22">
      <c r="A254" s="984"/>
      <c r="B254" s="983"/>
      <c r="C254" s="969"/>
      <c r="D254" s="969"/>
      <c r="E254" s="969"/>
      <c r="F254" s="969"/>
      <c r="G254" s="969"/>
      <c r="H254" s="963"/>
      <c r="I254" s="963"/>
      <c r="J254" s="962"/>
      <c r="K254" s="963"/>
      <c r="L254" s="963"/>
      <c r="M254" s="962"/>
      <c r="N254" s="963"/>
      <c r="O254" s="963"/>
      <c r="P254" s="962"/>
      <c r="Q254" s="963"/>
      <c r="R254" s="963"/>
      <c r="S254" s="964"/>
      <c r="T254" s="965"/>
      <c r="U254" s="963"/>
      <c r="V254" s="964"/>
    </row>
    <row r="255" s="908" customFormat="1" ht="15.95" customHeight="1" spans="1:22">
      <c r="A255" s="984"/>
      <c r="B255" s="983"/>
      <c r="C255" s="969"/>
      <c r="D255" s="969"/>
      <c r="E255" s="969"/>
      <c r="F255" s="969"/>
      <c r="G255" s="969"/>
      <c r="H255" s="963"/>
      <c r="I255" s="963"/>
      <c r="J255" s="962"/>
      <c r="K255" s="963"/>
      <c r="L255" s="963"/>
      <c r="M255" s="962"/>
      <c r="N255" s="963"/>
      <c r="O255" s="963"/>
      <c r="P255" s="962"/>
      <c r="Q255" s="963"/>
      <c r="R255" s="963"/>
      <c r="S255" s="964"/>
      <c r="T255" s="965"/>
      <c r="U255" s="963"/>
      <c r="V255" s="964"/>
    </row>
    <row r="256" s="908" customFormat="1" ht="15.95" customHeight="1" spans="1:22">
      <c r="A256" s="984"/>
      <c r="B256" s="983"/>
      <c r="C256" s="983"/>
      <c r="D256" s="983"/>
      <c r="E256" s="983"/>
      <c r="F256" s="983"/>
      <c r="G256" s="983"/>
      <c r="H256" s="963"/>
      <c r="I256" s="963"/>
      <c r="J256" s="962"/>
      <c r="K256" s="963"/>
      <c r="L256" s="963"/>
      <c r="M256" s="962"/>
      <c r="N256" s="963"/>
      <c r="O256" s="963"/>
      <c r="P256" s="962"/>
      <c r="Q256" s="963"/>
      <c r="R256" s="963"/>
      <c r="S256" s="964"/>
      <c r="T256" s="965"/>
      <c r="U256" s="963"/>
      <c r="V256" s="964"/>
    </row>
    <row r="257" s="908" customFormat="1" ht="15.95" customHeight="1" spans="1:22">
      <c r="A257" s="984"/>
      <c r="B257" s="969"/>
      <c r="C257" s="983"/>
      <c r="D257" s="983"/>
      <c r="E257" s="983"/>
      <c r="F257" s="983"/>
      <c r="G257" s="983"/>
      <c r="H257" s="963"/>
      <c r="I257" s="963"/>
      <c r="J257" s="962"/>
      <c r="K257" s="963"/>
      <c r="L257" s="963"/>
      <c r="M257" s="962"/>
      <c r="N257" s="963"/>
      <c r="O257" s="963"/>
      <c r="P257" s="962"/>
      <c r="Q257" s="963"/>
      <c r="R257" s="963"/>
      <c r="S257" s="964"/>
      <c r="T257" s="965"/>
      <c r="U257" s="963"/>
      <c r="V257" s="964"/>
    </row>
    <row r="258" s="908" customFormat="1" ht="15.95" customHeight="1" spans="1:22">
      <c r="A258" s="984"/>
      <c r="B258" s="969"/>
      <c r="C258" s="983"/>
      <c r="D258" s="983"/>
      <c r="E258" s="983"/>
      <c r="F258" s="983"/>
      <c r="G258" s="983"/>
      <c r="H258" s="963"/>
      <c r="I258" s="963"/>
      <c r="J258" s="962"/>
      <c r="K258" s="963"/>
      <c r="L258" s="963"/>
      <c r="M258" s="962"/>
      <c r="N258" s="963"/>
      <c r="O258" s="963"/>
      <c r="P258" s="962"/>
      <c r="Q258" s="963"/>
      <c r="R258" s="963"/>
      <c r="S258" s="964"/>
      <c r="T258" s="965"/>
      <c r="U258" s="963"/>
      <c r="V258" s="964"/>
    </row>
    <row r="259" s="908" customFormat="1" ht="15.95" customHeight="1" spans="1:22">
      <c r="A259" s="984"/>
      <c r="B259" s="983"/>
      <c r="C259" s="983"/>
      <c r="D259" s="969"/>
      <c r="E259" s="969"/>
      <c r="F259" s="969"/>
      <c r="G259" s="969"/>
      <c r="H259" s="963"/>
      <c r="I259" s="963"/>
      <c r="J259" s="962"/>
      <c r="K259" s="963"/>
      <c r="L259" s="963"/>
      <c r="M259" s="962"/>
      <c r="N259" s="963"/>
      <c r="O259" s="963"/>
      <c r="P259" s="962"/>
      <c r="Q259" s="963"/>
      <c r="R259" s="963"/>
      <c r="S259" s="964"/>
      <c r="T259" s="965"/>
      <c r="U259" s="963"/>
      <c r="V259" s="964"/>
    </row>
    <row r="260" s="908" customFormat="1" ht="15.95" customHeight="1" spans="1:22">
      <c r="A260" s="984"/>
      <c r="B260" s="983"/>
      <c r="C260" s="969"/>
      <c r="D260" s="969"/>
      <c r="E260" s="969"/>
      <c r="F260" s="969"/>
      <c r="G260" s="969"/>
      <c r="H260" s="963"/>
      <c r="I260" s="963"/>
      <c r="J260" s="962"/>
      <c r="K260" s="963"/>
      <c r="L260" s="963"/>
      <c r="M260" s="962"/>
      <c r="N260" s="963"/>
      <c r="O260" s="963"/>
      <c r="P260" s="962"/>
      <c r="Q260" s="963"/>
      <c r="R260" s="963"/>
      <c r="S260" s="964"/>
      <c r="T260" s="965"/>
      <c r="U260" s="963"/>
      <c r="V260" s="964"/>
    </row>
    <row r="261" s="908" customFormat="1" ht="15.95" customHeight="1" spans="1:22">
      <c r="A261" s="984"/>
      <c r="B261" s="983"/>
      <c r="C261" s="983"/>
      <c r="D261" s="969"/>
      <c r="E261" s="969"/>
      <c r="F261" s="969"/>
      <c r="G261" s="969"/>
      <c r="H261" s="963"/>
      <c r="I261" s="963"/>
      <c r="J261" s="962"/>
      <c r="K261" s="963"/>
      <c r="L261" s="963"/>
      <c r="M261" s="962"/>
      <c r="N261" s="963"/>
      <c r="O261" s="963"/>
      <c r="P261" s="962"/>
      <c r="Q261" s="963"/>
      <c r="R261" s="963"/>
      <c r="S261" s="964"/>
      <c r="T261" s="965"/>
      <c r="U261" s="963"/>
      <c r="V261" s="964"/>
    </row>
    <row r="262" s="908" customFormat="1" ht="15.95" customHeight="1" spans="1:22">
      <c r="A262" s="984"/>
      <c r="B262" s="983"/>
      <c r="C262" s="983"/>
      <c r="D262" s="969"/>
      <c r="E262" s="969"/>
      <c r="F262" s="969"/>
      <c r="G262" s="969"/>
      <c r="H262" s="963"/>
      <c r="I262" s="963"/>
      <c r="J262" s="962"/>
      <c r="K262" s="963"/>
      <c r="L262" s="963"/>
      <c r="M262" s="962"/>
      <c r="N262" s="963"/>
      <c r="O262" s="963"/>
      <c r="P262" s="962"/>
      <c r="Q262" s="963"/>
      <c r="R262" s="963"/>
      <c r="S262" s="964"/>
      <c r="T262" s="965"/>
      <c r="U262" s="963"/>
      <c r="V262" s="964"/>
    </row>
    <row r="263" s="908" customFormat="1" ht="15.95" customHeight="1" spans="1:22">
      <c r="A263" s="984"/>
      <c r="B263" s="983"/>
      <c r="C263" s="983"/>
      <c r="D263" s="969"/>
      <c r="E263" s="969"/>
      <c r="F263" s="969"/>
      <c r="G263" s="969"/>
      <c r="H263" s="963"/>
      <c r="I263" s="963"/>
      <c r="J263" s="962"/>
      <c r="K263" s="963"/>
      <c r="L263" s="963"/>
      <c r="M263" s="962"/>
      <c r="N263" s="963"/>
      <c r="O263" s="963"/>
      <c r="P263" s="962"/>
      <c r="Q263" s="963"/>
      <c r="R263" s="963"/>
      <c r="S263" s="964"/>
      <c r="T263" s="965"/>
      <c r="U263" s="963"/>
      <c r="V263" s="964"/>
    </row>
    <row r="264" s="908" customFormat="1" ht="15.95" customHeight="1" spans="1:22">
      <c r="A264" s="984"/>
      <c r="B264" s="983"/>
      <c r="C264" s="983"/>
      <c r="D264" s="969"/>
      <c r="E264" s="969"/>
      <c r="F264" s="969"/>
      <c r="G264" s="969"/>
      <c r="H264" s="963"/>
      <c r="I264" s="963"/>
      <c r="J264" s="962"/>
      <c r="K264" s="963"/>
      <c r="L264" s="963"/>
      <c r="M264" s="962"/>
      <c r="N264" s="963"/>
      <c r="O264" s="963"/>
      <c r="P264" s="962"/>
      <c r="Q264" s="963"/>
      <c r="R264" s="963"/>
      <c r="S264" s="964"/>
      <c r="T264" s="965"/>
      <c r="U264" s="963"/>
      <c r="V264" s="964"/>
    </row>
    <row r="265" s="908" customFormat="1" ht="15.95" customHeight="1" spans="1:22">
      <c r="A265" s="984"/>
      <c r="B265" s="983"/>
      <c r="C265" s="969"/>
      <c r="D265" s="969"/>
      <c r="E265" s="969"/>
      <c r="F265" s="969"/>
      <c r="G265" s="969"/>
      <c r="H265" s="963"/>
      <c r="I265" s="963"/>
      <c r="J265" s="962"/>
      <c r="K265" s="963"/>
      <c r="L265" s="963"/>
      <c r="M265" s="962"/>
      <c r="N265" s="963"/>
      <c r="O265" s="963"/>
      <c r="P265" s="962"/>
      <c r="Q265" s="963"/>
      <c r="R265" s="963"/>
      <c r="S265" s="964"/>
      <c r="T265" s="965"/>
      <c r="U265" s="963"/>
      <c r="V265" s="964"/>
    </row>
    <row r="266" s="908" customFormat="1" ht="15.95" customHeight="1" spans="1:22">
      <c r="A266" s="984"/>
      <c r="B266" s="983"/>
      <c r="C266" s="983"/>
      <c r="D266" s="990"/>
      <c r="E266" s="990"/>
      <c r="F266" s="990"/>
      <c r="G266" s="990"/>
      <c r="H266" s="963"/>
      <c r="I266" s="963"/>
      <c r="J266" s="962"/>
      <c r="K266" s="963"/>
      <c r="L266" s="963"/>
      <c r="M266" s="962"/>
      <c r="N266" s="963"/>
      <c r="O266" s="963"/>
      <c r="P266" s="962"/>
      <c r="Q266" s="963"/>
      <c r="R266" s="963"/>
      <c r="S266" s="964"/>
      <c r="T266" s="965"/>
      <c r="U266" s="963"/>
      <c r="V266" s="964"/>
    </row>
    <row r="267" s="908" customFormat="1" ht="15.95" customHeight="1" spans="1:22">
      <c r="A267" s="984"/>
      <c r="B267" s="969"/>
      <c r="C267" s="983"/>
      <c r="D267" s="990"/>
      <c r="E267" s="990"/>
      <c r="F267" s="990"/>
      <c r="G267" s="990"/>
      <c r="H267" s="963"/>
      <c r="I267" s="963"/>
      <c r="J267" s="962"/>
      <c r="K267" s="963"/>
      <c r="L267" s="963"/>
      <c r="M267" s="962"/>
      <c r="N267" s="963"/>
      <c r="O267" s="963"/>
      <c r="P267" s="962"/>
      <c r="Q267" s="963"/>
      <c r="R267" s="963"/>
      <c r="S267" s="964"/>
      <c r="T267" s="965"/>
      <c r="U267" s="963"/>
      <c r="V267" s="964"/>
    </row>
    <row r="268" s="908" customFormat="1" ht="15.95" customHeight="1" spans="1:22">
      <c r="A268" s="984"/>
      <c r="B268" s="983"/>
      <c r="C268" s="983"/>
      <c r="D268" s="969"/>
      <c r="E268" s="969"/>
      <c r="F268" s="969"/>
      <c r="G268" s="969"/>
      <c r="H268" s="963"/>
      <c r="I268" s="963"/>
      <c r="J268" s="962"/>
      <c r="K268" s="963"/>
      <c r="L268" s="963"/>
      <c r="M268" s="962"/>
      <c r="N268" s="963"/>
      <c r="O268" s="963"/>
      <c r="P268" s="962"/>
      <c r="Q268" s="963"/>
      <c r="R268" s="963"/>
      <c r="S268" s="964"/>
      <c r="T268" s="965"/>
      <c r="U268" s="963"/>
      <c r="V268" s="964"/>
    </row>
    <row r="269" s="908" customFormat="1" ht="15.95" customHeight="1" spans="1:22">
      <c r="A269" s="984"/>
      <c r="B269" s="983"/>
      <c r="C269" s="983"/>
      <c r="D269" s="969"/>
      <c r="E269" s="969"/>
      <c r="F269" s="969"/>
      <c r="G269" s="969"/>
      <c r="H269" s="963"/>
      <c r="I269" s="963"/>
      <c r="J269" s="962"/>
      <c r="K269" s="963"/>
      <c r="L269" s="963"/>
      <c r="M269" s="962"/>
      <c r="N269" s="963"/>
      <c r="O269" s="963"/>
      <c r="P269" s="962"/>
      <c r="Q269" s="963"/>
      <c r="R269" s="963"/>
      <c r="S269" s="964"/>
      <c r="T269" s="965"/>
      <c r="U269" s="963"/>
      <c r="V269" s="964"/>
    </row>
    <row r="270" s="908" customFormat="1" ht="15.95" customHeight="1" spans="1:22">
      <c r="A270" s="984"/>
      <c r="B270" s="983"/>
      <c r="C270" s="983"/>
      <c r="D270" s="969"/>
      <c r="E270" s="969"/>
      <c r="F270" s="969"/>
      <c r="G270" s="969"/>
      <c r="H270" s="963"/>
      <c r="I270" s="963"/>
      <c r="J270" s="962"/>
      <c r="K270" s="963"/>
      <c r="L270" s="963"/>
      <c r="M270" s="962"/>
      <c r="N270" s="963"/>
      <c r="O270" s="963"/>
      <c r="P270" s="962"/>
      <c r="Q270" s="963"/>
      <c r="R270" s="963"/>
      <c r="S270" s="964"/>
      <c r="T270" s="965"/>
      <c r="U270" s="963"/>
      <c r="V270" s="964"/>
    </row>
    <row r="271" s="908" customFormat="1" ht="15.95" customHeight="1" spans="1:22">
      <c r="A271" s="984"/>
      <c r="B271" s="983"/>
      <c r="C271" s="969"/>
      <c r="D271" s="969"/>
      <c r="E271" s="969"/>
      <c r="F271" s="969"/>
      <c r="G271" s="969"/>
      <c r="H271" s="963"/>
      <c r="I271" s="963"/>
      <c r="J271" s="962"/>
      <c r="K271" s="963"/>
      <c r="L271" s="963"/>
      <c r="M271" s="962"/>
      <c r="N271" s="963"/>
      <c r="O271" s="963"/>
      <c r="P271" s="962"/>
      <c r="Q271" s="963"/>
      <c r="R271" s="963"/>
      <c r="S271" s="964"/>
      <c r="T271" s="965"/>
      <c r="U271" s="963"/>
      <c r="V271" s="964"/>
    </row>
    <row r="272" s="908" customFormat="1" ht="15.95" customHeight="1" spans="1:22">
      <c r="A272" s="984"/>
      <c r="B272" s="983"/>
      <c r="C272" s="983"/>
      <c r="D272" s="969"/>
      <c r="E272" s="969"/>
      <c r="F272" s="969"/>
      <c r="G272" s="969"/>
      <c r="H272" s="963"/>
      <c r="I272" s="963"/>
      <c r="J272" s="962"/>
      <c r="K272" s="963"/>
      <c r="L272" s="963"/>
      <c r="M272" s="962"/>
      <c r="N272" s="963"/>
      <c r="O272" s="963"/>
      <c r="P272" s="962"/>
      <c r="Q272" s="963"/>
      <c r="R272" s="963"/>
      <c r="S272" s="964"/>
      <c r="T272" s="965"/>
      <c r="U272" s="963"/>
      <c r="V272" s="964"/>
    </row>
    <row r="273" s="908" customFormat="1" ht="15.95" customHeight="1" spans="1:22">
      <c r="A273" s="984"/>
      <c r="B273" s="983"/>
      <c r="C273" s="983"/>
      <c r="D273" s="969"/>
      <c r="E273" s="969"/>
      <c r="F273" s="969"/>
      <c r="G273" s="969"/>
      <c r="H273" s="963"/>
      <c r="I273" s="963"/>
      <c r="J273" s="962"/>
      <c r="K273" s="963"/>
      <c r="L273" s="963"/>
      <c r="M273" s="962"/>
      <c r="N273" s="963"/>
      <c r="O273" s="963"/>
      <c r="P273" s="962"/>
      <c r="Q273" s="963"/>
      <c r="R273" s="963"/>
      <c r="S273" s="964"/>
      <c r="T273" s="965"/>
      <c r="U273" s="963"/>
      <c r="V273" s="964"/>
    </row>
    <row r="274" s="908" customFormat="1" ht="15.95" customHeight="1" spans="1:22">
      <c r="A274" s="984"/>
      <c r="B274" s="983"/>
      <c r="C274" s="983"/>
      <c r="D274" s="969"/>
      <c r="E274" s="969"/>
      <c r="F274" s="969"/>
      <c r="G274" s="969"/>
      <c r="H274" s="963"/>
      <c r="I274" s="963"/>
      <c r="J274" s="962"/>
      <c r="K274" s="963"/>
      <c r="L274" s="963"/>
      <c r="M274" s="962"/>
      <c r="N274" s="963"/>
      <c r="O274" s="963"/>
      <c r="P274" s="962"/>
      <c r="Q274" s="963"/>
      <c r="R274" s="963"/>
      <c r="S274" s="964"/>
      <c r="T274" s="965"/>
      <c r="U274" s="963"/>
      <c r="V274" s="964"/>
    </row>
    <row r="275" s="908" customFormat="1" ht="15.95" customHeight="1" spans="1:22">
      <c r="A275" s="984"/>
      <c r="B275" s="983"/>
      <c r="C275" s="983"/>
      <c r="D275" s="969"/>
      <c r="E275" s="969"/>
      <c r="F275" s="969"/>
      <c r="G275" s="969"/>
      <c r="H275" s="963"/>
      <c r="I275" s="963"/>
      <c r="J275" s="962"/>
      <c r="K275" s="963"/>
      <c r="L275" s="963"/>
      <c r="M275" s="962"/>
      <c r="N275" s="963"/>
      <c r="O275" s="963"/>
      <c r="P275" s="962"/>
      <c r="Q275" s="963"/>
      <c r="R275" s="963"/>
      <c r="S275" s="964"/>
      <c r="T275" s="965"/>
      <c r="U275" s="963"/>
      <c r="V275" s="964"/>
    </row>
    <row r="276" s="908" customFormat="1" ht="15.95" customHeight="1" spans="1:22">
      <c r="A276" s="984"/>
      <c r="B276" s="983"/>
      <c r="C276" s="983"/>
      <c r="D276" s="969"/>
      <c r="E276" s="969"/>
      <c r="F276" s="969"/>
      <c r="G276" s="969"/>
      <c r="H276" s="963"/>
      <c r="I276" s="963"/>
      <c r="J276" s="962"/>
      <c r="K276" s="963"/>
      <c r="L276" s="963"/>
      <c r="M276" s="962"/>
      <c r="N276" s="963"/>
      <c r="O276" s="963"/>
      <c r="P276" s="962"/>
      <c r="Q276" s="963"/>
      <c r="R276" s="963"/>
      <c r="S276" s="964"/>
      <c r="T276" s="965"/>
      <c r="U276" s="963"/>
      <c r="V276" s="964"/>
    </row>
    <row r="277" s="908" customFormat="1" ht="15.95" customHeight="1" spans="1:22">
      <c r="A277" s="984"/>
      <c r="B277" s="983"/>
      <c r="C277" s="983"/>
      <c r="D277" s="969"/>
      <c r="E277" s="969"/>
      <c r="F277" s="969"/>
      <c r="G277" s="969"/>
      <c r="H277" s="963"/>
      <c r="I277" s="963"/>
      <c r="J277" s="962"/>
      <c r="K277" s="963"/>
      <c r="L277" s="963"/>
      <c r="M277" s="962"/>
      <c r="N277" s="963"/>
      <c r="O277" s="963"/>
      <c r="P277" s="962"/>
      <c r="Q277" s="963"/>
      <c r="R277" s="963"/>
      <c r="S277" s="964"/>
      <c r="T277" s="965"/>
      <c r="U277" s="963"/>
      <c r="V277" s="964"/>
    </row>
    <row r="278" s="908" customFormat="1" ht="15.95" customHeight="1" spans="1:22">
      <c r="A278" s="984"/>
      <c r="B278" s="983"/>
      <c r="C278" s="969"/>
      <c r="D278" s="969"/>
      <c r="E278" s="969"/>
      <c r="F278" s="969"/>
      <c r="G278" s="969"/>
      <c r="H278" s="963"/>
      <c r="I278" s="963"/>
      <c r="J278" s="962"/>
      <c r="K278" s="963"/>
      <c r="L278" s="963"/>
      <c r="M278" s="962"/>
      <c r="N278" s="963"/>
      <c r="O278" s="963"/>
      <c r="P278" s="962"/>
      <c r="Q278" s="963"/>
      <c r="R278" s="963"/>
      <c r="S278" s="964"/>
      <c r="T278" s="965"/>
      <c r="U278" s="963"/>
      <c r="V278" s="964"/>
    </row>
    <row r="279" s="908" customFormat="1" ht="15.95" customHeight="1" spans="1:22">
      <c r="A279" s="984"/>
      <c r="B279" s="969"/>
      <c r="C279" s="969"/>
      <c r="D279" s="969"/>
      <c r="E279" s="969"/>
      <c r="F279" s="969"/>
      <c r="G279" s="969"/>
      <c r="H279" s="963"/>
      <c r="I279" s="963"/>
      <c r="J279" s="962"/>
      <c r="K279" s="963"/>
      <c r="L279" s="963"/>
      <c r="M279" s="962"/>
      <c r="N279" s="963"/>
      <c r="O279" s="963"/>
      <c r="P279" s="962"/>
      <c r="Q279" s="963"/>
      <c r="R279" s="963"/>
      <c r="S279" s="964"/>
      <c r="T279" s="965"/>
      <c r="U279" s="963"/>
      <c r="V279" s="964"/>
    </row>
    <row r="280" s="908" customFormat="1" ht="15.95" customHeight="1" spans="1:22">
      <c r="A280" s="984"/>
      <c r="B280" s="983"/>
      <c r="C280" s="969"/>
      <c r="D280" s="969"/>
      <c r="E280" s="969"/>
      <c r="F280" s="969"/>
      <c r="G280" s="969"/>
      <c r="H280" s="963"/>
      <c r="I280" s="963"/>
      <c r="J280" s="962"/>
      <c r="K280" s="963"/>
      <c r="L280" s="963"/>
      <c r="M280" s="962"/>
      <c r="N280" s="963"/>
      <c r="O280" s="963"/>
      <c r="P280" s="962"/>
      <c r="Q280" s="963"/>
      <c r="R280" s="963"/>
      <c r="S280" s="964"/>
      <c r="T280" s="965"/>
      <c r="U280" s="963"/>
      <c r="V280" s="964"/>
    </row>
    <row r="281" s="908" customFormat="1" ht="15.95" customHeight="1" spans="1:22">
      <c r="A281" s="984"/>
      <c r="B281" s="983"/>
      <c r="C281" s="969"/>
      <c r="D281" s="969"/>
      <c r="E281" s="969"/>
      <c r="F281" s="969"/>
      <c r="G281" s="969"/>
      <c r="H281" s="963"/>
      <c r="I281" s="963"/>
      <c r="J281" s="962"/>
      <c r="K281" s="963"/>
      <c r="L281" s="963"/>
      <c r="M281" s="962"/>
      <c r="N281" s="963"/>
      <c r="O281" s="963"/>
      <c r="P281" s="962"/>
      <c r="Q281" s="963"/>
      <c r="R281" s="963"/>
      <c r="S281" s="964"/>
      <c r="T281" s="965"/>
      <c r="U281" s="963"/>
      <c r="V281" s="964"/>
    </row>
    <row r="282" s="908" customFormat="1" ht="15.95" customHeight="1" spans="1:22">
      <c r="A282" s="984"/>
      <c r="B282" s="969"/>
      <c r="C282" s="969"/>
      <c r="D282" s="969"/>
      <c r="E282" s="969"/>
      <c r="F282" s="969"/>
      <c r="G282" s="969"/>
      <c r="H282" s="963"/>
      <c r="I282" s="963"/>
      <c r="J282" s="962"/>
      <c r="K282" s="963"/>
      <c r="L282" s="963"/>
      <c r="M282" s="962"/>
      <c r="N282" s="963"/>
      <c r="O282" s="963"/>
      <c r="P282" s="962"/>
      <c r="Q282" s="963"/>
      <c r="R282" s="963"/>
      <c r="S282" s="964"/>
      <c r="T282" s="965"/>
      <c r="U282" s="963"/>
      <c r="V282" s="964"/>
    </row>
    <row r="283" s="908" customFormat="1" ht="15.95" customHeight="1" spans="1:22">
      <c r="A283" s="984"/>
      <c r="B283" s="983"/>
      <c r="C283" s="969"/>
      <c r="D283" s="969"/>
      <c r="E283" s="969"/>
      <c r="F283" s="969"/>
      <c r="G283" s="969"/>
      <c r="H283" s="963"/>
      <c r="I283" s="963"/>
      <c r="J283" s="962"/>
      <c r="K283" s="963"/>
      <c r="L283" s="963"/>
      <c r="M283" s="962"/>
      <c r="N283" s="963"/>
      <c r="O283" s="963"/>
      <c r="P283" s="962"/>
      <c r="Q283" s="963"/>
      <c r="R283" s="963"/>
      <c r="S283" s="964"/>
      <c r="T283" s="965"/>
      <c r="U283" s="963"/>
      <c r="V283" s="964"/>
    </row>
    <row r="284" s="908" customFormat="1" ht="15.95" customHeight="1" spans="1:22">
      <c r="A284" s="984"/>
      <c r="B284" s="983"/>
      <c r="C284" s="969"/>
      <c r="D284" s="969"/>
      <c r="E284" s="969"/>
      <c r="F284" s="969"/>
      <c r="G284" s="969"/>
      <c r="H284" s="963"/>
      <c r="I284" s="963"/>
      <c r="J284" s="962"/>
      <c r="K284" s="963"/>
      <c r="L284" s="963"/>
      <c r="M284" s="962"/>
      <c r="N284" s="963"/>
      <c r="O284" s="963"/>
      <c r="P284" s="962"/>
      <c r="Q284" s="963"/>
      <c r="R284" s="963"/>
      <c r="S284" s="964"/>
      <c r="T284" s="965"/>
      <c r="U284" s="963"/>
      <c r="V284" s="964"/>
    </row>
    <row r="285" s="908" customFormat="1" ht="15.95" customHeight="1" spans="1:22">
      <c r="A285" s="984"/>
      <c r="B285" s="969"/>
      <c r="C285" s="969"/>
      <c r="D285" s="969"/>
      <c r="E285" s="969"/>
      <c r="F285" s="969"/>
      <c r="G285" s="969"/>
      <c r="H285" s="963"/>
      <c r="I285" s="963"/>
      <c r="J285" s="962"/>
      <c r="K285" s="963"/>
      <c r="L285" s="963"/>
      <c r="M285" s="962"/>
      <c r="N285" s="963"/>
      <c r="O285" s="963"/>
      <c r="P285" s="962"/>
      <c r="Q285" s="963"/>
      <c r="R285" s="963"/>
      <c r="S285" s="964"/>
      <c r="T285" s="965"/>
      <c r="U285" s="963"/>
      <c r="V285" s="964"/>
    </row>
    <row r="286" s="908" customFormat="1" ht="15.95" customHeight="1" spans="1:22">
      <c r="A286" s="984"/>
      <c r="B286" s="983"/>
      <c r="C286" s="969"/>
      <c r="D286" s="969"/>
      <c r="E286" s="969"/>
      <c r="F286" s="969"/>
      <c r="G286" s="969"/>
      <c r="H286" s="963"/>
      <c r="I286" s="963"/>
      <c r="J286" s="962"/>
      <c r="K286" s="963"/>
      <c r="L286" s="963"/>
      <c r="M286" s="962"/>
      <c r="N286" s="963"/>
      <c r="O286" s="963"/>
      <c r="P286" s="962"/>
      <c r="Q286" s="963"/>
      <c r="R286" s="963"/>
      <c r="S286" s="964"/>
      <c r="T286" s="965"/>
      <c r="U286" s="963"/>
      <c r="V286" s="964"/>
    </row>
    <row r="287" s="908" customFormat="1" ht="15.95" customHeight="1" spans="1:22">
      <c r="A287" s="984"/>
      <c r="B287" s="983"/>
      <c r="C287" s="969"/>
      <c r="D287" s="969"/>
      <c r="E287" s="969"/>
      <c r="F287" s="969"/>
      <c r="G287" s="969"/>
      <c r="H287" s="963"/>
      <c r="I287" s="963"/>
      <c r="J287" s="962"/>
      <c r="K287" s="963"/>
      <c r="L287" s="963"/>
      <c r="M287" s="962"/>
      <c r="N287" s="963"/>
      <c r="O287" s="963"/>
      <c r="P287" s="962"/>
      <c r="Q287" s="963"/>
      <c r="R287" s="963"/>
      <c r="S287" s="964"/>
      <c r="T287" s="965"/>
      <c r="U287" s="963"/>
      <c r="V287" s="964"/>
    </row>
    <row r="288" s="908" customFormat="1" ht="15.95" customHeight="1" spans="1:22">
      <c r="A288" s="984"/>
      <c r="B288" s="983"/>
      <c r="C288" s="969"/>
      <c r="D288" s="969"/>
      <c r="E288" s="969"/>
      <c r="F288" s="969"/>
      <c r="G288" s="969"/>
      <c r="H288" s="963"/>
      <c r="I288" s="963"/>
      <c r="J288" s="962"/>
      <c r="K288" s="963"/>
      <c r="L288" s="963"/>
      <c r="M288" s="962"/>
      <c r="N288" s="963"/>
      <c r="O288" s="963"/>
      <c r="P288" s="962"/>
      <c r="Q288" s="963"/>
      <c r="R288" s="963"/>
      <c r="S288" s="964"/>
      <c r="T288" s="965"/>
      <c r="U288" s="963"/>
      <c r="V288" s="964"/>
    </row>
    <row r="289" s="908" customFormat="1" ht="15.95" customHeight="1" spans="1:22">
      <c r="A289" s="984"/>
      <c r="B289" s="983"/>
      <c r="C289" s="969"/>
      <c r="D289" s="969"/>
      <c r="E289" s="969"/>
      <c r="F289" s="969"/>
      <c r="G289" s="969"/>
      <c r="H289" s="963"/>
      <c r="I289" s="963"/>
      <c r="J289" s="962"/>
      <c r="K289" s="963"/>
      <c r="L289" s="963"/>
      <c r="M289" s="962"/>
      <c r="N289" s="963"/>
      <c r="O289" s="963"/>
      <c r="P289" s="962"/>
      <c r="Q289" s="963"/>
      <c r="R289" s="963"/>
      <c r="S289" s="964"/>
      <c r="T289" s="965"/>
      <c r="U289" s="963"/>
      <c r="V289" s="964"/>
    </row>
    <row r="290" s="908" customFormat="1" ht="15.95" customHeight="1" spans="1:22">
      <c r="A290" s="984"/>
      <c r="B290" s="983"/>
      <c r="C290" s="969"/>
      <c r="D290" s="969"/>
      <c r="E290" s="969"/>
      <c r="F290" s="969"/>
      <c r="G290" s="969"/>
      <c r="H290" s="963"/>
      <c r="I290" s="963"/>
      <c r="J290" s="962"/>
      <c r="K290" s="963"/>
      <c r="L290" s="963"/>
      <c r="M290" s="962"/>
      <c r="N290" s="963"/>
      <c r="O290" s="963"/>
      <c r="P290" s="962"/>
      <c r="Q290" s="963"/>
      <c r="R290" s="963"/>
      <c r="S290" s="964"/>
      <c r="T290" s="965"/>
      <c r="U290" s="963"/>
      <c r="V290" s="964"/>
    </row>
    <row r="291" s="908" customFormat="1" ht="15.95" customHeight="1" spans="1:22">
      <c r="A291" s="984"/>
      <c r="B291" s="969"/>
      <c r="C291" s="969"/>
      <c r="D291" s="969"/>
      <c r="E291" s="969"/>
      <c r="F291" s="969"/>
      <c r="G291" s="969"/>
      <c r="H291" s="963"/>
      <c r="I291" s="963"/>
      <c r="J291" s="962"/>
      <c r="K291" s="963"/>
      <c r="L291" s="963"/>
      <c r="M291" s="962"/>
      <c r="N291" s="963"/>
      <c r="O291" s="963"/>
      <c r="P291" s="962"/>
      <c r="Q291" s="963"/>
      <c r="R291" s="963"/>
      <c r="S291" s="964"/>
      <c r="T291" s="965"/>
      <c r="U291" s="963"/>
      <c r="V291" s="964"/>
    </row>
    <row r="292" s="908" customFormat="1" ht="15.95" customHeight="1" spans="1:22">
      <c r="A292" s="984"/>
      <c r="B292" s="983"/>
      <c r="C292" s="969"/>
      <c r="D292" s="969"/>
      <c r="E292" s="969"/>
      <c r="F292" s="969"/>
      <c r="G292" s="969"/>
      <c r="H292" s="963"/>
      <c r="I292" s="963"/>
      <c r="J292" s="962"/>
      <c r="K292" s="963"/>
      <c r="L292" s="963"/>
      <c r="M292" s="962"/>
      <c r="N292" s="963"/>
      <c r="O292" s="963"/>
      <c r="P292" s="962"/>
      <c r="Q292" s="963"/>
      <c r="R292" s="963"/>
      <c r="S292" s="964"/>
      <c r="T292" s="965"/>
      <c r="U292" s="963"/>
      <c r="V292" s="964"/>
    </row>
    <row r="293" s="908" customFormat="1" ht="15.95" customHeight="1" spans="1:22">
      <c r="A293" s="984"/>
      <c r="B293" s="983"/>
      <c r="C293" s="969"/>
      <c r="D293" s="969"/>
      <c r="E293" s="969"/>
      <c r="F293" s="969"/>
      <c r="G293" s="969"/>
      <c r="H293" s="963"/>
      <c r="I293" s="963"/>
      <c r="J293" s="962"/>
      <c r="K293" s="963"/>
      <c r="L293" s="963"/>
      <c r="M293" s="962"/>
      <c r="N293" s="963"/>
      <c r="O293" s="963"/>
      <c r="P293" s="962"/>
      <c r="Q293" s="963"/>
      <c r="R293" s="963"/>
      <c r="S293" s="964"/>
      <c r="T293" s="965"/>
      <c r="U293" s="963"/>
      <c r="V293" s="964"/>
    </row>
    <row r="294" s="908" customFormat="1" ht="15.95" customHeight="1" spans="1:22">
      <c r="A294" s="984"/>
      <c r="B294" s="983"/>
      <c r="C294" s="969"/>
      <c r="D294" s="969"/>
      <c r="E294" s="969"/>
      <c r="F294" s="969"/>
      <c r="G294" s="969"/>
      <c r="H294" s="963"/>
      <c r="I294" s="963"/>
      <c r="J294" s="962"/>
      <c r="K294" s="963"/>
      <c r="L294" s="963"/>
      <c r="M294" s="962"/>
      <c r="N294" s="963"/>
      <c r="O294" s="963"/>
      <c r="P294" s="962"/>
      <c r="Q294" s="963"/>
      <c r="R294" s="963"/>
      <c r="S294" s="964"/>
      <c r="T294" s="965"/>
      <c r="U294" s="963"/>
      <c r="V294" s="964"/>
    </row>
    <row r="295" s="908" customFormat="1" ht="15.95" customHeight="1" spans="1:22">
      <c r="A295" s="984"/>
      <c r="B295" s="983"/>
      <c r="C295" s="969"/>
      <c r="D295" s="969"/>
      <c r="E295" s="969"/>
      <c r="F295" s="969"/>
      <c r="G295" s="969"/>
      <c r="H295" s="963"/>
      <c r="I295" s="963"/>
      <c r="J295" s="962"/>
      <c r="K295" s="963"/>
      <c r="L295" s="963"/>
      <c r="M295" s="962"/>
      <c r="N295" s="963"/>
      <c r="O295" s="963"/>
      <c r="P295" s="962"/>
      <c r="Q295" s="963"/>
      <c r="R295" s="963"/>
      <c r="S295" s="964"/>
      <c r="T295" s="965"/>
      <c r="U295" s="963"/>
      <c r="V295" s="964"/>
    </row>
    <row r="296" s="908" customFormat="1" ht="15.95" customHeight="1" spans="1:22">
      <c r="A296" s="984"/>
      <c r="B296" s="983"/>
      <c r="C296" s="969"/>
      <c r="D296" s="969"/>
      <c r="E296" s="969"/>
      <c r="F296" s="969"/>
      <c r="G296" s="969"/>
      <c r="H296" s="963"/>
      <c r="I296" s="963"/>
      <c r="J296" s="962"/>
      <c r="K296" s="963"/>
      <c r="L296" s="963"/>
      <c r="M296" s="962"/>
      <c r="N296" s="963"/>
      <c r="O296" s="963"/>
      <c r="P296" s="962"/>
      <c r="Q296" s="963"/>
      <c r="R296" s="963"/>
      <c r="S296" s="964"/>
      <c r="T296" s="965"/>
      <c r="U296" s="963"/>
      <c r="V296" s="964"/>
    </row>
    <row r="297" s="908" customFormat="1" ht="15.95" customHeight="1" spans="1:22">
      <c r="A297" s="984"/>
      <c r="B297" s="989"/>
      <c r="C297" s="969"/>
      <c r="D297" s="969"/>
      <c r="E297" s="969"/>
      <c r="F297" s="969"/>
      <c r="G297" s="969"/>
      <c r="H297" s="963"/>
      <c r="I297" s="963"/>
      <c r="J297" s="962"/>
      <c r="K297" s="963"/>
      <c r="L297" s="963"/>
      <c r="M297" s="962"/>
      <c r="N297" s="963"/>
      <c r="O297" s="963"/>
      <c r="P297" s="962"/>
      <c r="Q297" s="963"/>
      <c r="R297" s="963"/>
      <c r="S297" s="964"/>
      <c r="T297" s="965"/>
      <c r="U297" s="963"/>
      <c r="V297" s="964"/>
    </row>
    <row r="298" s="908" customFormat="1" ht="15.95" customHeight="1" spans="1:22">
      <c r="A298" s="984"/>
      <c r="B298" s="983"/>
      <c r="C298" s="969"/>
      <c r="D298" s="969"/>
      <c r="E298" s="969"/>
      <c r="F298" s="969"/>
      <c r="G298" s="969"/>
      <c r="H298" s="963"/>
      <c r="I298" s="963"/>
      <c r="J298" s="962"/>
      <c r="K298" s="963"/>
      <c r="L298" s="963"/>
      <c r="M298" s="962"/>
      <c r="N298" s="963"/>
      <c r="O298" s="963"/>
      <c r="P298" s="962"/>
      <c r="Q298" s="963"/>
      <c r="R298" s="963"/>
      <c r="S298" s="964"/>
      <c r="T298" s="965"/>
      <c r="U298" s="963"/>
      <c r="V298" s="964"/>
    </row>
    <row r="299" s="908" customFormat="1" ht="15.95" customHeight="1" spans="1:22">
      <c r="A299" s="984"/>
      <c r="B299" s="983"/>
      <c r="C299" s="969"/>
      <c r="D299" s="969"/>
      <c r="E299" s="969"/>
      <c r="F299" s="969"/>
      <c r="G299" s="969"/>
      <c r="H299" s="963"/>
      <c r="I299" s="963"/>
      <c r="J299" s="962"/>
      <c r="K299" s="963"/>
      <c r="L299" s="963"/>
      <c r="M299" s="962"/>
      <c r="N299" s="963"/>
      <c r="O299" s="963"/>
      <c r="P299" s="962"/>
      <c r="Q299" s="963"/>
      <c r="R299" s="963"/>
      <c r="S299" s="964"/>
      <c r="T299" s="965"/>
      <c r="U299" s="963"/>
      <c r="V299" s="964"/>
    </row>
    <row r="300" s="908" customFormat="1" ht="15.95" customHeight="1" spans="1:22">
      <c r="A300" s="984"/>
      <c r="B300" s="983"/>
      <c r="C300" s="969"/>
      <c r="D300" s="969"/>
      <c r="E300" s="969"/>
      <c r="F300" s="969"/>
      <c r="G300" s="969"/>
      <c r="H300" s="963"/>
      <c r="I300" s="963"/>
      <c r="J300" s="962"/>
      <c r="K300" s="963"/>
      <c r="L300" s="963"/>
      <c r="M300" s="962"/>
      <c r="N300" s="963"/>
      <c r="O300" s="963"/>
      <c r="P300" s="962"/>
      <c r="Q300" s="963"/>
      <c r="R300" s="963"/>
      <c r="S300" s="964"/>
      <c r="T300" s="965"/>
      <c r="U300" s="963"/>
      <c r="V300" s="964"/>
    </row>
    <row r="301" s="908" customFormat="1" ht="15.95" customHeight="1" spans="1:22">
      <c r="A301" s="984"/>
      <c r="B301" s="983"/>
      <c r="C301" s="969"/>
      <c r="D301" s="969"/>
      <c r="E301" s="969"/>
      <c r="F301" s="969"/>
      <c r="G301" s="969"/>
      <c r="H301" s="963"/>
      <c r="I301" s="963"/>
      <c r="J301" s="962"/>
      <c r="K301" s="963"/>
      <c r="L301" s="963"/>
      <c r="M301" s="962"/>
      <c r="N301" s="963"/>
      <c r="O301" s="963"/>
      <c r="P301" s="962"/>
      <c r="Q301" s="963"/>
      <c r="R301" s="963"/>
      <c r="S301" s="964"/>
      <c r="T301" s="965"/>
      <c r="U301" s="963"/>
      <c r="V301" s="964"/>
    </row>
    <row r="302" s="908" customFormat="1" ht="15.95" customHeight="1" spans="1:22">
      <c r="A302" s="984"/>
      <c r="B302" s="983"/>
      <c r="C302" s="969"/>
      <c r="D302" s="969"/>
      <c r="E302" s="969"/>
      <c r="F302" s="969"/>
      <c r="G302" s="969"/>
      <c r="H302" s="963"/>
      <c r="I302" s="963"/>
      <c r="J302" s="962"/>
      <c r="K302" s="963"/>
      <c r="L302" s="963"/>
      <c r="M302" s="962"/>
      <c r="N302" s="963"/>
      <c r="O302" s="963"/>
      <c r="P302" s="962"/>
      <c r="Q302" s="963"/>
      <c r="R302" s="963"/>
      <c r="S302" s="964"/>
      <c r="T302" s="965"/>
      <c r="U302" s="963"/>
      <c r="V302" s="964"/>
    </row>
    <row r="303" s="908" customFormat="1" ht="15.95" customHeight="1" spans="1:22">
      <c r="A303" s="984"/>
      <c r="B303" s="983"/>
      <c r="C303" s="969"/>
      <c r="D303" s="969"/>
      <c r="E303" s="969"/>
      <c r="F303" s="969"/>
      <c r="G303" s="969"/>
      <c r="H303" s="963"/>
      <c r="I303" s="963"/>
      <c r="J303" s="962"/>
      <c r="K303" s="963"/>
      <c r="L303" s="963"/>
      <c r="M303" s="962"/>
      <c r="N303" s="963"/>
      <c r="O303" s="963"/>
      <c r="P303" s="962"/>
      <c r="Q303" s="963"/>
      <c r="R303" s="963"/>
      <c r="S303" s="964"/>
      <c r="T303" s="965"/>
      <c r="U303" s="963"/>
      <c r="V303" s="964"/>
    </row>
    <row r="304" s="908" customFormat="1" ht="15.95" customHeight="1" spans="1:22">
      <c r="A304" s="984"/>
      <c r="B304" s="969"/>
      <c r="C304" s="969"/>
      <c r="D304" s="969"/>
      <c r="E304" s="969"/>
      <c r="F304" s="969"/>
      <c r="G304" s="969"/>
      <c r="H304" s="963"/>
      <c r="I304" s="963"/>
      <c r="J304" s="962"/>
      <c r="K304" s="963"/>
      <c r="L304" s="963"/>
      <c r="M304" s="962"/>
      <c r="N304" s="963"/>
      <c r="O304" s="963"/>
      <c r="P304" s="962"/>
      <c r="Q304" s="963"/>
      <c r="R304" s="963"/>
      <c r="S304" s="964"/>
      <c r="T304" s="965"/>
      <c r="U304" s="963"/>
      <c r="V304" s="964"/>
    </row>
    <row r="305" s="908" customFormat="1" ht="15.95" customHeight="1" spans="1:22">
      <c r="A305" s="984"/>
      <c r="B305" s="983"/>
      <c r="C305" s="969"/>
      <c r="D305" s="969"/>
      <c r="E305" s="969"/>
      <c r="F305" s="969"/>
      <c r="G305" s="969"/>
      <c r="H305" s="963"/>
      <c r="I305" s="963"/>
      <c r="J305" s="962"/>
      <c r="K305" s="963"/>
      <c r="L305" s="963"/>
      <c r="M305" s="962"/>
      <c r="N305" s="963"/>
      <c r="O305" s="963"/>
      <c r="P305" s="962"/>
      <c r="Q305" s="963"/>
      <c r="R305" s="963"/>
      <c r="S305" s="964"/>
      <c r="T305" s="965"/>
      <c r="U305" s="963"/>
      <c r="V305" s="964"/>
    </row>
    <row r="306" s="908" customFormat="1" ht="15.95" customHeight="1" spans="1:22">
      <c r="A306" s="984"/>
      <c r="B306" s="983"/>
      <c r="C306" s="969"/>
      <c r="D306" s="969"/>
      <c r="E306" s="969"/>
      <c r="F306" s="969"/>
      <c r="G306" s="969"/>
      <c r="H306" s="963"/>
      <c r="I306" s="963"/>
      <c r="J306" s="962"/>
      <c r="K306" s="963"/>
      <c r="L306" s="963"/>
      <c r="M306" s="962"/>
      <c r="N306" s="963"/>
      <c r="O306" s="963"/>
      <c r="P306" s="962"/>
      <c r="Q306" s="963"/>
      <c r="R306" s="963"/>
      <c r="S306" s="964"/>
      <c r="T306" s="965"/>
      <c r="U306" s="963"/>
      <c r="V306" s="964"/>
    </row>
    <row r="307" s="908" customFormat="1" ht="15.95" customHeight="1" spans="1:22">
      <c r="A307" s="984"/>
      <c r="B307" s="969"/>
      <c r="C307" s="969"/>
      <c r="D307" s="969"/>
      <c r="E307" s="969"/>
      <c r="F307" s="969"/>
      <c r="G307" s="969"/>
      <c r="H307" s="963"/>
      <c r="I307" s="963"/>
      <c r="J307" s="962"/>
      <c r="K307" s="963"/>
      <c r="L307" s="963"/>
      <c r="M307" s="962"/>
      <c r="N307" s="963"/>
      <c r="O307" s="963"/>
      <c r="P307" s="962"/>
      <c r="Q307" s="963"/>
      <c r="R307" s="963"/>
      <c r="S307" s="964"/>
      <c r="T307" s="965"/>
      <c r="U307" s="963"/>
      <c r="V307" s="964"/>
    </row>
    <row r="308" s="908" customFormat="1" ht="15.95" customHeight="1" spans="1:22">
      <c r="A308" s="984"/>
      <c r="B308" s="983"/>
      <c r="C308" s="969"/>
      <c r="D308" s="969"/>
      <c r="E308" s="969"/>
      <c r="F308" s="969"/>
      <c r="G308" s="969"/>
      <c r="H308" s="963"/>
      <c r="I308" s="963"/>
      <c r="J308" s="962"/>
      <c r="K308" s="963"/>
      <c r="L308" s="963"/>
      <c r="M308" s="962"/>
      <c r="N308" s="963"/>
      <c r="O308" s="963"/>
      <c r="P308" s="962"/>
      <c r="Q308" s="963"/>
      <c r="R308" s="963"/>
      <c r="S308" s="964"/>
      <c r="T308" s="965"/>
      <c r="U308" s="963"/>
      <c r="V308" s="964"/>
    </row>
    <row r="309" s="908" customFormat="1" ht="15.95" customHeight="1" spans="1:22">
      <c r="A309" s="984"/>
      <c r="B309" s="983"/>
      <c r="C309" s="969"/>
      <c r="D309" s="969"/>
      <c r="E309" s="969"/>
      <c r="F309" s="969"/>
      <c r="G309" s="969"/>
      <c r="H309" s="963"/>
      <c r="I309" s="963"/>
      <c r="J309" s="962"/>
      <c r="K309" s="963"/>
      <c r="L309" s="963"/>
      <c r="M309" s="962"/>
      <c r="N309" s="963"/>
      <c r="O309" s="963"/>
      <c r="P309" s="962"/>
      <c r="Q309" s="963"/>
      <c r="R309" s="963"/>
      <c r="S309" s="964"/>
      <c r="T309" s="965"/>
      <c r="U309" s="963"/>
      <c r="V309" s="964"/>
    </row>
    <row r="310" s="908" customFormat="1" ht="15.95" customHeight="1" spans="1:22">
      <c r="A310" s="984"/>
      <c r="B310" s="983"/>
      <c r="C310" s="969"/>
      <c r="D310" s="969"/>
      <c r="E310" s="969"/>
      <c r="F310" s="969"/>
      <c r="G310" s="969"/>
      <c r="H310" s="963"/>
      <c r="I310" s="963"/>
      <c r="J310" s="962"/>
      <c r="K310" s="963"/>
      <c r="L310" s="963"/>
      <c r="M310" s="962"/>
      <c r="N310" s="963"/>
      <c r="O310" s="963"/>
      <c r="P310" s="962"/>
      <c r="Q310" s="963"/>
      <c r="R310" s="963"/>
      <c r="S310" s="964"/>
      <c r="T310" s="965"/>
      <c r="U310" s="963"/>
      <c r="V310" s="964"/>
    </row>
    <row r="311" s="908" customFormat="1" ht="15.95" customHeight="1" spans="1:22">
      <c r="A311" s="984"/>
      <c r="B311" s="983"/>
      <c r="C311" s="969"/>
      <c r="D311" s="969"/>
      <c r="E311" s="969"/>
      <c r="F311" s="969"/>
      <c r="G311" s="969"/>
      <c r="H311" s="963"/>
      <c r="I311" s="963"/>
      <c r="J311" s="962"/>
      <c r="K311" s="963"/>
      <c r="L311" s="963"/>
      <c r="M311" s="962"/>
      <c r="N311" s="963"/>
      <c r="O311" s="963"/>
      <c r="P311" s="962"/>
      <c r="Q311" s="963"/>
      <c r="R311" s="963"/>
      <c r="S311" s="964"/>
      <c r="T311" s="965"/>
      <c r="U311" s="963"/>
      <c r="V311" s="964"/>
    </row>
    <row r="312" s="908" customFormat="1" ht="15.95" customHeight="1" spans="1:22">
      <c r="A312" s="984"/>
      <c r="B312" s="969"/>
      <c r="C312" s="969"/>
      <c r="D312" s="969"/>
      <c r="E312" s="969"/>
      <c r="F312" s="969"/>
      <c r="G312" s="969"/>
      <c r="H312" s="963"/>
      <c r="I312" s="963"/>
      <c r="J312" s="962"/>
      <c r="K312" s="963"/>
      <c r="L312" s="963"/>
      <c r="M312" s="962"/>
      <c r="N312" s="963"/>
      <c r="O312" s="963"/>
      <c r="P312" s="962"/>
      <c r="Q312" s="963"/>
      <c r="R312" s="963"/>
      <c r="S312" s="964"/>
      <c r="T312" s="965"/>
      <c r="U312" s="963"/>
      <c r="V312" s="964"/>
    </row>
    <row r="313" s="908" customFormat="1" ht="15.95" customHeight="1" spans="1:22">
      <c r="A313" s="984"/>
      <c r="B313" s="983"/>
      <c r="C313" s="969"/>
      <c r="D313" s="969"/>
      <c r="E313" s="969"/>
      <c r="F313" s="969"/>
      <c r="G313" s="969"/>
      <c r="H313" s="963"/>
      <c r="I313" s="963"/>
      <c r="J313" s="962"/>
      <c r="K313" s="963"/>
      <c r="L313" s="963"/>
      <c r="M313" s="962"/>
      <c r="N313" s="963"/>
      <c r="O313" s="963"/>
      <c r="P313" s="962"/>
      <c r="Q313" s="963"/>
      <c r="R313" s="963"/>
      <c r="S313" s="964"/>
      <c r="T313" s="965"/>
      <c r="U313" s="963"/>
      <c r="V313" s="964"/>
    </row>
    <row r="314" s="908" customFormat="1" ht="15.95" customHeight="1" spans="1:22">
      <c r="A314" s="984"/>
      <c r="B314" s="983"/>
      <c r="C314" s="969"/>
      <c r="D314" s="969"/>
      <c r="E314" s="969"/>
      <c r="F314" s="969"/>
      <c r="G314" s="969"/>
      <c r="H314" s="963"/>
      <c r="I314" s="963"/>
      <c r="J314" s="962"/>
      <c r="K314" s="963"/>
      <c r="L314" s="963"/>
      <c r="M314" s="962"/>
      <c r="N314" s="963"/>
      <c r="O314" s="963"/>
      <c r="P314" s="962"/>
      <c r="Q314" s="963"/>
      <c r="R314" s="963"/>
      <c r="S314" s="964"/>
      <c r="T314" s="965"/>
      <c r="U314" s="963"/>
      <c r="V314" s="964"/>
    </row>
    <row r="315" s="908" customFormat="1" ht="15.95" customHeight="1" spans="1:22">
      <c r="A315" s="984"/>
      <c r="B315" s="983"/>
      <c r="C315" s="983"/>
      <c r="D315" s="983"/>
      <c r="E315" s="983"/>
      <c r="F315" s="983"/>
      <c r="G315" s="983"/>
      <c r="H315" s="963"/>
      <c r="I315" s="963"/>
      <c r="J315" s="962"/>
      <c r="K315" s="963"/>
      <c r="L315" s="963"/>
      <c r="M315" s="962"/>
      <c r="N315" s="963"/>
      <c r="O315" s="963"/>
      <c r="P315" s="962"/>
      <c r="Q315" s="963"/>
      <c r="R315" s="963"/>
      <c r="S315" s="964"/>
      <c r="T315" s="965"/>
      <c r="U315" s="963"/>
      <c r="V315" s="964"/>
    </row>
    <row r="316" s="908" customFormat="1" ht="15.95" customHeight="1" spans="1:22">
      <c r="A316" s="984"/>
      <c r="B316" s="983"/>
      <c r="C316" s="983"/>
      <c r="D316" s="983"/>
      <c r="E316" s="983"/>
      <c r="F316" s="983"/>
      <c r="G316" s="983"/>
      <c r="H316" s="963"/>
      <c r="I316" s="963"/>
      <c r="J316" s="962"/>
      <c r="K316" s="963"/>
      <c r="L316" s="963"/>
      <c r="M316" s="962"/>
      <c r="N316" s="963"/>
      <c r="O316" s="963"/>
      <c r="P316" s="962"/>
      <c r="Q316" s="963"/>
      <c r="R316" s="963"/>
      <c r="S316" s="964"/>
      <c r="T316" s="965"/>
      <c r="U316" s="963"/>
      <c r="V316" s="964"/>
    </row>
    <row r="317" s="908" customFormat="1" ht="15.95" customHeight="1" spans="1:22">
      <c r="A317" s="984"/>
      <c r="B317" s="983"/>
      <c r="C317" s="983"/>
      <c r="D317" s="969"/>
      <c r="E317" s="969"/>
      <c r="F317" s="969"/>
      <c r="G317" s="969"/>
      <c r="H317" s="963"/>
      <c r="I317" s="963"/>
      <c r="J317" s="962"/>
      <c r="K317" s="963"/>
      <c r="L317" s="963"/>
      <c r="M317" s="962"/>
      <c r="N317" s="963"/>
      <c r="O317" s="963"/>
      <c r="P317" s="962"/>
      <c r="Q317" s="963"/>
      <c r="R317" s="963"/>
      <c r="S317" s="964"/>
      <c r="T317" s="965"/>
      <c r="U317" s="963"/>
      <c r="V317" s="964"/>
    </row>
    <row r="318" s="908" customFormat="1" ht="15.95" customHeight="1" spans="1:22">
      <c r="A318" s="984"/>
      <c r="B318" s="983"/>
      <c r="C318" s="969"/>
      <c r="D318" s="969"/>
      <c r="E318" s="969"/>
      <c r="F318" s="969"/>
      <c r="G318" s="969"/>
      <c r="H318" s="963"/>
      <c r="I318" s="963"/>
      <c r="J318" s="962"/>
      <c r="K318" s="963"/>
      <c r="L318" s="963"/>
      <c r="M318" s="962"/>
      <c r="N318" s="963"/>
      <c r="O318" s="963"/>
      <c r="P318" s="962"/>
      <c r="Q318" s="963"/>
      <c r="R318" s="963"/>
      <c r="S318" s="964"/>
      <c r="T318" s="965"/>
      <c r="U318" s="963"/>
      <c r="V318" s="964"/>
    </row>
    <row r="319" s="908" customFormat="1" ht="15.95" customHeight="1" spans="1:22">
      <c r="A319" s="984"/>
      <c r="B319" s="983"/>
      <c r="C319" s="969"/>
      <c r="D319" s="969"/>
      <c r="E319" s="969"/>
      <c r="F319" s="969"/>
      <c r="G319" s="969"/>
      <c r="H319" s="963"/>
      <c r="I319" s="963"/>
      <c r="J319" s="962"/>
      <c r="K319" s="963"/>
      <c r="L319" s="963"/>
      <c r="M319" s="962"/>
      <c r="N319" s="963"/>
      <c r="O319" s="963"/>
      <c r="P319" s="962"/>
      <c r="Q319" s="963"/>
      <c r="R319" s="963"/>
      <c r="S319" s="964"/>
      <c r="T319" s="965"/>
      <c r="U319" s="963"/>
      <c r="V319" s="964"/>
    </row>
    <row r="320" s="908" customFormat="1" ht="15.95" customHeight="1" spans="1:22">
      <c r="A320" s="984"/>
      <c r="B320" s="983"/>
      <c r="C320" s="969"/>
      <c r="D320" s="969"/>
      <c r="E320" s="969"/>
      <c r="F320" s="969"/>
      <c r="G320" s="969"/>
      <c r="H320" s="991"/>
      <c r="I320" s="992"/>
      <c r="J320" s="962"/>
      <c r="K320" s="963"/>
      <c r="L320" s="963"/>
      <c r="M320" s="962"/>
      <c r="N320" s="963"/>
      <c r="O320" s="963"/>
      <c r="P320" s="962"/>
      <c r="Q320" s="963"/>
      <c r="R320" s="963"/>
      <c r="S320" s="964"/>
      <c r="T320" s="965"/>
      <c r="U320" s="963"/>
      <c r="V320" s="964"/>
    </row>
    <row r="321" s="908" customFormat="1" ht="15.95" customHeight="1" spans="1:22">
      <c r="A321" s="984"/>
      <c r="B321" s="983"/>
      <c r="C321" s="969"/>
      <c r="D321" s="983"/>
      <c r="E321" s="983"/>
      <c r="F321" s="983"/>
      <c r="G321" s="983"/>
      <c r="H321" s="991"/>
      <c r="I321" s="991"/>
      <c r="J321" s="962"/>
      <c r="K321" s="963"/>
      <c r="L321" s="963"/>
      <c r="M321" s="962"/>
      <c r="N321" s="963"/>
      <c r="O321" s="963"/>
      <c r="P321" s="962"/>
      <c r="Q321" s="963"/>
      <c r="R321" s="963"/>
      <c r="S321" s="964"/>
      <c r="T321" s="965"/>
      <c r="U321" s="963"/>
      <c r="V321" s="964"/>
    </row>
    <row r="322" s="908" customFormat="1" ht="15.95" customHeight="1" spans="1:22">
      <c r="A322" s="984"/>
      <c r="B322" s="983"/>
      <c r="C322" s="983"/>
      <c r="D322" s="983"/>
      <c r="E322" s="983"/>
      <c r="F322" s="983"/>
      <c r="G322" s="983"/>
      <c r="H322" s="991"/>
      <c r="I322" s="991"/>
      <c r="J322" s="962"/>
      <c r="K322" s="963"/>
      <c r="L322" s="963"/>
      <c r="M322" s="962"/>
      <c r="N322" s="963"/>
      <c r="O322" s="963"/>
      <c r="P322" s="962"/>
      <c r="Q322" s="963"/>
      <c r="R322" s="963"/>
      <c r="S322" s="964"/>
      <c r="T322" s="965"/>
      <c r="U322" s="963"/>
      <c r="V322" s="964"/>
    </row>
    <row r="323" s="908" customFormat="1" ht="15.95" customHeight="1" spans="1:22">
      <c r="A323" s="984"/>
      <c r="B323" s="989"/>
      <c r="C323" s="983"/>
      <c r="D323" s="969"/>
      <c r="E323" s="969"/>
      <c r="F323" s="969"/>
      <c r="G323" s="969"/>
      <c r="H323" s="991"/>
      <c r="I323" s="963"/>
      <c r="J323" s="962"/>
      <c r="K323" s="963"/>
      <c r="L323" s="963"/>
      <c r="M323" s="962"/>
      <c r="N323" s="963"/>
      <c r="O323" s="963"/>
      <c r="P323" s="962"/>
      <c r="Q323" s="963"/>
      <c r="R323" s="963"/>
      <c r="S323" s="964"/>
      <c r="T323" s="965"/>
      <c r="U323" s="963"/>
      <c r="V323" s="964"/>
    </row>
    <row r="324" s="908" customFormat="1" ht="15.95" customHeight="1" spans="1:22">
      <c r="A324" s="984"/>
      <c r="B324" s="983"/>
      <c r="C324" s="983"/>
      <c r="D324" s="969"/>
      <c r="E324" s="969"/>
      <c r="F324" s="969"/>
      <c r="G324" s="969"/>
      <c r="H324" s="991"/>
      <c r="I324" s="991"/>
      <c r="J324" s="962"/>
      <c r="K324" s="963"/>
      <c r="L324" s="963"/>
      <c r="M324" s="962"/>
      <c r="N324" s="963"/>
      <c r="O324" s="963"/>
      <c r="P324" s="962"/>
      <c r="Q324" s="963"/>
      <c r="R324" s="963"/>
      <c r="S324" s="964"/>
      <c r="T324" s="965"/>
      <c r="U324" s="963"/>
      <c r="V324" s="964"/>
    </row>
    <row r="325" s="908" customFormat="1" ht="15.95" customHeight="1" spans="1:22">
      <c r="A325" s="984"/>
      <c r="B325" s="983"/>
      <c r="C325" s="969"/>
      <c r="D325" s="983"/>
      <c r="E325" s="983"/>
      <c r="F325" s="983"/>
      <c r="G325" s="983"/>
      <c r="H325" s="991"/>
      <c r="I325" s="991"/>
      <c r="J325" s="962"/>
      <c r="K325" s="963"/>
      <c r="L325" s="963"/>
      <c r="M325" s="962"/>
      <c r="N325" s="963"/>
      <c r="O325" s="963"/>
      <c r="P325" s="962"/>
      <c r="Q325" s="963"/>
      <c r="R325" s="963"/>
      <c r="S325" s="964"/>
      <c r="T325" s="965"/>
      <c r="U325" s="963"/>
      <c r="V325" s="964"/>
    </row>
    <row r="326" s="908" customFormat="1" ht="15.95" customHeight="1" spans="1:22">
      <c r="A326" s="984"/>
      <c r="B326" s="969"/>
      <c r="C326" s="969"/>
      <c r="D326" s="983"/>
      <c r="E326" s="983"/>
      <c r="F326" s="983"/>
      <c r="G326" s="983"/>
      <c r="H326" s="991"/>
      <c r="I326" s="991"/>
      <c r="J326" s="962"/>
      <c r="K326" s="963"/>
      <c r="L326" s="963"/>
      <c r="M326" s="962"/>
      <c r="N326" s="963"/>
      <c r="O326" s="963"/>
      <c r="P326" s="962"/>
      <c r="Q326" s="963"/>
      <c r="R326" s="963"/>
      <c r="S326" s="964"/>
      <c r="T326" s="965"/>
      <c r="U326" s="963"/>
      <c r="V326" s="964"/>
    </row>
    <row r="327" s="908" customFormat="1" ht="15.95" customHeight="1" spans="1:22">
      <c r="A327" s="984"/>
      <c r="B327" s="983"/>
      <c r="C327" s="969"/>
      <c r="D327" s="983"/>
      <c r="E327" s="983"/>
      <c r="F327" s="983"/>
      <c r="G327" s="983"/>
      <c r="H327" s="991"/>
      <c r="I327" s="991"/>
      <c r="J327" s="962"/>
      <c r="K327" s="963"/>
      <c r="L327" s="963"/>
      <c r="M327" s="962"/>
      <c r="N327" s="963"/>
      <c r="O327" s="963"/>
      <c r="P327" s="962"/>
      <c r="Q327" s="963"/>
      <c r="R327" s="963"/>
      <c r="S327" s="964"/>
      <c r="T327" s="965"/>
      <c r="U327" s="963"/>
      <c r="V327" s="964"/>
    </row>
    <row r="328" s="908" customFormat="1" ht="15.95" customHeight="1" spans="1:22">
      <c r="A328" s="984"/>
      <c r="B328" s="983"/>
      <c r="C328" s="969"/>
      <c r="D328" s="983"/>
      <c r="E328" s="983"/>
      <c r="F328" s="983"/>
      <c r="G328" s="983"/>
      <c r="H328" s="991"/>
      <c r="I328" s="991"/>
      <c r="J328" s="962"/>
      <c r="K328" s="963"/>
      <c r="L328" s="963"/>
      <c r="M328" s="962"/>
      <c r="N328" s="963"/>
      <c r="O328" s="963"/>
      <c r="P328" s="962"/>
      <c r="Q328" s="963"/>
      <c r="R328" s="963"/>
      <c r="S328" s="964"/>
      <c r="T328" s="965"/>
      <c r="U328" s="963"/>
      <c r="V328" s="964"/>
    </row>
    <row r="329" s="908" customFormat="1" ht="15.95" customHeight="1" spans="1:22">
      <c r="A329" s="984"/>
      <c r="B329" s="983"/>
      <c r="C329" s="969"/>
      <c r="D329" s="983"/>
      <c r="E329" s="983"/>
      <c r="F329" s="983"/>
      <c r="G329" s="983"/>
      <c r="H329" s="991"/>
      <c r="I329" s="991"/>
      <c r="J329" s="962"/>
      <c r="K329" s="963"/>
      <c r="L329" s="963"/>
      <c r="M329" s="962"/>
      <c r="N329" s="963"/>
      <c r="O329" s="963"/>
      <c r="P329" s="962"/>
      <c r="Q329" s="963"/>
      <c r="R329" s="963"/>
      <c r="S329" s="964"/>
      <c r="T329" s="965"/>
      <c r="U329" s="963"/>
      <c r="V329" s="964"/>
    </row>
    <row r="330" s="909" customFormat="1" ht="15.95" customHeight="1" spans="1:22">
      <c r="A330" s="993"/>
      <c r="B330" s="983"/>
      <c r="C330" s="969"/>
      <c r="D330" s="983"/>
      <c r="E330" s="983"/>
      <c r="F330" s="983"/>
      <c r="G330" s="983"/>
      <c r="H330" s="991"/>
      <c r="I330" s="991"/>
      <c r="J330" s="962"/>
      <c r="K330" s="963"/>
      <c r="L330" s="963"/>
      <c r="M330" s="962"/>
      <c r="N330" s="994"/>
      <c r="O330" s="994"/>
      <c r="P330" s="995"/>
      <c r="Q330" s="994"/>
      <c r="R330" s="994"/>
      <c r="S330" s="996"/>
      <c r="T330" s="997"/>
      <c r="U330" s="994"/>
      <c r="V330" s="996"/>
    </row>
    <row r="331" s="909" customFormat="1" ht="15.95" customHeight="1" spans="1:22">
      <c r="A331" s="993"/>
      <c r="B331" s="983"/>
      <c r="C331" s="969"/>
      <c r="D331" s="969"/>
      <c r="E331" s="969"/>
      <c r="F331" s="969"/>
      <c r="G331" s="969"/>
      <c r="H331" s="991"/>
      <c r="I331" s="991"/>
      <c r="J331" s="962"/>
      <c r="K331" s="963"/>
      <c r="L331" s="963"/>
      <c r="M331" s="962"/>
      <c r="N331" s="994"/>
      <c r="O331" s="994"/>
      <c r="P331" s="995"/>
      <c r="Q331" s="994"/>
      <c r="R331" s="994"/>
      <c r="S331" s="996"/>
      <c r="T331" s="997"/>
      <c r="U331" s="994"/>
      <c r="V331" s="996"/>
    </row>
    <row r="332" s="909" customFormat="1" ht="15.95" customHeight="1" spans="1:22">
      <c r="A332" s="993"/>
      <c r="B332" s="983"/>
      <c r="C332" s="969"/>
      <c r="D332" s="969"/>
      <c r="E332" s="969"/>
      <c r="F332" s="969"/>
      <c r="G332" s="969"/>
      <c r="H332" s="963"/>
      <c r="I332" s="963"/>
      <c r="J332" s="962"/>
      <c r="K332" s="963"/>
      <c r="L332" s="963"/>
      <c r="M332" s="962"/>
      <c r="N332" s="994"/>
      <c r="O332" s="994"/>
      <c r="P332" s="995"/>
      <c r="Q332" s="994"/>
      <c r="R332" s="994"/>
      <c r="S332" s="996"/>
      <c r="T332" s="997"/>
      <c r="U332" s="994"/>
      <c r="V332" s="996"/>
    </row>
    <row r="333" s="909" customFormat="1" ht="15.95" customHeight="1" spans="1:22">
      <c r="A333" s="993"/>
      <c r="B333" s="983"/>
      <c r="C333" s="969"/>
      <c r="D333" s="969"/>
      <c r="E333" s="969"/>
      <c r="F333" s="969"/>
      <c r="G333" s="969"/>
      <c r="H333" s="991"/>
      <c r="I333" s="991"/>
      <c r="J333" s="962"/>
      <c r="K333" s="963"/>
      <c r="L333" s="963"/>
      <c r="M333" s="962"/>
      <c r="N333" s="994"/>
      <c r="O333" s="994"/>
      <c r="P333" s="995"/>
      <c r="Q333" s="994"/>
      <c r="R333" s="994"/>
      <c r="S333" s="996"/>
      <c r="T333" s="997"/>
      <c r="U333" s="994"/>
      <c r="V333" s="996"/>
    </row>
    <row r="334" s="908" customFormat="1" ht="15.95" customHeight="1" spans="1:22">
      <c r="A334" s="984"/>
      <c r="B334" s="983"/>
      <c r="C334" s="983"/>
      <c r="D334" s="989"/>
      <c r="E334" s="989"/>
      <c r="F334" s="989"/>
      <c r="G334" s="989"/>
      <c r="H334" s="991"/>
      <c r="I334" s="991"/>
      <c r="J334" s="962"/>
      <c r="K334" s="963"/>
      <c r="L334" s="963"/>
      <c r="M334" s="962"/>
      <c r="N334" s="963"/>
      <c r="O334" s="963"/>
      <c r="P334" s="962"/>
      <c r="Q334" s="963"/>
      <c r="R334" s="963"/>
      <c r="S334" s="964"/>
      <c r="T334" s="965"/>
      <c r="U334" s="963"/>
      <c r="V334" s="964"/>
    </row>
    <row r="335" s="908" customFormat="1" ht="15.95" customHeight="1" spans="1:22">
      <c r="A335" s="984"/>
      <c r="B335" s="983"/>
      <c r="C335" s="983"/>
      <c r="D335" s="983"/>
      <c r="E335" s="983"/>
      <c r="F335" s="983"/>
      <c r="G335" s="983"/>
      <c r="H335" s="991"/>
      <c r="I335" s="991"/>
      <c r="J335" s="962"/>
      <c r="K335" s="963"/>
      <c r="L335" s="963"/>
      <c r="M335" s="962"/>
      <c r="N335" s="963"/>
      <c r="O335" s="963"/>
      <c r="P335" s="962"/>
      <c r="Q335" s="963"/>
      <c r="R335" s="963"/>
      <c r="S335" s="964"/>
      <c r="T335" s="965"/>
      <c r="U335" s="963"/>
      <c r="V335" s="964"/>
    </row>
    <row r="336" s="908" customFormat="1" ht="15.95" customHeight="1" spans="1:22">
      <c r="A336" s="984"/>
      <c r="B336" s="983"/>
      <c r="C336" s="983"/>
      <c r="D336" s="983"/>
      <c r="E336" s="983"/>
      <c r="F336" s="983"/>
      <c r="G336" s="983"/>
      <c r="H336" s="963"/>
      <c r="I336" s="963"/>
      <c r="J336" s="962"/>
      <c r="K336" s="963"/>
      <c r="L336" s="963"/>
      <c r="M336" s="962"/>
      <c r="N336" s="963"/>
      <c r="O336" s="963"/>
      <c r="P336" s="962"/>
      <c r="Q336" s="963"/>
      <c r="R336" s="963"/>
      <c r="S336" s="964"/>
      <c r="T336" s="965"/>
      <c r="U336" s="963"/>
      <c r="V336" s="964"/>
    </row>
    <row r="337" s="908" customFormat="1" ht="15.95" customHeight="1" spans="1:22">
      <c r="A337" s="984"/>
      <c r="B337" s="983"/>
      <c r="C337" s="983"/>
      <c r="D337" s="983"/>
      <c r="E337" s="983"/>
      <c r="F337" s="983"/>
      <c r="G337" s="983"/>
      <c r="H337" s="991"/>
      <c r="I337" s="991"/>
      <c r="J337" s="962"/>
      <c r="K337" s="963"/>
      <c r="L337" s="963"/>
      <c r="M337" s="962"/>
      <c r="N337" s="963"/>
      <c r="O337" s="963"/>
      <c r="P337" s="962"/>
      <c r="Q337" s="963"/>
      <c r="R337" s="963"/>
      <c r="S337" s="964"/>
      <c r="T337" s="965"/>
      <c r="U337" s="963"/>
      <c r="V337" s="964"/>
    </row>
    <row r="338" s="908" customFormat="1" ht="15.95" customHeight="1" spans="1:22">
      <c r="A338" s="984"/>
      <c r="B338" s="983"/>
      <c r="C338" s="983"/>
      <c r="D338" s="983"/>
      <c r="E338" s="983"/>
      <c r="F338" s="983"/>
      <c r="G338" s="983"/>
      <c r="H338" s="991"/>
      <c r="I338" s="991"/>
      <c r="J338" s="962"/>
      <c r="K338" s="963"/>
      <c r="L338" s="963"/>
      <c r="M338" s="962"/>
      <c r="N338" s="963"/>
      <c r="O338" s="963"/>
      <c r="P338" s="962"/>
      <c r="Q338" s="963"/>
      <c r="R338" s="963"/>
      <c r="S338" s="964"/>
      <c r="T338" s="965"/>
      <c r="U338" s="963"/>
      <c r="V338" s="964"/>
    </row>
    <row r="339" s="908" customFormat="1" ht="15.95" customHeight="1" spans="1:22">
      <c r="A339" s="984"/>
      <c r="B339" s="983"/>
      <c r="C339" s="983"/>
      <c r="D339" s="983"/>
      <c r="E339" s="983"/>
      <c r="F339" s="983"/>
      <c r="G339" s="983"/>
      <c r="H339" s="991"/>
      <c r="I339" s="991"/>
      <c r="J339" s="962"/>
      <c r="K339" s="963"/>
      <c r="L339" s="963"/>
      <c r="M339" s="962"/>
      <c r="N339" s="963"/>
      <c r="O339" s="963"/>
      <c r="P339" s="962"/>
      <c r="Q339" s="963"/>
      <c r="R339" s="963"/>
      <c r="S339" s="964"/>
      <c r="T339" s="965"/>
      <c r="U339" s="963"/>
      <c r="V339" s="964"/>
    </row>
    <row r="340" s="908" customFormat="1" ht="15.95" customHeight="1" spans="1:22">
      <c r="A340" s="984"/>
      <c r="B340" s="983"/>
      <c r="C340" s="983"/>
      <c r="D340" s="983"/>
      <c r="E340" s="983"/>
      <c r="F340" s="983"/>
      <c r="G340" s="983"/>
      <c r="H340" s="991"/>
      <c r="I340" s="991"/>
      <c r="J340" s="962"/>
      <c r="K340" s="963"/>
      <c r="L340" s="963"/>
      <c r="M340" s="962"/>
      <c r="N340" s="963"/>
      <c r="O340" s="963"/>
      <c r="P340" s="962"/>
      <c r="Q340" s="963"/>
      <c r="R340" s="963"/>
      <c r="S340" s="964"/>
      <c r="T340" s="965"/>
      <c r="U340" s="963"/>
      <c r="V340" s="964"/>
    </row>
    <row r="341" s="908" customFormat="1" ht="15.95" customHeight="1" spans="1:22">
      <c r="A341" s="984"/>
      <c r="B341" s="983"/>
      <c r="C341" s="983"/>
      <c r="D341" s="983"/>
      <c r="E341" s="983"/>
      <c r="F341" s="983"/>
      <c r="G341" s="983"/>
      <c r="H341" s="991"/>
      <c r="I341" s="991"/>
      <c r="J341" s="962"/>
      <c r="K341" s="963"/>
      <c r="L341" s="963"/>
      <c r="M341" s="962"/>
      <c r="N341" s="963"/>
      <c r="O341" s="963"/>
      <c r="P341" s="962"/>
      <c r="Q341" s="963"/>
      <c r="R341" s="963"/>
      <c r="S341" s="964"/>
      <c r="T341" s="965"/>
      <c r="U341" s="963"/>
      <c r="V341" s="964"/>
    </row>
    <row r="342" s="908" customFormat="1" ht="15.95" customHeight="1" spans="1:22">
      <c r="A342" s="984"/>
      <c r="B342" s="983"/>
      <c r="C342" s="969"/>
      <c r="D342" s="983"/>
      <c r="E342" s="983"/>
      <c r="F342" s="983"/>
      <c r="G342" s="983"/>
      <c r="H342" s="991"/>
      <c r="I342" s="991"/>
      <c r="J342" s="962"/>
      <c r="K342" s="963"/>
      <c r="L342" s="963"/>
      <c r="M342" s="962"/>
      <c r="N342" s="963"/>
      <c r="O342" s="963"/>
      <c r="P342" s="962"/>
      <c r="Q342" s="963"/>
      <c r="R342" s="963"/>
      <c r="S342" s="964"/>
      <c r="T342" s="965"/>
      <c r="U342" s="963"/>
      <c r="V342" s="964"/>
    </row>
    <row r="343" s="908" customFormat="1" ht="15.95" customHeight="1" spans="1:22">
      <c r="A343" s="984"/>
      <c r="B343" s="983"/>
      <c r="C343" s="983"/>
      <c r="D343" s="983"/>
      <c r="E343" s="983"/>
      <c r="F343" s="983"/>
      <c r="G343" s="983"/>
      <c r="H343" s="991"/>
      <c r="I343" s="991"/>
      <c r="J343" s="962"/>
      <c r="K343" s="963"/>
      <c r="L343" s="963"/>
      <c r="M343" s="962"/>
      <c r="N343" s="963"/>
      <c r="O343" s="963"/>
      <c r="P343" s="962"/>
      <c r="Q343" s="963"/>
      <c r="R343" s="963"/>
      <c r="S343" s="964"/>
      <c r="T343" s="965"/>
      <c r="U343" s="963"/>
      <c r="V343" s="964"/>
    </row>
    <row r="344" s="908" customFormat="1" ht="15.95" customHeight="1" spans="1:22">
      <c r="A344" s="984"/>
      <c r="B344" s="983"/>
      <c r="C344" s="983"/>
      <c r="D344" s="983"/>
      <c r="E344" s="983"/>
      <c r="F344" s="983"/>
      <c r="G344" s="983"/>
      <c r="H344" s="963"/>
      <c r="I344" s="963"/>
      <c r="J344" s="962"/>
      <c r="K344" s="963"/>
      <c r="L344" s="963"/>
      <c r="M344" s="962"/>
      <c r="N344" s="963"/>
      <c r="O344" s="963"/>
      <c r="P344" s="962"/>
      <c r="Q344" s="963"/>
      <c r="R344" s="963"/>
      <c r="S344" s="964"/>
      <c r="T344" s="965"/>
      <c r="U344" s="963"/>
      <c r="V344" s="964"/>
    </row>
    <row r="345" s="908" customFormat="1" ht="15.95" customHeight="1" spans="1:22">
      <c r="A345" s="984"/>
      <c r="B345" s="983"/>
      <c r="C345" s="983"/>
      <c r="D345" s="983"/>
      <c r="E345" s="983"/>
      <c r="F345" s="983"/>
      <c r="G345" s="983"/>
      <c r="H345" s="991"/>
      <c r="I345" s="991"/>
      <c r="J345" s="962"/>
      <c r="K345" s="963"/>
      <c r="L345" s="963"/>
      <c r="M345" s="962"/>
      <c r="N345" s="963"/>
      <c r="O345" s="963"/>
      <c r="P345" s="962"/>
      <c r="Q345" s="963"/>
      <c r="R345" s="963"/>
      <c r="S345" s="964"/>
      <c r="T345" s="965"/>
      <c r="U345" s="963"/>
      <c r="V345" s="964"/>
    </row>
    <row r="346" s="908" customFormat="1" ht="15.95" customHeight="1" spans="1:22">
      <c r="A346" s="984"/>
      <c r="B346" s="983"/>
      <c r="C346" s="983"/>
      <c r="D346" s="983"/>
      <c r="E346" s="983"/>
      <c r="F346" s="983"/>
      <c r="G346" s="983"/>
      <c r="H346" s="991"/>
      <c r="I346" s="991"/>
      <c r="J346" s="962"/>
      <c r="K346" s="963"/>
      <c r="L346" s="963"/>
      <c r="M346" s="962"/>
      <c r="N346" s="963"/>
      <c r="O346" s="963"/>
      <c r="P346" s="962"/>
      <c r="Q346" s="963"/>
      <c r="R346" s="963"/>
      <c r="S346" s="964"/>
      <c r="T346" s="965"/>
      <c r="U346" s="963"/>
      <c r="V346" s="964"/>
    </row>
    <row r="347" s="908" customFormat="1" ht="15.95" customHeight="1" spans="1:22">
      <c r="A347" s="984"/>
      <c r="B347" s="983"/>
      <c r="C347" s="983"/>
      <c r="D347" s="983"/>
      <c r="E347" s="983"/>
      <c r="F347" s="983"/>
      <c r="G347" s="983"/>
      <c r="H347" s="991"/>
      <c r="I347" s="991"/>
      <c r="J347" s="962"/>
      <c r="K347" s="963"/>
      <c r="L347" s="963"/>
      <c r="M347" s="962"/>
      <c r="N347" s="963"/>
      <c r="O347" s="963"/>
      <c r="P347" s="962"/>
      <c r="Q347" s="963"/>
      <c r="R347" s="963"/>
      <c r="S347" s="964"/>
      <c r="T347" s="965"/>
      <c r="U347" s="963"/>
      <c r="V347" s="964"/>
    </row>
    <row r="348" s="908" customFormat="1" ht="15.95" customHeight="1" spans="1:22">
      <c r="A348" s="984"/>
      <c r="B348" s="983"/>
      <c r="C348" s="983"/>
      <c r="D348" s="983"/>
      <c r="E348" s="983"/>
      <c r="F348" s="983"/>
      <c r="G348" s="983"/>
      <c r="H348" s="991"/>
      <c r="I348" s="991"/>
      <c r="J348" s="962"/>
      <c r="K348" s="963"/>
      <c r="L348" s="963"/>
      <c r="M348" s="962"/>
      <c r="N348" s="963"/>
      <c r="O348" s="963"/>
      <c r="P348" s="962"/>
      <c r="Q348" s="963"/>
      <c r="R348" s="963"/>
      <c r="S348" s="964"/>
      <c r="T348" s="965"/>
      <c r="U348" s="963"/>
      <c r="V348" s="964"/>
    </row>
    <row r="349" s="908" customFormat="1" ht="15.95" customHeight="1" spans="1:22">
      <c r="A349" s="984"/>
      <c r="B349" s="983"/>
      <c r="C349" s="983"/>
      <c r="D349" s="983"/>
      <c r="E349" s="983"/>
      <c r="F349" s="983"/>
      <c r="G349" s="983"/>
      <c r="H349" s="991"/>
      <c r="I349" s="991"/>
      <c r="J349" s="962"/>
      <c r="K349" s="963"/>
      <c r="L349" s="963"/>
      <c r="M349" s="962"/>
      <c r="N349" s="963"/>
      <c r="O349" s="963"/>
      <c r="P349" s="962"/>
      <c r="Q349" s="963"/>
      <c r="R349" s="963"/>
      <c r="S349" s="964"/>
      <c r="T349" s="965"/>
      <c r="U349" s="963"/>
      <c r="V349" s="964"/>
    </row>
    <row r="350" s="908" customFormat="1" ht="15.95" customHeight="1" spans="1:22">
      <c r="A350" s="984"/>
      <c r="B350" s="983"/>
      <c r="C350" s="983"/>
      <c r="D350" s="983"/>
      <c r="E350" s="983"/>
      <c r="F350" s="983"/>
      <c r="G350" s="983"/>
      <c r="H350" s="991"/>
      <c r="I350" s="991"/>
      <c r="J350" s="962"/>
      <c r="K350" s="963"/>
      <c r="L350" s="963"/>
      <c r="M350" s="962"/>
      <c r="N350" s="963"/>
      <c r="O350" s="963"/>
      <c r="P350" s="962"/>
      <c r="Q350" s="963"/>
      <c r="R350" s="963"/>
      <c r="S350" s="964"/>
      <c r="T350" s="965"/>
      <c r="U350" s="963"/>
      <c r="V350" s="964"/>
    </row>
    <row r="351" s="908" customFormat="1" ht="15.95" customHeight="1" spans="1:22">
      <c r="A351" s="984"/>
      <c r="B351" s="969"/>
      <c r="C351" s="983"/>
      <c r="D351" s="983"/>
      <c r="E351" s="983"/>
      <c r="F351" s="983"/>
      <c r="G351" s="983"/>
      <c r="H351" s="991"/>
      <c r="I351" s="991"/>
      <c r="J351" s="962"/>
      <c r="K351" s="963"/>
      <c r="L351" s="963"/>
      <c r="M351" s="962"/>
      <c r="N351" s="963"/>
      <c r="O351" s="963"/>
      <c r="P351" s="962"/>
      <c r="Q351" s="963"/>
      <c r="R351" s="963"/>
      <c r="S351" s="964"/>
      <c r="T351" s="965"/>
      <c r="U351" s="963"/>
      <c r="V351" s="964"/>
    </row>
    <row r="352" s="908" customFormat="1" ht="15.95" customHeight="1" spans="1:22">
      <c r="A352" s="984"/>
      <c r="B352" s="983"/>
      <c r="C352" s="969"/>
      <c r="D352" s="963"/>
      <c r="E352" s="963"/>
      <c r="F352" s="963"/>
      <c r="G352" s="963"/>
      <c r="H352" s="991"/>
      <c r="I352" s="991"/>
      <c r="J352" s="962"/>
      <c r="K352" s="963"/>
      <c r="L352" s="963"/>
      <c r="M352" s="962"/>
      <c r="N352" s="963"/>
      <c r="O352" s="963"/>
      <c r="P352" s="962"/>
      <c r="Q352" s="963"/>
      <c r="R352" s="963"/>
      <c r="S352" s="964"/>
      <c r="T352" s="965"/>
      <c r="U352" s="963"/>
      <c r="V352" s="964"/>
    </row>
    <row r="353" s="908" customFormat="1" ht="15.95" customHeight="1" spans="1:22">
      <c r="A353" s="984"/>
      <c r="B353" s="983"/>
      <c r="C353" s="969"/>
      <c r="D353" s="963"/>
      <c r="E353" s="963"/>
      <c r="F353" s="963"/>
      <c r="G353" s="963"/>
      <c r="H353" s="991"/>
      <c r="I353" s="991"/>
      <c r="J353" s="962"/>
      <c r="K353" s="963"/>
      <c r="L353" s="963"/>
      <c r="M353" s="962"/>
      <c r="N353" s="963"/>
      <c r="O353" s="963"/>
      <c r="P353" s="962"/>
      <c r="Q353" s="963"/>
      <c r="R353" s="963"/>
      <c r="S353" s="964"/>
      <c r="T353" s="965"/>
      <c r="U353" s="963"/>
      <c r="V353" s="964"/>
    </row>
    <row r="354" s="908" customFormat="1" ht="15.95" customHeight="1" spans="1:22">
      <c r="A354" s="984"/>
      <c r="B354" s="983"/>
      <c r="C354" s="969"/>
      <c r="D354" s="963"/>
      <c r="E354" s="963"/>
      <c r="F354" s="963"/>
      <c r="G354" s="963"/>
      <c r="H354" s="991"/>
      <c r="I354" s="991"/>
      <c r="J354" s="962"/>
      <c r="K354" s="963"/>
      <c r="L354" s="963"/>
      <c r="M354" s="962"/>
      <c r="N354" s="963"/>
      <c r="O354" s="963"/>
      <c r="P354" s="962"/>
      <c r="Q354" s="963"/>
      <c r="R354" s="963"/>
      <c r="S354" s="964"/>
      <c r="T354" s="965"/>
      <c r="U354" s="963"/>
      <c r="V354" s="964"/>
    </row>
    <row r="355" s="908" customFormat="1" ht="15.95" customHeight="1" spans="1:22">
      <c r="A355" s="984"/>
      <c r="B355" s="983"/>
      <c r="C355" s="983"/>
      <c r="D355" s="963"/>
      <c r="E355" s="963"/>
      <c r="F355" s="963"/>
      <c r="G355" s="963"/>
      <c r="H355" s="991"/>
      <c r="I355" s="991"/>
      <c r="J355" s="963"/>
      <c r="K355" s="963"/>
      <c r="L355" s="963"/>
      <c r="M355" s="962"/>
      <c r="N355" s="963"/>
      <c r="O355" s="963"/>
      <c r="P355" s="962"/>
      <c r="Q355" s="963"/>
      <c r="R355" s="963"/>
      <c r="S355" s="964"/>
      <c r="T355" s="965"/>
      <c r="U355" s="963"/>
      <c r="V355" s="964"/>
    </row>
    <row r="356" s="908" customFormat="1" ht="15.95" customHeight="1" spans="1:22">
      <c r="A356" s="984"/>
      <c r="B356" s="969"/>
      <c r="C356" s="983"/>
      <c r="D356" s="983"/>
      <c r="E356" s="983"/>
      <c r="F356" s="983"/>
      <c r="G356" s="983"/>
      <c r="H356" s="991"/>
      <c r="I356" s="991"/>
      <c r="J356" s="962"/>
      <c r="K356" s="963"/>
      <c r="L356" s="963"/>
      <c r="M356" s="962"/>
      <c r="N356" s="963"/>
      <c r="O356" s="963"/>
      <c r="P356" s="962"/>
      <c r="Q356" s="963"/>
      <c r="R356" s="963"/>
      <c r="S356" s="964"/>
      <c r="T356" s="965"/>
      <c r="U356" s="963"/>
      <c r="V356" s="964"/>
    </row>
    <row r="357" s="908" customFormat="1" ht="15.95" customHeight="1" spans="1:22">
      <c r="A357" s="984"/>
      <c r="B357" s="983"/>
      <c r="C357" s="969"/>
      <c r="D357" s="983"/>
      <c r="E357" s="983"/>
      <c r="F357" s="983"/>
      <c r="G357" s="983"/>
      <c r="H357" s="991"/>
      <c r="I357" s="991"/>
      <c r="J357" s="962"/>
      <c r="K357" s="963"/>
      <c r="L357" s="963"/>
      <c r="M357" s="962"/>
      <c r="N357" s="963"/>
      <c r="O357" s="963"/>
      <c r="P357" s="962"/>
      <c r="Q357" s="963"/>
      <c r="R357" s="963"/>
      <c r="S357" s="964"/>
      <c r="T357" s="965"/>
      <c r="U357" s="963"/>
      <c r="V357" s="964"/>
    </row>
    <row r="358" s="908" customFormat="1" ht="15.95" customHeight="1" spans="1:22">
      <c r="A358" s="984"/>
      <c r="B358" s="983"/>
      <c r="C358" s="969"/>
      <c r="D358" s="983"/>
      <c r="E358" s="983"/>
      <c r="F358" s="983"/>
      <c r="G358" s="983"/>
      <c r="H358" s="991"/>
      <c r="I358" s="991"/>
      <c r="J358" s="962"/>
      <c r="K358" s="963"/>
      <c r="L358" s="963"/>
      <c r="M358" s="962"/>
      <c r="N358" s="963"/>
      <c r="O358" s="963"/>
      <c r="P358" s="962"/>
      <c r="Q358" s="963"/>
      <c r="R358" s="963"/>
      <c r="S358" s="964"/>
      <c r="T358" s="965"/>
      <c r="U358" s="963"/>
      <c r="V358" s="964"/>
    </row>
    <row r="359" s="908" customFormat="1" ht="15.95" customHeight="1" spans="1:22">
      <c r="A359" s="984"/>
      <c r="B359" s="983"/>
      <c r="C359" s="983"/>
      <c r="D359" s="983"/>
      <c r="E359" s="983"/>
      <c r="F359" s="983"/>
      <c r="G359" s="983"/>
      <c r="H359" s="991"/>
      <c r="I359" s="991"/>
      <c r="J359" s="962"/>
      <c r="K359" s="963"/>
      <c r="L359" s="963"/>
      <c r="M359" s="962"/>
      <c r="N359" s="963"/>
      <c r="O359" s="963"/>
      <c r="P359" s="962"/>
      <c r="Q359" s="998"/>
      <c r="R359" s="963"/>
      <c r="S359" s="964"/>
      <c r="T359" s="965"/>
      <c r="U359" s="963"/>
      <c r="V359" s="964"/>
    </row>
    <row r="360" s="908" customFormat="1" ht="15.95" customHeight="1" spans="1:22">
      <c r="A360" s="984"/>
      <c r="B360" s="983"/>
      <c r="C360" s="983"/>
      <c r="D360" s="983"/>
      <c r="E360" s="983"/>
      <c r="F360" s="983"/>
      <c r="G360" s="983"/>
      <c r="H360" s="991"/>
      <c r="I360" s="991"/>
      <c r="J360" s="962"/>
      <c r="K360" s="963"/>
      <c r="L360" s="963"/>
      <c r="M360" s="962"/>
      <c r="N360" s="963"/>
      <c r="O360" s="963"/>
      <c r="P360" s="962"/>
      <c r="Q360" s="998"/>
      <c r="R360" s="963"/>
      <c r="S360" s="964"/>
      <c r="T360" s="965"/>
      <c r="U360" s="963"/>
      <c r="V360" s="964"/>
    </row>
    <row r="361" s="908" customFormat="1" ht="15.95" customHeight="1" spans="1:22">
      <c r="A361" s="984"/>
      <c r="B361" s="969"/>
      <c r="C361" s="983"/>
      <c r="D361" s="983"/>
      <c r="E361" s="983"/>
      <c r="F361" s="983"/>
      <c r="G361" s="983"/>
      <c r="H361" s="991"/>
      <c r="I361" s="991"/>
      <c r="J361" s="962"/>
      <c r="K361" s="963"/>
      <c r="L361" s="963"/>
      <c r="M361" s="962"/>
      <c r="N361" s="963"/>
      <c r="O361" s="963"/>
      <c r="P361" s="962"/>
      <c r="Q361" s="998"/>
      <c r="R361" s="963"/>
      <c r="S361" s="964"/>
      <c r="T361" s="965"/>
      <c r="U361" s="963"/>
      <c r="V361" s="964"/>
    </row>
    <row r="362" s="908" customFormat="1" ht="15.95" customHeight="1" spans="1:22">
      <c r="A362" s="984"/>
      <c r="B362" s="969"/>
      <c r="C362" s="983"/>
      <c r="D362" s="983"/>
      <c r="E362" s="983"/>
      <c r="F362" s="983"/>
      <c r="G362" s="983"/>
      <c r="H362" s="991"/>
      <c r="I362" s="991"/>
      <c r="J362" s="962"/>
      <c r="K362" s="963"/>
      <c r="L362" s="963"/>
      <c r="M362" s="962"/>
      <c r="N362" s="963"/>
      <c r="O362" s="963"/>
      <c r="P362" s="962"/>
      <c r="Q362" s="998"/>
      <c r="R362" s="963"/>
      <c r="S362" s="964"/>
      <c r="T362" s="965"/>
      <c r="U362" s="963"/>
      <c r="V362" s="964"/>
    </row>
    <row r="363" s="908" customFormat="1" ht="15.95" customHeight="1" spans="1:22">
      <c r="A363" s="984"/>
      <c r="B363" s="983"/>
      <c r="C363" s="983"/>
      <c r="D363" s="983"/>
      <c r="E363" s="983"/>
      <c r="F363" s="983"/>
      <c r="G363" s="983"/>
      <c r="H363" s="991"/>
      <c r="I363" s="991"/>
      <c r="J363" s="962"/>
      <c r="K363" s="963"/>
      <c r="L363" s="963"/>
      <c r="M363" s="962"/>
      <c r="N363" s="963"/>
      <c r="O363" s="963"/>
      <c r="P363" s="962"/>
      <c r="Q363" s="963"/>
      <c r="R363" s="963"/>
      <c r="S363" s="964"/>
      <c r="T363" s="965"/>
      <c r="U363" s="963"/>
      <c r="V363" s="964"/>
    </row>
    <row r="364" s="908" customFormat="1" ht="15.95" customHeight="1" spans="1:22">
      <c r="A364" s="984"/>
      <c r="B364" s="983"/>
      <c r="C364" s="983"/>
      <c r="D364" s="983"/>
      <c r="E364" s="983"/>
      <c r="F364" s="983"/>
      <c r="G364" s="983"/>
      <c r="H364" s="991"/>
      <c r="I364" s="991"/>
      <c r="J364" s="962"/>
      <c r="K364" s="963"/>
      <c r="L364" s="963"/>
      <c r="M364" s="962"/>
      <c r="N364" s="963"/>
      <c r="O364" s="963"/>
      <c r="P364" s="962"/>
      <c r="Q364" s="963"/>
      <c r="R364" s="963"/>
      <c r="S364" s="964"/>
      <c r="T364" s="965"/>
      <c r="U364" s="963"/>
      <c r="V364" s="964"/>
    </row>
    <row r="365" s="908" customFormat="1" ht="15.95" customHeight="1" spans="1:22">
      <c r="A365" s="984"/>
      <c r="B365" s="983"/>
      <c r="C365" s="983"/>
      <c r="D365" s="969"/>
      <c r="E365" s="969"/>
      <c r="F365" s="969"/>
      <c r="G365" s="969"/>
      <c r="H365" s="991"/>
      <c r="I365" s="991"/>
      <c r="J365" s="962"/>
      <c r="K365" s="963"/>
      <c r="L365" s="963"/>
      <c r="M365" s="962"/>
      <c r="N365" s="963"/>
      <c r="O365" s="963"/>
      <c r="P365" s="962"/>
      <c r="Q365" s="963"/>
      <c r="R365" s="963"/>
      <c r="S365" s="964"/>
      <c r="T365" s="965"/>
      <c r="U365" s="963"/>
      <c r="V365" s="964"/>
    </row>
    <row r="366" s="908" customFormat="1" ht="15.95" customHeight="1" spans="1:22">
      <c r="A366" s="984"/>
      <c r="B366" s="983"/>
      <c r="C366" s="983"/>
      <c r="D366" s="983"/>
      <c r="E366" s="983"/>
      <c r="F366" s="983"/>
      <c r="G366" s="983"/>
      <c r="H366" s="991"/>
      <c r="I366" s="991"/>
      <c r="J366" s="962"/>
      <c r="K366" s="963"/>
      <c r="L366" s="963"/>
      <c r="M366" s="962"/>
      <c r="N366" s="963"/>
      <c r="O366" s="963"/>
      <c r="P366" s="962"/>
      <c r="Q366" s="963"/>
      <c r="R366" s="963"/>
      <c r="S366" s="964"/>
      <c r="T366" s="965"/>
      <c r="U366" s="963"/>
      <c r="V366" s="964"/>
    </row>
    <row r="367" s="908" customFormat="1" ht="15.95" customHeight="1" spans="1:22">
      <c r="A367" s="984"/>
      <c r="B367" s="983"/>
      <c r="C367" s="983"/>
      <c r="D367" s="983"/>
      <c r="E367" s="983"/>
      <c r="F367" s="983"/>
      <c r="G367" s="983"/>
      <c r="H367" s="999"/>
      <c r="I367" s="991"/>
      <c r="J367" s="962"/>
      <c r="K367" s="963"/>
      <c r="L367" s="963"/>
      <c r="M367" s="962"/>
      <c r="N367" s="963"/>
      <c r="O367" s="963"/>
      <c r="P367" s="962"/>
      <c r="Q367" s="963"/>
      <c r="R367" s="963"/>
      <c r="S367" s="964"/>
      <c r="T367" s="965"/>
      <c r="U367" s="963"/>
      <c r="V367" s="964"/>
    </row>
    <row r="368" s="908" customFormat="1" ht="15.95" customHeight="1" spans="1:22">
      <c r="A368" s="984"/>
      <c r="B368" s="983"/>
      <c r="C368" s="983"/>
      <c r="D368" s="983"/>
      <c r="E368" s="983"/>
      <c r="F368" s="983"/>
      <c r="G368" s="983"/>
      <c r="H368" s="991"/>
      <c r="I368" s="991"/>
      <c r="J368" s="962"/>
      <c r="K368" s="963"/>
      <c r="L368" s="963"/>
      <c r="M368" s="962"/>
      <c r="N368" s="963"/>
      <c r="O368" s="963"/>
      <c r="P368" s="962"/>
      <c r="Q368" s="963"/>
      <c r="R368" s="963"/>
      <c r="S368" s="964"/>
      <c r="T368" s="965"/>
      <c r="U368" s="963"/>
      <c r="V368" s="964"/>
    </row>
    <row r="369" s="908" customFormat="1" ht="15.95" customHeight="1" spans="1:22">
      <c r="A369" s="984"/>
      <c r="B369" s="983"/>
      <c r="C369" s="983"/>
      <c r="D369" s="983"/>
      <c r="E369" s="983"/>
      <c r="F369" s="983"/>
      <c r="G369" s="983"/>
      <c r="H369" s="991"/>
      <c r="I369" s="991"/>
      <c r="J369" s="962"/>
      <c r="K369" s="963"/>
      <c r="L369" s="963"/>
      <c r="M369" s="962"/>
      <c r="N369" s="963"/>
      <c r="O369" s="963"/>
      <c r="P369" s="962"/>
      <c r="Q369" s="998"/>
      <c r="R369" s="963"/>
      <c r="S369" s="964"/>
      <c r="T369" s="965"/>
      <c r="U369" s="963"/>
      <c r="V369" s="964"/>
    </row>
    <row r="370" s="908" customFormat="1" ht="15.95" customHeight="1" spans="1:22">
      <c r="A370" s="984"/>
      <c r="B370" s="969"/>
      <c r="C370" s="983"/>
      <c r="D370" s="983"/>
      <c r="E370" s="983"/>
      <c r="F370" s="983"/>
      <c r="G370" s="983"/>
      <c r="H370" s="991"/>
      <c r="I370" s="991"/>
      <c r="J370" s="962"/>
      <c r="K370" s="963"/>
      <c r="L370" s="963"/>
      <c r="M370" s="962"/>
      <c r="N370" s="963"/>
      <c r="O370" s="963"/>
      <c r="P370" s="962"/>
      <c r="Q370" s="998"/>
      <c r="R370" s="963"/>
      <c r="S370" s="964"/>
      <c r="T370" s="965"/>
      <c r="U370" s="963"/>
      <c r="V370" s="964"/>
    </row>
    <row r="371" s="908" customFormat="1" ht="15.95" customHeight="1" spans="1:22">
      <c r="A371" s="984"/>
      <c r="B371" s="983"/>
      <c r="C371" s="969"/>
      <c r="D371" s="983"/>
      <c r="E371" s="983"/>
      <c r="F371" s="983"/>
      <c r="G371" s="983"/>
      <c r="H371" s="991"/>
      <c r="I371" s="991"/>
      <c r="J371" s="962"/>
      <c r="K371" s="963"/>
      <c r="L371" s="963"/>
      <c r="M371" s="962"/>
      <c r="N371" s="963"/>
      <c r="O371" s="963"/>
      <c r="P371" s="962"/>
      <c r="Q371" s="998"/>
      <c r="R371" s="963"/>
      <c r="S371" s="964"/>
      <c r="T371" s="965"/>
      <c r="U371" s="963"/>
      <c r="V371" s="964"/>
    </row>
    <row r="372" s="908" customFormat="1" ht="15.95" customHeight="1" spans="1:22">
      <c r="A372" s="984"/>
      <c r="B372" s="983"/>
      <c r="C372" s="969"/>
      <c r="D372" s="983"/>
      <c r="E372" s="983"/>
      <c r="F372" s="983"/>
      <c r="G372" s="983"/>
      <c r="H372" s="991"/>
      <c r="I372" s="991"/>
      <c r="J372" s="962"/>
      <c r="K372" s="963"/>
      <c r="L372" s="963"/>
      <c r="M372" s="962"/>
      <c r="N372" s="963"/>
      <c r="O372" s="963"/>
      <c r="P372" s="962"/>
      <c r="Q372" s="998"/>
      <c r="R372" s="963"/>
      <c r="S372" s="964"/>
      <c r="T372" s="965"/>
      <c r="U372" s="963"/>
      <c r="V372" s="964"/>
    </row>
    <row r="373" s="908" customFormat="1" ht="15.95" customHeight="1" spans="1:22">
      <c r="A373" s="984"/>
      <c r="B373" s="983"/>
      <c r="C373" s="983"/>
      <c r="D373" s="983"/>
      <c r="E373" s="983"/>
      <c r="F373" s="983"/>
      <c r="G373" s="983"/>
      <c r="H373" s="991"/>
      <c r="I373" s="991"/>
      <c r="J373" s="962"/>
      <c r="K373" s="963"/>
      <c r="L373" s="963"/>
      <c r="M373" s="962"/>
      <c r="N373" s="963"/>
      <c r="O373" s="963"/>
      <c r="P373" s="962"/>
      <c r="Q373" s="998"/>
      <c r="R373" s="963"/>
      <c r="S373" s="964"/>
      <c r="T373" s="965"/>
      <c r="U373" s="963"/>
      <c r="V373" s="964"/>
    </row>
    <row r="374" s="908" customFormat="1" ht="15.95" customHeight="1" spans="1:22">
      <c r="A374" s="984"/>
      <c r="B374" s="969"/>
      <c r="C374" s="983"/>
      <c r="D374" s="983"/>
      <c r="E374" s="983"/>
      <c r="F374" s="983"/>
      <c r="G374" s="983"/>
      <c r="H374" s="991"/>
      <c r="I374" s="991"/>
      <c r="J374" s="962"/>
      <c r="K374" s="963"/>
      <c r="L374" s="963"/>
      <c r="M374" s="962"/>
      <c r="N374" s="963"/>
      <c r="O374" s="963"/>
      <c r="P374" s="962"/>
      <c r="Q374" s="998"/>
      <c r="R374" s="963"/>
      <c r="S374" s="964"/>
      <c r="T374" s="965"/>
      <c r="U374" s="963"/>
      <c r="V374" s="964"/>
    </row>
    <row r="375" s="908" customFormat="1" ht="15.95" customHeight="1" spans="1:22">
      <c r="A375" s="984"/>
      <c r="B375" s="983"/>
      <c r="C375" s="969"/>
      <c r="D375" s="963"/>
      <c r="E375" s="963"/>
      <c r="F375" s="963"/>
      <c r="G375" s="963"/>
      <c r="H375" s="991"/>
      <c r="I375" s="991"/>
      <c r="J375" s="962"/>
      <c r="K375" s="963"/>
      <c r="L375" s="963"/>
      <c r="M375" s="962"/>
      <c r="N375" s="963"/>
      <c r="O375" s="963"/>
      <c r="P375" s="962"/>
      <c r="Q375" s="998"/>
      <c r="R375" s="963"/>
      <c r="S375" s="964"/>
      <c r="T375" s="965"/>
      <c r="U375" s="963"/>
      <c r="V375" s="964"/>
    </row>
    <row r="376" s="908" customFormat="1" ht="15.95" customHeight="1" spans="1:22">
      <c r="A376" s="984"/>
      <c r="B376" s="983"/>
      <c r="C376" s="969"/>
      <c r="D376" s="963"/>
      <c r="E376" s="963"/>
      <c r="F376" s="963"/>
      <c r="G376" s="963"/>
      <c r="H376" s="991"/>
      <c r="I376" s="991"/>
      <c r="J376" s="962"/>
      <c r="K376" s="963"/>
      <c r="L376" s="963"/>
      <c r="M376" s="962"/>
      <c r="N376" s="963"/>
      <c r="O376" s="963"/>
      <c r="P376" s="962"/>
      <c r="Q376" s="998"/>
      <c r="R376" s="963"/>
      <c r="S376" s="964"/>
      <c r="T376" s="965"/>
      <c r="U376" s="963"/>
      <c r="V376" s="964"/>
    </row>
    <row r="377" s="908" customFormat="1" ht="15.95" customHeight="1" spans="1:22">
      <c r="A377" s="984"/>
      <c r="B377" s="983"/>
      <c r="C377" s="969"/>
      <c r="D377" s="963"/>
      <c r="E377" s="963"/>
      <c r="F377" s="963"/>
      <c r="G377" s="963"/>
      <c r="H377" s="991"/>
      <c r="I377" s="991"/>
      <c r="J377" s="962"/>
      <c r="K377" s="963"/>
      <c r="L377" s="963"/>
      <c r="M377" s="962"/>
      <c r="N377" s="963"/>
      <c r="O377" s="963"/>
      <c r="P377" s="962"/>
      <c r="Q377" s="998"/>
      <c r="R377" s="963"/>
      <c r="S377" s="964"/>
      <c r="T377" s="965"/>
      <c r="U377" s="963"/>
      <c r="V377" s="964"/>
    </row>
    <row r="378" s="908" customFormat="1" ht="15.95" customHeight="1" spans="1:22">
      <c r="A378" s="984"/>
      <c r="B378" s="983"/>
      <c r="C378" s="969"/>
      <c r="D378" s="983"/>
      <c r="E378" s="983"/>
      <c r="F378" s="983"/>
      <c r="G378" s="983"/>
      <c r="H378" s="991"/>
      <c r="I378" s="991"/>
      <c r="J378" s="962"/>
      <c r="K378" s="963"/>
      <c r="L378" s="963"/>
      <c r="M378" s="962"/>
      <c r="N378" s="963"/>
      <c r="O378" s="963"/>
      <c r="P378" s="962"/>
      <c r="Q378" s="998"/>
      <c r="R378" s="963"/>
      <c r="S378" s="964"/>
      <c r="T378" s="965"/>
      <c r="U378" s="963"/>
      <c r="V378" s="964"/>
    </row>
    <row r="379" s="908" customFormat="1" ht="15.95" customHeight="1" spans="1:22">
      <c r="A379" s="984"/>
      <c r="B379" s="983"/>
      <c r="C379" s="969"/>
      <c r="D379" s="983"/>
      <c r="E379" s="983"/>
      <c r="F379" s="983"/>
      <c r="G379" s="983"/>
      <c r="H379" s="991"/>
      <c r="I379" s="991"/>
      <c r="J379" s="962"/>
      <c r="K379" s="963"/>
      <c r="L379" s="963"/>
      <c r="M379" s="962"/>
      <c r="N379" s="963"/>
      <c r="O379" s="963"/>
      <c r="P379" s="962"/>
      <c r="Q379" s="998"/>
      <c r="R379" s="963"/>
      <c r="S379" s="964"/>
      <c r="T379" s="965"/>
      <c r="U379" s="963"/>
      <c r="V379" s="964"/>
    </row>
    <row r="380" s="908" customFormat="1" ht="15.95" customHeight="1" spans="1:22">
      <c r="A380" s="984"/>
      <c r="B380" s="969"/>
      <c r="C380" s="969"/>
      <c r="D380" s="983"/>
      <c r="E380" s="983"/>
      <c r="F380" s="983"/>
      <c r="G380" s="983"/>
      <c r="H380" s="991"/>
      <c r="I380" s="991"/>
      <c r="J380" s="962"/>
      <c r="K380" s="963"/>
      <c r="L380" s="963"/>
      <c r="M380" s="962"/>
      <c r="N380" s="963"/>
      <c r="O380" s="963"/>
      <c r="P380" s="962"/>
      <c r="Q380" s="998"/>
      <c r="R380" s="963"/>
      <c r="S380" s="964"/>
      <c r="T380" s="965"/>
      <c r="U380" s="963"/>
      <c r="V380" s="964"/>
    </row>
    <row r="381" s="908" customFormat="1" ht="15.95" customHeight="1" spans="1:22">
      <c r="A381" s="984"/>
      <c r="B381" s="983"/>
      <c r="C381" s="969"/>
      <c r="D381" s="983"/>
      <c r="E381" s="983"/>
      <c r="F381" s="983"/>
      <c r="G381" s="983"/>
      <c r="H381" s="991"/>
      <c r="I381" s="991"/>
      <c r="J381" s="962"/>
      <c r="K381" s="963"/>
      <c r="L381" s="963"/>
      <c r="M381" s="962"/>
      <c r="N381" s="963"/>
      <c r="O381" s="963"/>
      <c r="P381" s="962"/>
      <c r="Q381" s="998"/>
      <c r="R381" s="963"/>
      <c r="S381" s="964"/>
      <c r="T381" s="965"/>
      <c r="U381" s="963"/>
      <c r="V381" s="964"/>
    </row>
    <row r="382" s="908" customFormat="1" ht="15.95" customHeight="1" spans="1:22">
      <c r="A382" s="984"/>
      <c r="B382" s="983"/>
      <c r="C382" s="969"/>
      <c r="D382" s="969"/>
      <c r="E382" s="969"/>
      <c r="F382" s="969"/>
      <c r="G382" s="969"/>
      <c r="H382" s="991"/>
      <c r="I382" s="991"/>
      <c r="J382" s="962"/>
      <c r="K382" s="963"/>
      <c r="L382" s="963"/>
      <c r="M382" s="962"/>
      <c r="N382" s="963"/>
      <c r="O382" s="963"/>
      <c r="P382" s="962"/>
      <c r="Q382" s="998"/>
      <c r="R382" s="963"/>
      <c r="S382" s="964"/>
      <c r="T382" s="965"/>
      <c r="U382" s="963"/>
      <c r="V382" s="964"/>
    </row>
    <row r="383" s="908" customFormat="1" ht="15.95" customHeight="1" spans="1:22">
      <c r="A383" s="984"/>
      <c r="B383" s="983"/>
      <c r="C383" s="969"/>
      <c r="D383" s="983"/>
      <c r="E383" s="983"/>
      <c r="F383" s="983"/>
      <c r="G383" s="983"/>
      <c r="H383" s="991"/>
      <c r="I383" s="991"/>
      <c r="J383" s="962"/>
      <c r="K383" s="963"/>
      <c r="L383" s="963"/>
      <c r="M383" s="962"/>
      <c r="N383" s="963"/>
      <c r="O383" s="963"/>
      <c r="P383" s="962"/>
      <c r="Q383" s="998"/>
      <c r="R383" s="963"/>
      <c r="S383" s="964"/>
      <c r="T383" s="965"/>
      <c r="U383" s="963"/>
      <c r="V383" s="964"/>
    </row>
    <row r="384" s="908" customFormat="1" ht="15.95" customHeight="1" spans="1:22">
      <c r="A384" s="984"/>
      <c r="B384" s="983"/>
      <c r="C384" s="983"/>
      <c r="D384" s="983"/>
      <c r="E384" s="983"/>
      <c r="F384" s="983"/>
      <c r="G384" s="983"/>
      <c r="H384" s="991"/>
      <c r="I384" s="991"/>
      <c r="J384" s="962"/>
      <c r="K384" s="963"/>
      <c r="L384" s="963"/>
      <c r="M384" s="962"/>
      <c r="N384" s="963"/>
      <c r="O384" s="963"/>
      <c r="P384" s="962"/>
      <c r="Q384" s="998"/>
      <c r="R384" s="963"/>
      <c r="S384" s="964"/>
      <c r="T384" s="965"/>
      <c r="U384" s="963"/>
      <c r="V384" s="964"/>
    </row>
    <row r="385" s="908" customFormat="1" ht="15.95" customHeight="1" spans="1:22">
      <c r="A385" s="984"/>
      <c r="B385" s="969"/>
      <c r="C385" s="983"/>
      <c r="D385" s="983"/>
      <c r="E385" s="983"/>
      <c r="F385" s="983"/>
      <c r="G385" s="983"/>
      <c r="H385" s="991"/>
      <c r="I385" s="991"/>
      <c r="J385" s="962"/>
      <c r="K385" s="963"/>
      <c r="L385" s="963"/>
      <c r="M385" s="962"/>
      <c r="N385" s="963"/>
      <c r="O385" s="963"/>
      <c r="P385" s="962"/>
      <c r="Q385" s="998"/>
      <c r="R385" s="963"/>
      <c r="S385" s="964"/>
      <c r="T385" s="965"/>
      <c r="U385" s="963"/>
      <c r="V385" s="964"/>
    </row>
    <row r="386" s="908" customFormat="1" ht="15.95" customHeight="1" spans="1:22">
      <c r="A386" s="984"/>
      <c r="B386" s="983"/>
      <c r="C386" s="969"/>
      <c r="D386" s="983"/>
      <c r="E386" s="983"/>
      <c r="F386" s="983"/>
      <c r="G386" s="983"/>
      <c r="H386" s="991"/>
      <c r="I386" s="991"/>
      <c r="J386" s="962"/>
      <c r="K386" s="963"/>
      <c r="L386" s="963"/>
      <c r="M386" s="962"/>
      <c r="N386" s="963"/>
      <c r="O386" s="963"/>
      <c r="P386" s="962"/>
      <c r="Q386" s="998"/>
      <c r="R386" s="963"/>
      <c r="S386" s="964"/>
      <c r="T386" s="965"/>
      <c r="U386" s="963"/>
      <c r="V386" s="964"/>
    </row>
    <row r="387" s="908" customFormat="1" ht="15.95" customHeight="1" spans="1:22">
      <c r="A387" s="984"/>
      <c r="B387" s="983"/>
      <c r="C387" s="969"/>
      <c r="D387" s="983"/>
      <c r="E387" s="983"/>
      <c r="F387" s="983"/>
      <c r="G387" s="983"/>
      <c r="H387" s="991"/>
      <c r="I387" s="991"/>
      <c r="J387" s="962"/>
      <c r="K387" s="963"/>
      <c r="L387" s="963"/>
      <c r="M387" s="962"/>
      <c r="N387" s="963"/>
      <c r="O387" s="963"/>
      <c r="P387" s="962"/>
      <c r="Q387" s="998"/>
      <c r="R387" s="963"/>
      <c r="S387" s="964"/>
      <c r="T387" s="965"/>
      <c r="U387" s="963"/>
      <c r="V387" s="964"/>
    </row>
    <row r="388" s="908" customFormat="1" ht="15.95" customHeight="1" spans="1:22">
      <c r="A388" s="984"/>
      <c r="B388" s="969"/>
      <c r="C388" s="969"/>
      <c r="D388" s="983"/>
      <c r="E388" s="983"/>
      <c r="F388" s="983"/>
      <c r="G388" s="983"/>
      <c r="H388" s="991"/>
      <c r="I388" s="991"/>
      <c r="J388" s="962"/>
      <c r="K388" s="963"/>
      <c r="L388" s="963"/>
      <c r="M388" s="962"/>
      <c r="N388" s="963"/>
      <c r="O388" s="963"/>
      <c r="P388" s="962"/>
      <c r="Q388" s="998"/>
      <c r="R388" s="963"/>
      <c r="S388" s="964"/>
      <c r="T388" s="965"/>
      <c r="U388" s="963"/>
      <c r="V388" s="964"/>
    </row>
    <row r="389" s="908" customFormat="1" ht="15.95" customHeight="1" spans="1:22">
      <c r="A389" s="981"/>
      <c r="B389" s="1000"/>
      <c r="C389" s="1001"/>
      <c r="D389" s="963"/>
      <c r="E389" s="963"/>
      <c r="F389" s="963"/>
      <c r="G389" s="963"/>
      <c r="H389" s="991"/>
      <c r="I389" s="991"/>
      <c r="J389" s="962"/>
      <c r="K389" s="963"/>
      <c r="L389" s="963"/>
      <c r="M389" s="962"/>
      <c r="N389" s="963"/>
      <c r="O389" s="963"/>
      <c r="P389" s="962"/>
      <c r="Q389" s="998"/>
      <c r="R389" s="963"/>
      <c r="S389" s="964"/>
      <c r="T389" s="965"/>
      <c r="U389" s="963"/>
      <c r="V389" s="964"/>
    </row>
    <row r="390" s="908" customFormat="1" ht="15.75" customHeight="1" spans="1:22">
      <c r="A390" s="1002"/>
      <c r="B390" s="1003"/>
      <c r="C390" s="1001"/>
      <c r="D390" s="963"/>
      <c r="E390" s="963"/>
      <c r="F390" s="963"/>
      <c r="G390" s="963"/>
      <c r="H390" s="991"/>
      <c r="I390" s="991"/>
      <c r="J390" s="962"/>
      <c r="K390" s="963"/>
      <c r="L390" s="963"/>
      <c r="M390" s="962"/>
      <c r="N390" s="963"/>
      <c r="O390" s="963"/>
      <c r="P390" s="962"/>
      <c r="Q390" s="998"/>
      <c r="R390" s="963"/>
      <c r="S390" s="964"/>
      <c r="T390" s="965"/>
      <c r="U390" s="963"/>
      <c r="V390" s="964"/>
    </row>
    <row r="391" s="908" customFormat="1" ht="15.95" customHeight="1" spans="1:22">
      <c r="A391" s="1004"/>
      <c r="B391" s="963"/>
      <c r="C391" s="1001"/>
      <c r="D391" s="963"/>
      <c r="E391" s="963"/>
      <c r="F391" s="963"/>
      <c r="G391" s="963"/>
      <c r="H391" s="991"/>
      <c r="I391" s="991"/>
      <c r="J391" s="962"/>
      <c r="K391" s="963"/>
      <c r="L391" s="963"/>
      <c r="M391" s="962"/>
      <c r="N391" s="963"/>
      <c r="O391" s="963"/>
      <c r="P391" s="962"/>
      <c r="Q391" s="998"/>
      <c r="R391" s="963"/>
      <c r="S391" s="964"/>
      <c r="T391" s="965"/>
      <c r="U391" s="963"/>
      <c r="V391" s="964"/>
    </row>
    <row r="392" s="908" customFormat="1" ht="15.95" customHeight="1" spans="1:22">
      <c r="A392" s="984"/>
      <c r="B392" s="983"/>
      <c r="C392" s="983"/>
      <c r="D392" s="983"/>
      <c r="E392" s="983"/>
      <c r="F392" s="983"/>
      <c r="G392" s="983"/>
      <c r="H392" s="991"/>
      <c r="I392" s="991"/>
      <c r="J392" s="962"/>
      <c r="K392" s="963"/>
      <c r="L392" s="963"/>
      <c r="M392" s="962"/>
      <c r="N392" s="963"/>
      <c r="O392" s="963"/>
      <c r="P392" s="962"/>
      <c r="Q392" s="998"/>
      <c r="R392" s="963"/>
      <c r="S392" s="964"/>
      <c r="T392" s="965"/>
      <c r="U392" s="963"/>
      <c r="V392" s="964"/>
    </row>
    <row r="393" s="908" customFormat="1" ht="15.75" customHeight="1" spans="1:22">
      <c r="A393" s="984"/>
      <c r="B393" s="963"/>
      <c r="C393" s="1001"/>
      <c r="D393" s="963"/>
      <c r="E393" s="963"/>
      <c r="F393" s="963"/>
      <c r="G393" s="963"/>
      <c r="H393" s="991"/>
      <c r="I393" s="991"/>
      <c r="J393" s="962"/>
      <c r="K393" s="963"/>
      <c r="L393" s="963"/>
      <c r="M393" s="962"/>
      <c r="N393" s="963"/>
      <c r="O393" s="963"/>
      <c r="P393" s="962"/>
      <c r="Q393" s="998"/>
      <c r="R393" s="963"/>
      <c r="S393" s="964"/>
      <c r="T393" s="965"/>
      <c r="U393" s="963"/>
      <c r="V393" s="964"/>
    </row>
    <row r="394" s="908" customFormat="1" ht="15.95" customHeight="1" spans="1:22">
      <c r="A394" s="984"/>
      <c r="B394" s="963"/>
      <c r="C394" s="1001"/>
      <c r="D394" s="963"/>
      <c r="E394" s="963"/>
      <c r="F394" s="963"/>
      <c r="G394" s="963"/>
      <c r="H394" s="991"/>
      <c r="I394" s="991"/>
      <c r="J394" s="962"/>
      <c r="K394" s="963"/>
      <c r="L394" s="963"/>
      <c r="M394" s="962"/>
      <c r="N394" s="963"/>
      <c r="O394" s="963"/>
      <c r="P394" s="962"/>
      <c r="Q394" s="998"/>
      <c r="R394" s="963"/>
      <c r="S394" s="964"/>
      <c r="T394" s="965"/>
      <c r="U394" s="963"/>
      <c r="V394" s="964"/>
    </row>
    <row r="395" s="908" customFormat="1" ht="15.95" customHeight="1" spans="1:22">
      <c r="A395" s="984"/>
      <c r="B395" s="983"/>
      <c r="C395" s="983"/>
      <c r="D395" s="983"/>
      <c r="E395" s="983"/>
      <c r="F395" s="983"/>
      <c r="G395" s="983"/>
      <c r="H395" s="991"/>
      <c r="I395" s="991"/>
      <c r="J395" s="962"/>
      <c r="K395" s="963"/>
      <c r="L395" s="963"/>
      <c r="M395" s="962"/>
      <c r="N395" s="963"/>
      <c r="O395" s="963"/>
      <c r="P395" s="962"/>
      <c r="Q395" s="998"/>
      <c r="R395" s="963"/>
      <c r="S395" s="964"/>
      <c r="T395" s="965"/>
      <c r="U395" s="963"/>
      <c r="V395" s="964"/>
    </row>
    <row r="396" s="908" customFormat="1" ht="15.95" customHeight="1" spans="1:22">
      <c r="A396" s="984"/>
      <c r="B396" s="963"/>
      <c r="C396" s="1001"/>
      <c r="D396" s="963"/>
      <c r="E396" s="963"/>
      <c r="F396" s="963"/>
      <c r="G396" s="963"/>
      <c r="H396" s="991"/>
      <c r="I396" s="991"/>
      <c r="J396" s="962"/>
      <c r="K396" s="963"/>
      <c r="L396" s="963"/>
      <c r="M396" s="962"/>
      <c r="N396" s="963"/>
      <c r="O396" s="963"/>
      <c r="P396" s="962"/>
      <c r="Q396" s="998"/>
      <c r="R396" s="963"/>
      <c r="S396" s="964"/>
      <c r="T396" s="965"/>
      <c r="U396" s="963"/>
      <c r="V396" s="964"/>
    </row>
    <row r="397" s="908" customFormat="1" ht="15.95" customHeight="1" spans="1:22">
      <c r="A397" s="984"/>
      <c r="B397" s="983"/>
      <c r="C397" s="963"/>
      <c r="D397" s="963"/>
      <c r="E397" s="963"/>
      <c r="F397" s="963"/>
      <c r="G397" s="963"/>
      <c r="H397" s="991"/>
      <c r="I397" s="991"/>
      <c r="J397" s="962"/>
      <c r="K397" s="963"/>
      <c r="L397" s="963"/>
      <c r="M397" s="962"/>
      <c r="N397" s="963"/>
      <c r="O397" s="963"/>
      <c r="P397" s="962"/>
      <c r="Q397" s="998"/>
      <c r="R397" s="963"/>
      <c r="S397" s="964"/>
      <c r="T397" s="965"/>
      <c r="U397" s="963"/>
      <c r="V397" s="964"/>
    </row>
    <row r="398" s="908" customFormat="1" ht="15.95" customHeight="1" spans="1:22">
      <c r="A398" s="984"/>
      <c r="B398" s="983"/>
      <c r="C398" s="983"/>
      <c r="D398" s="983"/>
      <c r="E398" s="983"/>
      <c r="F398" s="983"/>
      <c r="G398" s="983"/>
      <c r="H398" s="991"/>
      <c r="I398" s="991"/>
      <c r="J398" s="962"/>
      <c r="K398" s="963"/>
      <c r="L398" s="963"/>
      <c r="M398" s="962"/>
      <c r="N398" s="963"/>
      <c r="O398" s="963"/>
      <c r="P398" s="962"/>
      <c r="Q398" s="998"/>
      <c r="R398" s="963"/>
      <c r="S398" s="964"/>
      <c r="T398" s="965"/>
      <c r="U398" s="963"/>
      <c r="V398" s="964"/>
    </row>
    <row r="399" s="908" customFormat="1" ht="15.95" customHeight="1" spans="1:22">
      <c r="A399" s="984"/>
      <c r="B399" s="983"/>
      <c r="C399" s="983"/>
      <c r="D399" s="983"/>
      <c r="E399" s="983"/>
      <c r="F399" s="983"/>
      <c r="G399" s="983"/>
      <c r="H399" s="991"/>
      <c r="I399" s="991"/>
      <c r="J399" s="962"/>
      <c r="K399" s="963"/>
      <c r="L399" s="963"/>
      <c r="M399" s="962"/>
      <c r="N399" s="963"/>
      <c r="O399" s="963"/>
      <c r="P399" s="962"/>
      <c r="Q399" s="998"/>
      <c r="R399" s="963"/>
      <c r="S399" s="964"/>
      <c r="T399" s="965"/>
      <c r="U399" s="963"/>
      <c r="V399" s="964"/>
    </row>
    <row r="400" s="908" customFormat="1" ht="15.95" customHeight="1" spans="1:22">
      <c r="A400" s="984"/>
      <c r="B400" s="963"/>
      <c r="C400" s="1001"/>
      <c r="D400" s="963"/>
      <c r="E400" s="963"/>
      <c r="F400" s="963"/>
      <c r="G400" s="963"/>
      <c r="H400" s="991"/>
      <c r="I400" s="991"/>
      <c r="J400" s="962"/>
      <c r="K400" s="963"/>
      <c r="L400" s="963"/>
      <c r="M400" s="962"/>
      <c r="N400" s="963"/>
      <c r="O400" s="963"/>
      <c r="P400" s="962"/>
      <c r="Q400" s="998"/>
      <c r="R400" s="963"/>
      <c r="S400" s="964"/>
      <c r="T400" s="965"/>
      <c r="U400" s="963"/>
      <c r="V400" s="964"/>
    </row>
    <row r="401" s="908" customFormat="1" ht="15.95" customHeight="1" spans="1:22">
      <c r="A401" s="984"/>
      <c r="B401" s="963"/>
      <c r="C401" s="1001"/>
      <c r="D401" s="963"/>
      <c r="E401" s="963"/>
      <c r="F401" s="963"/>
      <c r="G401" s="963"/>
      <c r="H401" s="991"/>
      <c r="I401" s="991"/>
      <c r="J401" s="962"/>
      <c r="K401" s="963"/>
      <c r="L401" s="963"/>
      <c r="M401" s="962"/>
      <c r="N401" s="963"/>
      <c r="O401" s="963"/>
      <c r="P401" s="962"/>
      <c r="Q401" s="998"/>
      <c r="R401" s="963"/>
      <c r="S401" s="964"/>
      <c r="T401" s="965"/>
      <c r="U401" s="963"/>
      <c r="V401" s="964"/>
    </row>
    <row r="402" s="908" customFormat="1" ht="15.95" customHeight="1" spans="1:22">
      <c r="A402" s="1004"/>
      <c r="B402" s="983"/>
      <c r="C402" s="983"/>
      <c r="D402" s="983"/>
      <c r="E402" s="983"/>
      <c r="F402" s="983"/>
      <c r="G402" s="983"/>
      <c r="H402" s="991"/>
      <c r="I402" s="991"/>
      <c r="J402" s="962"/>
      <c r="K402" s="963"/>
      <c r="L402" s="963"/>
      <c r="M402" s="962"/>
      <c r="N402" s="963"/>
      <c r="O402" s="963"/>
      <c r="P402" s="962"/>
      <c r="Q402" s="998"/>
      <c r="R402" s="963"/>
      <c r="S402" s="964"/>
      <c r="T402" s="965"/>
      <c r="U402" s="963"/>
      <c r="V402" s="964"/>
    </row>
    <row r="403" s="908" customFormat="1" ht="15.95" customHeight="1" spans="1:22">
      <c r="A403" s="1004"/>
      <c r="B403" s="983"/>
      <c r="C403" s="983"/>
      <c r="D403" s="983"/>
      <c r="E403" s="983"/>
      <c r="F403" s="983"/>
      <c r="G403" s="983"/>
      <c r="H403" s="991"/>
      <c r="I403" s="991"/>
      <c r="J403" s="962"/>
      <c r="K403" s="963"/>
      <c r="L403" s="963"/>
      <c r="M403" s="962"/>
      <c r="N403" s="963"/>
      <c r="O403" s="963"/>
      <c r="P403" s="962"/>
      <c r="Q403" s="998"/>
      <c r="R403" s="963"/>
      <c r="S403" s="964"/>
      <c r="T403" s="965"/>
      <c r="U403" s="963"/>
      <c r="V403" s="964"/>
    </row>
    <row r="404" s="908" customFormat="1" ht="15.95" customHeight="1" spans="1:22">
      <c r="A404" s="984"/>
      <c r="B404" s="983"/>
      <c r="C404" s="983"/>
      <c r="D404" s="983"/>
      <c r="E404" s="983"/>
      <c r="F404" s="983"/>
      <c r="G404" s="983"/>
      <c r="H404" s="991"/>
      <c r="I404" s="991"/>
      <c r="J404" s="962"/>
      <c r="K404" s="963"/>
      <c r="L404" s="963"/>
      <c r="M404" s="962"/>
      <c r="N404" s="963"/>
      <c r="O404" s="963"/>
      <c r="P404" s="962"/>
      <c r="Q404" s="963"/>
      <c r="R404" s="963"/>
      <c r="S404" s="964"/>
      <c r="T404" s="965"/>
      <c r="U404" s="963"/>
      <c r="V404" s="964"/>
    </row>
    <row r="405" s="908" customFormat="1" ht="15.95" customHeight="1" spans="1:22">
      <c r="A405" s="984"/>
      <c r="B405" s="963"/>
      <c r="C405" s="963"/>
      <c r="D405" s="963"/>
      <c r="E405" s="963"/>
      <c r="F405" s="963"/>
      <c r="G405" s="963"/>
      <c r="H405" s="991"/>
      <c r="I405" s="991"/>
      <c r="J405" s="962"/>
      <c r="K405" s="963"/>
      <c r="L405" s="963"/>
      <c r="M405" s="962"/>
      <c r="N405" s="963"/>
      <c r="O405" s="963"/>
      <c r="P405" s="962"/>
      <c r="Q405" s="963"/>
      <c r="R405" s="963"/>
      <c r="S405" s="964"/>
      <c r="T405" s="1005"/>
      <c r="U405" s="1006"/>
      <c r="V405" s="1007"/>
    </row>
    <row r="406" s="908" customFormat="1" ht="15.95" customHeight="1" spans="1:22">
      <c r="A406" s="984"/>
      <c r="B406" s="963"/>
      <c r="C406" s="963"/>
      <c r="D406" s="963"/>
      <c r="E406" s="963"/>
      <c r="F406" s="963"/>
      <c r="G406" s="963"/>
      <c r="H406" s="963"/>
      <c r="I406" s="963"/>
      <c r="J406" s="962"/>
      <c r="K406" s="963"/>
      <c r="L406" s="963"/>
      <c r="M406" s="962"/>
      <c r="N406" s="963"/>
      <c r="O406" s="963"/>
      <c r="P406" s="962"/>
      <c r="Q406" s="963"/>
      <c r="R406" s="963"/>
      <c r="S406" s="964"/>
      <c r="T406" s="1005"/>
      <c r="U406" s="1006"/>
      <c r="V406" s="1007"/>
    </row>
    <row r="407" s="908" customFormat="1" ht="15.95" customHeight="1" spans="1:22">
      <c r="A407" s="1008"/>
      <c r="B407" s="1009"/>
      <c r="C407" s="1009"/>
      <c r="D407" s="1009"/>
      <c r="E407" s="1009"/>
      <c r="F407" s="1009"/>
      <c r="G407" s="1009"/>
      <c r="H407" s="1010"/>
      <c r="I407" s="1010"/>
      <c r="J407" s="1010"/>
      <c r="K407" s="1010"/>
      <c r="L407" s="1010"/>
      <c r="M407" s="1011"/>
      <c r="N407" s="1010"/>
      <c r="O407" s="1010"/>
      <c r="P407" s="1011" t="s">
        <v>814</v>
      </c>
      <c r="Q407" s="1010"/>
      <c r="R407" s="1010"/>
      <c r="S407" s="1012" t="s">
        <v>814</v>
      </c>
      <c r="T407" s="1013"/>
      <c r="U407" s="1010"/>
      <c r="V407" s="1012"/>
    </row>
    <row r="409" spans="1:22">
      <c r="I409" s="1014"/>
    </row>
    <row r="410" spans="1:22">
      <c r="D410" s="1015" t="s">
        <v>846</v>
      </c>
      <c r="E410" s="1015"/>
      <c r="F410" s="1015"/>
      <c r="G410" s="1015"/>
      <c r="H410" s="1014">
        <f>I262+I263+I264+I274+I275+I310+I276</f>
        <v>0</v>
      </c>
      <c r="I410" s="1014"/>
    </row>
    <row r="411" spans="1:22">
      <c r="D411" s="910" t="s">
        <v>788</v>
      </c>
      <c r="H411" s="1016">
        <f>H281-H286</f>
        <v>0</v>
      </c>
      <c r="I411" s="1014">
        <f>H411*25%</f>
        <v>0</v>
      </c>
      <c r="L411" s="1014">
        <f>K214-L140</f>
        <v>-7646957.18</v>
      </c>
    </row>
    <row r="412" spans="1:22">
      <c r="H412" s="1016"/>
      <c r="I412" s="1014">
        <f>H289-I283</f>
        <v>0</v>
      </c>
    </row>
    <row r="414" spans="1:22">
      <c r="I414" s="1014"/>
      <c r="O414" s="1014"/>
    </row>
    <row r="415" spans="1:22">
      <c r="K415" s="1014"/>
    </row>
  </sheetData>
  <mergeCells count="24">
    <mergeCell ref="A124:S124"/>
    <mergeCell ref="A128:C128"/>
    <mergeCell ref="A129:C129"/>
    <mergeCell ref="D130:L130"/>
    <mergeCell ref="M130:O130"/>
    <mergeCell ref="P130:R130"/>
    <mergeCell ref="S130:U130"/>
    <mergeCell ref="A131:C131"/>
    <mergeCell ref="E132:F132"/>
    <mergeCell ref="H132:I132"/>
    <mergeCell ref="K132:L132"/>
    <mergeCell ref="N132:O132"/>
    <mergeCell ref="Q132:R132"/>
    <mergeCell ref="T132:U132"/>
    <mergeCell ref="A132:A133"/>
    <mergeCell ref="B132:B133"/>
    <mergeCell ref="C132:C133"/>
    <mergeCell ref="D132:D133"/>
    <mergeCell ref="G132:G133"/>
    <mergeCell ref="J132:J133"/>
    <mergeCell ref="M132:M133"/>
    <mergeCell ref="P132:P133"/>
    <mergeCell ref="S132:S133"/>
    <mergeCell ref="V132:V133"/>
  </mergeCells>
  <conditionalFormatting sqref="C140">
    <cfRule type="cellIs" dxfId="40" priority="10" operator="equal">
      <formula>"主营业务收入"</formula>
    </cfRule>
  </conditionalFormatting>
  <conditionalFormatting sqref="C142">
    <cfRule type="cellIs" dxfId="40" priority="11" operator="equal">
      <formula>"主营业务收入"</formula>
    </cfRule>
  </conditionalFormatting>
  <conditionalFormatting sqref="C176">
    <cfRule type="cellIs" dxfId="40" priority="7" operator="equal">
      <formula>"主营业务收入"</formula>
    </cfRule>
  </conditionalFormatting>
  <conditionalFormatting sqref="C179">
    <cfRule type="cellIs" dxfId="40" priority="6" operator="equal">
      <formula>"主营业务收入"</formula>
    </cfRule>
  </conditionalFormatting>
  <conditionalFormatting sqref="C197">
    <cfRule type="cellIs" dxfId="40" priority="8" operator="equal">
      <formula>"主营业务收入"</formula>
    </cfRule>
  </conditionalFormatting>
  <conditionalFormatting sqref="C214">
    <cfRule type="cellIs" dxfId="40" priority="9" operator="equal">
      <formula>"主营业务收入"</formula>
    </cfRule>
  </conditionalFormatting>
  <conditionalFormatting sqref="C227">
    <cfRule type="cellIs" dxfId="40" priority="5" operator="equal">
      <formula>"主营业务收入"</formula>
    </cfRule>
  </conditionalFormatting>
  <conditionalFormatting sqref="C230">
    <cfRule type="cellIs" dxfId="40" priority="1" operator="equal">
      <formula>"主营业务收入"</formula>
    </cfRule>
  </conditionalFormatting>
  <conditionalFormatting sqref="A128:C129 D130:U130 A131:C131">
    <cfRule type="cellIs" dxfId="39" priority="12" operator="notEqual">
      <formula>0</formula>
    </cfRule>
  </conditionalFormatting>
  <dataValidations count="4">
    <dataValidation type="list" allowBlank="1" showInputMessage="1" showErrorMessage="1" error="输入项目不属于报表项目！" sqref="C140 C142 C176 C179 C197 C214 C227 C230">
      <formula1>$D$3:$D$121</formula1>
    </dataValidation>
    <dataValidation type="list" allowBlank="1" showInputMessage="1" showErrorMessage="1" errorTitle="科目有误" prompt="选择或输入报表项目" sqref="C141 C134:C139 C143:C175 C177:C178 C180:C181 C183:C188 C209:C213 C215:C222">
      <formula1>[13]序列!#REF!</formula1>
    </dataValidation>
    <dataValidation type="list" allowBlank="1" showInputMessage="1" showErrorMessage="1" error="输入项目不属于报表项目！" sqref="C223:C226 C228:C229 C231:C407">
      <formula1>$C$3:$C$121</formula1>
    </dataValidation>
    <dataValidation type="list" allowBlank="1" showInputMessage="1" showErrorMessage="1" sqref="G134:G231 J134:J407 M134:M407 P134:P407 S134:S407 V134:V407">
      <formula1>"Y,N"</formula1>
    </dataValidation>
  </dataValidations>
  <pageMargins left="0.699305555555556" right="0.699305555555556" top="0.75" bottom="0.75" header="0.3" footer="0.3"/>
  <pageSetup paperSize="9" orientation="portrait" horizontalDpi="300" verticalDpi="300"/>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G26"/>
  <sheetViews>
    <sheetView workbookViewId="0">
      <selection activeCell="C26" sqref="C26"/>
    </sheetView>
  </sheetViews>
  <sheetFormatPr defaultColWidth="7.96666666666667" defaultRowHeight="14.25" outlineLevelCol="6"/>
  <cols>
    <col min="1" max="1" width="19.925" customWidth="1"/>
    <col min="2" max="2" width="17.0916666666667" style="894"/>
    <col min="3" max="3" width="17.0916666666667" style="833"/>
    <col min="4" max="5" width="17.0916666666667"/>
    <col min="6" max="6" width="15.025"/>
    <col min="7" max="7" width="17.0916666666667"/>
  </cols>
  <sheetData>
    <row r="1" spans="1:7">
      <c r="D1" s="833"/>
    </row>
    <row r="2" spans="1:7">
      <c r="D2" s="833"/>
    </row>
    <row r="3" spans="1:7">
      <c r="D3" s="833"/>
    </row>
    <row r="4" spans="1:7">
      <c r="B4"/>
      <c r="C4"/>
    </row>
    <row r="6" spans="1:7">
      <c r="A6" t="s">
        <v>813</v>
      </c>
      <c r="B6" s="894" t="s">
        <v>154</v>
      </c>
      <c r="C6" s="833">
        <v>-10671492.09</v>
      </c>
      <c r="D6" s="833"/>
      <c r="E6" t="s">
        <v>847</v>
      </c>
      <c r="F6" s="833"/>
    </row>
    <row r="7" spans="1:7">
      <c r="B7" s="894" t="s">
        <v>173</v>
      </c>
      <c r="D7" s="833">
        <v>-10903.67</v>
      </c>
      <c r="F7" s="833"/>
    </row>
    <row r="8" spans="1:7">
      <c r="B8" s="894" t="s">
        <v>797</v>
      </c>
      <c r="D8" s="833">
        <v>-10660588.42</v>
      </c>
      <c r="F8" s="833"/>
    </row>
    <row r="9" spans="1:7">
      <c r="D9" s="833"/>
      <c r="E9" s="833"/>
      <c r="F9" s="833"/>
    </row>
    <row r="10" spans="1:7">
      <c r="A10" t="s">
        <v>815</v>
      </c>
      <c r="B10" s="894" t="s">
        <v>154</v>
      </c>
      <c r="C10" s="833">
        <v>2015704.79</v>
      </c>
      <c r="D10" s="833"/>
      <c r="E10" t="s">
        <v>847</v>
      </c>
    </row>
    <row r="11" spans="1:7">
      <c r="B11" s="894" t="s">
        <v>791</v>
      </c>
      <c r="D11" s="895">
        <v>2015704.79</v>
      </c>
    </row>
    <row r="12" spans="1:7">
      <c r="D12" s="833"/>
    </row>
    <row r="13" spans="1:7">
      <c r="D13" s="833"/>
    </row>
    <row r="14" spans="1:7">
      <c r="A14" t="s">
        <v>816</v>
      </c>
      <c r="B14" s="894" t="s">
        <v>171</v>
      </c>
      <c r="C14" s="833">
        <v>261428991.81</v>
      </c>
      <c r="D14" s="833"/>
      <c r="E14" s="833"/>
      <c r="F14" s="833"/>
    </row>
    <row r="15" ht="15" spans="1:7">
      <c r="B15" s="894" t="s">
        <v>177</v>
      </c>
      <c r="C15" s="833">
        <v>105776.41</v>
      </c>
      <c r="D15" s="833"/>
      <c r="E15" s="833"/>
    </row>
    <row r="16" ht="15" spans="1:7">
      <c r="A16" s="896" t="s">
        <v>848</v>
      </c>
      <c r="B16" s="897" t="s">
        <v>791</v>
      </c>
      <c r="C16" s="898">
        <v>2015704.79</v>
      </c>
      <c r="D16" s="833"/>
      <c r="E16" t="s">
        <v>849</v>
      </c>
      <c r="F16" s="899" t="s">
        <v>179</v>
      </c>
      <c r="G16" s="900">
        <v>-17271246.11</v>
      </c>
    </row>
    <row r="17" spans="1:5">
      <c r="A17" s="896" t="s">
        <v>848</v>
      </c>
      <c r="B17" s="901" t="s">
        <v>761</v>
      </c>
      <c r="C17" s="902">
        <v>-185252.42846</v>
      </c>
      <c r="D17" s="833"/>
    </row>
    <row r="18" ht="15" spans="1:5">
      <c r="A18" s="896" t="s">
        <v>850</v>
      </c>
      <c r="B18" s="903" t="s">
        <v>797</v>
      </c>
      <c r="C18" s="904">
        <v>-19101709.62</v>
      </c>
      <c r="D18" s="833"/>
    </row>
    <row r="19" spans="1:5">
      <c r="B19" s="894" t="s">
        <v>173</v>
      </c>
      <c r="C19" s="833">
        <v>3000000</v>
      </c>
      <c r="D19" s="833"/>
    </row>
    <row r="20" spans="1:5">
      <c r="B20" s="894" t="s">
        <v>180</v>
      </c>
      <c r="C20" s="833">
        <v>6070777.76</v>
      </c>
      <c r="D20" s="833"/>
    </row>
    <row r="21" spans="1:5">
      <c r="B21" s="905" t="s">
        <v>154</v>
      </c>
      <c r="D21" s="833">
        <v>251773204.51</v>
      </c>
      <c r="E21" t="s">
        <v>851</v>
      </c>
    </row>
    <row r="22" spans="1:5">
      <c r="B22" s="894" t="s">
        <v>183</v>
      </c>
      <c r="D22" s="833">
        <v>1561084.21</v>
      </c>
    </row>
    <row r="23" spans="1:5">
      <c r="D23" s="833"/>
      <c r="E23" s="833"/>
    </row>
    <row r="25" spans="1:5">
      <c r="E25" s="833"/>
    </row>
    <row r="26" spans="1:5">
      <c r="E26" s="833"/>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pageSetUpPr fitToPage="1"/>
  </sheetPr>
  <dimension ref="A2:K68"/>
  <sheetViews>
    <sheetView topLeftCell="A28" workbookViewId="0">
      <selection activeCell="J40" sqref="J40"/>
    </sheetView>
  </sheetViews>
  <sheetFormatPr defaultColWidth="9" defaultRowHeight="12.75"/>
  <cols>
    <col min="1" max="1" width="9" style="874"/>
    <col min="2" max="2" width="30.625" style="874" customWidth="1"/>
    <col min="3" max="5" width="22" style="874" customWidth="1"/>
    <col min="6" max="6" width="9.375" style="874" customWidth="1"/>
    <col min="7" max="7" width="5.125" style="874" customWidth="1"/>
    <col min="8" max="8" width="13.625" style="874" customWidth="1"/>
    <col min="9" max="9" width="10.125" style="874" customWidth="1"/>
    <col min="10" max="10" width="11.8333333333333" style="874"/>
    <col min="11" max="11" width="9" style="874"/>
    <col min="12" max="12" width="16.625" style="874" customWidth="1"/>
    <col min="13" max="16384" width="9" style="874"/>
  </cols>
  <sheetData>
    <row r="2" spans="1:8">
      <c r="B2" s="874" t="s">
        <v>852</v>
      </c>
    </row>
    <row r="4" spans="1:8">
      <c r="C4" s="875" t="s">
        <v>7</v>
      </c>
      <c r="D4" s="875" t="s">
        <v>9</v>
      </c>
      <c r="E4" s="875" t="s">
        <v>11</v>
      </c>
      <c r="H4" s="876" t="s">
        <v>77</v>
      </c>
    </row>
    <row r="5" spans="1:8">
      <c r="A5" s="876" t="s">
        <v>853</v>
      </c>
      <c r="B5" s="874" t="s">
        <v>171</v>
      </c>
      <c r="C5" s="874">
        <f>15000000+62000000+158000000</f>
        <v>235000000</v>
      </c>
      <c r="D5" s="874">
        <f>[12]资合过渡表!D111</f>
        <v>18000000</v>
      </c>
      <c r="E5" s="874">
        <f>5940000+2488991.81</f>
        <v>8428991.81</v>
      </c>
      <c r="H5" s="874">
        <f t="shared" ref="H5:H18" si="0">SUM(C5:G5)</f>
        <v>261428991.81</v>
      </c>
    </row>
    <row r="6" spans="1:8">
      <c r="B6" s="874" t="s">
        <v>742</v>
      </c>
      <c r="C6" s="874">
        <f>[12]资合过渡表!C112</f>
        <v>0</v>
      </c>
      <c r="D6" s="874">
        <f>[12]资合过渡表!D112</f>
        <v>0</v>
      </c>
      <c r="E6" s="874">
        <v>0</v>
      </c>
      <c r="H6" s="874">
        <f t="shared" si="0"/>
        <v>0</v>
      </c>
    </row>
    <row r="7" spans="1:8">
      <c r="B7" s="874" t="s">
        <v>854</v>
      </c>
      <c r="C7" s="874">
        <f>[12]资合过渡表!C113</f>
        <v>0</v>
      </c>
      <c r="D7" s="874">
        <f>[12]资合过渡表!D113</f>
        <v>0</v>
      </c>
      <c r="E7" s="874">
        <v>0</v>
      </c>
      <c r="H7" s="874">
        <f t="shared" si="0"/>
        <v>0</v>
      </c>
    </row>
    <row r="8" spans="1:8">
      <c r="B8" s="874" t="s">
        <v>855</v>
      </c>
      <c r="C8" s="874">
        <f>[12]资合过渡表!C114</f>
        <v>0</v>
      </c>
      <c r="D8" s="874">
        <f>[12]资合过渡表!D114</f>
        <v>0</v>
      </c>
      <c r="E8" s="874">
        <v>0</v>
      </c>
      <c r="H8" s="874">
        <f t="shared" si="0"/>
        <v>0</v>
      </c>
    </row>
    <row r="9" spans="1:8">
      <c r="B9" s="874" t="s">
        <v>173</v>
      </c>
      <c r="C9" s="874">
        <f>[12]资合过渡表!C115</f>
        <v>0</v>
      </c>
      <c r="D9" s="874">
        <f>[12]资合过渡表!D115</f>
        <v>0</v>
      </c>
      <c r="E9" s="874">
        <v>0</v>
      </c>
      <c r="H9" s="874">
        <f t="shared" si="0"/>
        <v>0</v>
      </c>
    </row>
    <row r="10" spans="1:8">
      <c r="B10" s="874" t="s">
        <v>175</v>
      </c>
      <c r="C10" s="874">
        <f>[12]资合过渡表!C116</f>
        <v>0</v>
      </c>
      <c r="D10" s="874">
        <f>[12]资合过渡表!D116</f>
        <v>0</v>
      </c>
      <c r="E10" s="874">
        <v>0</v>
      </c>
      <c r="H10" s="874">
        <f t="shared" si="0"/>
        <v>0</v>
      </c>
    </row>
    <row r="11" spans="1:8">
      <c r="B11" s="874" t="s">
        <v>744</v>
      </c>
      <c r="C11" s="874">
        <f>[12]资合过渡表!C117</f>
        <v>0</v>
      </c>
      <c r="D11" s="874">
        <f>[12]资合过渡表!D117</f>
        <v>0</v>
      </c>
      <c r="E11" s="874">
        <v>0</v>
      </c>
      <c r="H11" s="874">
        <f t="shared" si="0"/>
        <v>0</v>
      </c>
    </row>
    <row r="12" spans="1:8">
      <c r="B12" s="874" t="s">
        <v>745</v>
      </c>
      <c r="C12" s="874">
        <f>[12]资合过渡表!C118</f>
        <v>0</v>
      </c>
      <c r="D12" s="874">
        <f>[12]资合过渡表!D118</f>
        <v>0</v>
      </c>
      <c r="E12" s="874">
        <v>0</v>
      </c>
      <c r="H12" s="874">
        <f t="shared" si="0"/>
        <v>0</v>
      </c>
    </row>
    <row r="13" spans="1:8">
      <c r="B13" s="874" t="s">
        <v>177</v>
      </c>
      <c r="C13" s="874">
        <f>[12]资合过渡表!C119</f>
        <v>0</v>
      </c>
      <c r="D13" s="874">
        <f>[12]资合过渡表!D119</f>
        <v>0</v>
      </c>
      <c r="E13" s="874">
        <v>105776.41</v>
      </c>
      <c r="H13" s="874">
        <f t="shared" si="0"/>
        <v>105776.41</v>
      </c>
    </row>
    <row r="14" spans="1:8">
      <c r="B14" s="874" t="s">
        <v>746</v>
      </c>
      <c r="C14" s="874">
        <f>[12]资合过渡表!C120</f>
        <v>0</v>
      </c>
      <c r="D14" s="874">
        <f>[12]资合过渡表!D120</f>
        <v>0</v>
      </c>
      <c r="E14" s="874">
        <v>0</v>
      </c>
      <c r="H14" s="874">
        <f t="shared" si="0"/>
        <v>0</v>
      </c>
    </row>
    <row r="15" spans="1:8">
      <c r="B15" s="874" t="s">
        <v>179</v>
      </c>
      <c r="C15" s="874">
        <f>合并试算平衡表!C114</f>
        <v>-14912251.58</v>
      </c>
      <c r="D15" s="874">
        <f>合并试算平衡表!D114</f>
        <v>-9947796.24</v>
      </c>
      <c r="E15" s="874">
        <f>合并试算平衡表!E114</f>
        <v>1954307.33</v>
      </c>
      <c r="H15" s="874">
        <f t="shared" si="0"/>
        <v>-22905740.49</v>
      </c>
    </row>
    <row r="16" spans="1:8">
      <c r="B16" s="874" t="s">
        <v>606</v>
      </c>
      <c r="C16" s="877">
        <f>C5+C15</f>
        <v>220087748.42</v>
      </c>
      <c r="D16" s="874">
        <f>D5+D15</f>
        <v>8052203.76</v>
      </c>
      <c r="E16" s="874">
        <f>E5+E15+E13</f>
        <v>10489075.55</v>
      </c>
      <c r="H16" s="874">
        <f t="shared" si="0"/>
        <v>238629027.73</v>
      </c>
    </row>
    <row r="17" spans="1:11">
      <c r="B17" s="874" t="s">
        <v>183</v>
      </c>
      <c r="C17" s="874">
        <f>[12]资合过渡表!C123</f>
        <v>0</v>
      </c>
      <c r="D17" s="874">
        <f>[12]资合过渡表!D123</f>
        <v>0</v>
      </c>
      <c r="E17" s="874">
        <v>0</v>
      </c>
      <c r="H17" s="874">
        <f t="shared" si="0"/>
        <v>0</v>
      </c>
    </row>
    <row r="18" spans="1:11">
      <c r="B18" s="874" t="s">
        <v>607</v>
      </c>
      <c r="C18" s="877">
        <f>C16</f>
        <v>220087748.42</v>
      </c>
      <c r="D18" s="874">
        <f>D16</f>
        <v>8052203.76</v>
      </c>
      <c r="E18" s="874">
        <f>E16</f>
        <v>10489075.55</v>
      </c>
      <c r="H18" s="874">
        <f t="shared" si="0"/>
        <v>238629027.73</v>
      </c>
    </row>
    <row r="20" spans="1:11">
      <c r="B20" s="876" t="s">
        <v>856</v>
      </c>
      <c r="C20" s="878">
        <v>1</v>
      </c>
      <c r="D20" s="878">
        <v>0.7778</v>
      </c>
      <c r="E20" s="878">
        <v>1</v>
      </c>
      <c r="F20" s="878"/>
    </row>
    <row r="22" spans="1:11">
      <c r="A22" s="876" t="s">
        <v>857</v>
      </c>
      <c r="B22" s="874" t="s">
        <v>858</v>
      </c>
    </row>
    <row r="23" spans="1:11">
      <c r="B23" s="874" t="s">
        <v>859</v>
      </c>
      <c r="C23" s="874">
        <f>15000000+62000000+158000000</f>
        <v>235000000</v>
      </c>
      <c r="D23" s="874">
        <v>14000000</v>
      </c>
      <c r="E23" s="874">
        <f>5940000+2488991.81</f>
        <v>8428991.81</v>
      </c>
      <c r="H23" s="874">
        <f t="shared" ref="H23:H30" si="1">SUM(C23:G23)</f>
        <v>257428991.81</v>
      </c>
    </row>
    <row r="24" spans="1:11">
      <c r="B24" s="874" t="s">
        <v>860</v>
      </c>
      <c r="C24" s="874">
        <f>ROUND(C9*C20,2)</f>
        <v>0</v>
      </c>
      <c r="D24" s="874">
        <f>ROUND(D9*D20,2)</f>
        <v>0</v>
      </c>
      <c r="E24" s="874">
        <f>ROUND(E9*E20,2)</f>
        <v>0</v>
      </c>
      <c r="F24" s="874">
        <f>ROUND(F9*F20,2)</f>
        <v>0</v>
      </c>
      <c r="H24" s="874">
        <f t="shared" si="1"/>
        <v>0</v>
      </c>
    </row>
    <row r="25" spans="1:11">
      <c r="B25" s="874" t="s">
        <v>861</v>
      </c>
      <c r="H25" s="874">
        <f t="shared" si="1"/>
        <v>0</v>
      </c>
    </row>
    <row r="26" spans="1:11">
      <c r="B26" s="874" t="s">
        <v>862</v>
      </c>
      <c r="H26" s="874">
        <f t="shared" si="1"/>
        <v>0</v>
      </c>
      <c r="K26" s="876"/>
    </row>
    <row r="27" spans="1:11">
      <c r="B27" s="874" t="s">
        <v>863</v>
      </c>
      <c r="D27" s="879"/>
      <c r="H27" s="874">
        <f t="shared" si="1"/>
        <v>0</v>
      </c>
    </row>
    <row r="28" spans="1:11">
      <c r="B28" s="874" t="s">
        <v>864</v>
      </c>
      <c r="D28" s="879"/>
      <c r="H28" s="874">
        <f t="shared" si="1"/>
        <v>0</v>
      </c>
    </row>
    <row r="29" spans="1:11">
      <c r="B29" s="874" t="s">
        <v>865</v>
      </c>
      <c r="C29" s="874">
        <f>ROUND((C13+C15)*C20,2)</f>
        <v>-14912251.58</v>
      </c>
      <c r="D29" s="880">
        <f>ROUND(D15*77.78%,2)-D28</f>
        <v>-7737395.92</v>
      </c>
      <c r="E29" s="874">
        <f>ROUND((E13+E15)*E20,2)</f>
        <v>2060083.74</v>
      </c>
      <c r="F29" s="874">
        <f>ROUND((F13+F15)*F20,2)</f>
        <v>0</v>
      </c>
      <c r="H29" s="874">
        <f t="shared" si="1"/>
        <v>-20589563.76</v>
      </c>
    </row>
    <row r="30" spans="1:11">
      <c r="B30" s="874" t="s">
        <v>866</v>
      </c>
      <c r="C30" s="877">
        <f>SUM(C23:C29)</f>
        <v>220087748.42</v>
      </c>
      <c r="D30" s="874">
        <f>SUM(D23:D29)</f>
        <v>6262604.08</v>
      </c>
      <c r="E30" s="874">
        <f>SUM(E23:E29)</f>
        <v>10489075.55</v>
      </c>
      <c r="F30" s="874">
        <f>SUM(F23:F29)</f>
        <v>0</v>
      </c>
      <c r="H30" s="874">
        <f t="shared" si="1"/>
        <v>236839428.05</v>
      </c>
    </row>
    <row r="31" spans="1:11">
      <c r="B31" s="874" t="s">
        <v>867</v>
      </c>
      <c r="C31" s="878">
        <f>C30/C18</f>
        <v>1</v>
      </c>
      <c r="D31" s="878">
        <f>D30/D18</f>
        <v>0.777750323595885</v>
      </c>
      <c r="E31" s="878">
        <f>E30/E18</f>
        <v>1</v>
      </c>
      <c r="F31" s="878" t="e">
        <f>F30/F18</f>
        <v>#DIV/0!</v>
      </c>
    </row>
    <row r="32" ht="13.5"/>
    <row r="33" ht="13.5" spans="1:10">
      <c r="A33" s="876" t="s">
        <v>868</v>
      </c>
      <c r="B33" s="874" t="s">
        <v>183</v>
      </c>
      <c r="C33" s="874">
        <f>C18-C30</f>
        <v>0</v>
      </c>
      <c r="D33" s="881">
        <f>D18-D30-11.15-0.01</f>
        <v>1789588.52</v>
      </c>
      <c r="E33" s="874">
        <f>E18-E30</f>
        <v>0</v>
      </c>
      <c r="F33" s="874">
        <f>F18-F30</f>
        <v>0</v>
      </c>
      <c r="H33" s="882">
        <f>SUM(C33:G33)</f>
        <v>1789588.52</v>
      </c>
      <c r="J33" s="883" t="s">
        <v>869</v>
      </c>
    </row>
    <row r="34" spans="1:10">
      <c r="B34" s="874" t="s">
        <v>870</v>
      </c>
      <c r="C34" s="878">
        <f>C33/C18</f>
        <v>0</v>
      </c>
      <c r="D34" s="878">
        <f>D33/D18</f>
        <v>0.222248290448129</v>
      </c>
      <c r="E34" s="878">
        <f>E33/E18</f>
        <v>0</v>
      </c>
      <c r="F34" s="878" t="e">
        <f>F33/F18</f>
        <v>#DIV/0!</v>
      </c>
    </row>
    <row r="35" spans="1:10">
      <c r="C35" s="878">
        <f>C33/C15</f>
        <v>0</v>
      </c>
      <c r="D35" s="878">
        <f>(D33-4000000)/D15</f>
        <v>0.222201121401337</v>
      </c>
      <c r="E35" s="878">
        <f>(E33)/E15</f>
        <v>0</v>
      </c>
    </row>
    <row r="36" spans="1:10">
      <c r="A36" s="876" t="s">
        <v>871</v>
      </c>
      <c r="B36" s="874" t="s">
        <v>872</v>
      </c>
      <c r="C36" s="874">
        <f>18000000+62000000+158000000</f>
        <v>238000000</v>
      </c>
      <c r="D36" s="874">
        <v>14000000</v>
      </c>
      <c r="E36" s="874">
        <f>5940000+2488991.81</f>
        <v>8428991.81</v>
      </c>
      <c r="H36" s="874">
        <f>SUM(C36:G36)</f>
        <v>260428991.81</v>
      </c>
    </row>
    <row r="37" spans="1:10">
      <c r="B37" s="874" t="s">
        <v>873</v>
      </c>
      <c r="C37" s="874">
        <v>-3000000</v>
      </c>
      <c r="H37" s="874">
        <f>SUM(C37:G37)</f>
        <v>-3000000</v>
      </c>
    </row>
    <row r="38" spans="1:10">
      <c r="B38" s="874" t="s">
        <v>874</v>
      </c>
      <c r="H38" s="874">
        <f>SUM(C38:G38)</f>
        <v>0</v>
      </c>
    </row>
    <row r="39" spans="1:10">
      <c r="B39" s="874" t="s">
        <v>875</v>
      </c>
      <c r="D39" s="884">
        <v>-6070777.76</v>
      </c>
      <c r="H39" s="874">
        <f>SUM(C39:G39)</f>
        <v>-6070777.76</v>
      </c>
    </row>
    <row r="40" spans="1:10">
      <c r="B40" s="874" t="s">
        <v>876</v>
      </c>
      <c r="C40" s="874">
        <f>SUM(C36:C39)</f>
        <v>235000000</v>
      </c>
      <c r="D40" s="874">
        <f>SUM(D36:D39)</f>
        <v>7929222.24</v>
      </c>
      <c r="E40" s="874">
        <f>SUM(E36:E39)</f>
        <v>8428991.81</v>
      </c>
      <c r="F40" s="874">
        <f>SUM(F36:F39)</f>
        <v>0</v>
      </c>
      <c r="H40" s="874">
        <f>SUM(H36:H39)</f>
        <v>251358214.05</v>
      </c>
    </row>
    <row r="41" ht="13.5"/>
    <row r="42" ht="13.5" spans="1:10">
      <c r="A42" s="876" t="s">
        <v>877</v>
      </c>
      <c r="B42" s="876" t="s">
        <v>878</v>
      </c>
      <c r="C42" s="885">
        <f>1412727.42-1546921.63-9766150.25</f>
        <v>-9900344.46</v>
      </c>
      <c r="D42" s="886">
        <f>ROUND(-717851.04-(907607.93+506853.6)*0.7778,2)+11.15+0.01</f>
        <v>-1818008.06</v>
      </c>
      <c r="E42" s="874">
        <v>1057764.1</v>
      </c>
      <c r="H42" s="874">
        <f>SUM(C42:G42)</f>
        <v>-10660588.42</v>
      </c>
    </row>
    <row r="43" spans="1:10">
      <c r="B43" s="874" t="s">
        <v>879</v>
      </c>
      <c r="C43" s="874">
        <v>-10903.67</v>
      </c>
      <c r="E43" s="874">
        <v>0</v>
      </c>
      <c r="H43" s="874">
        <f t="shared" ref="H42:H50" si="2">SUM(C43:G43)</f>
        <v>-10903.67</v>
      </c>
    </row>
    <row r="44" spans="1:10">
      <c r="B44" s="874" t="s">
        <v>880</v>
      </c>
      <c r="H44" s="874">
        <f t="shared" si="2"/>
        <v>0</v>
      </c>
    </row>
    <row r="45" spans="1:10">
      <c r="B45" s="876" t="s">
        <v>180</v>
      </c>
      <c r="D45" s="884"/>
      <c r="H45" s="874">
        <f t="shared" si="2"/>
        <v>0</v>
      </c>
    </row>
    <row r="46" spans="1:10">
      <c r="B46" s="876" t="s">
        <v>881</v>
      </c>
      <c r="C46" s="887">
        <f>ROUND(合并试算平衡表!C149*1,2)</f>
        <v>-5001003.45</v>
      </c>
      <c r="D46" s="888">
        <f>ROUND(合并试算平衡表!D149*长期投资!D20,2)-11.15</f>
        <v>151389.91</v>
      </c>
      <c r="E46" s="874">
        <f>ROUND(合并试算平衡表!E149*长期投资!E20,2)</f>
        <v>1002319.64</v>
      </c>
      <c r="F46" s="874">
        <f>F29-F42</f>
        <v>0</v>
      </c>
      <c r="H46" s="874">
        <f t="shared" si="2"/>
        <v>-3847293.9</v>
      </c>
    </row>
    <row r="47" spans="1:10">
      <c r="B47" s="876" t="s">
        <v>882</v>
      </c>
      <c r="H47" s="874">
        <f t="shared" si="2"/>
        <v>0</v>
      </c>
    </row>
    <row r="48" spans="1:10">
      <c r="B48" s="876" t="s">
        <v>883</v>
      </c>
      <c r="H48" s="874">
        <f t="shared" si="2"/>
        <v>0</v>
      </c>
    </row>
    <row r="49" spans="2:10">
      <c r="B49" s="874" t="s">
        <v>884</v>
      </c>
      <c r="C49" s="874">
        <f>C25-C44</f>
        <v>0</v>
      </c>
      <c r="D49" s="874">
        <f>D25-D44</f>
        <v>0</v>
      </c>
      <c r="H49" s="874">
        <f t="shared" si="2"/>
        <v>0</v>
      </c>
    </row>
    <row r="50" spans="2:10">
      <c r="B50" s="876" t="s">
        <v>180</v>
      </c>
      <c r="H50" s="874">
        <f t="shared" si="2"/>
        <v>0</v>
      </c>
    </row>
    <row r="51" ht="13.5" spans="2:10">
      <c r="B51" s="876" t="s">
        <v>885</v>
      </c>
      <c r="C51" s="874">
        <f>SUM(C42:C50)</f>
        <v>-14912251.58</v>
      </c>
      <c r="D51" s="874">
        <f>SUM(D42:D50)</f>
        <v>-1666618.15</v>
      </c>
      <c r="E51" s="874">
        <f>SUM(E42:E50)</f>
        <v>2060083.74</v>
      </c>
      <c r="F51" s="874">
        <f>SUM(F42:F50)</f>
        <v>0</v>
      </c>
      <c r="H51" s="874">
        <f>SUM(H42:H50)</f>
        <v>-14518785.99</v>
      </c>
    </row>
    <row r="52" s="873" customFormat="1" ht="13.5" spans="2:10">
      <c r="B52" s="889" t="s">
        <v>886</v>
      </c>
      <c r="C52" s="873">
        <f>C36+C51</f>
        <v>223087748.42</v>
      </c>
      <c r="D52" s="873">
        <f>D36+D51</f>
        <v>12333381.85</v>
      </c>
      <c r="E52" s="873">
        <f>E40+E51</f>
        <v>10489075.55</v>
      </c>
      <c r="F52" s="873">
        <f>F40+F51</f>
        <v>0</v>
      </c>
      <c r="H52" s="890">
        <f>SUM(C52:G52)</f>
        <v>245910205.82</v>
      </c>
    </row>
    <row r="53" spans="2:10">
      <c r="B53" s="876" t="s">
        <v>887</v>
      </c>
      <c r="C53" s="874">
        <f>C30-C52-C37</f>
        <v>0</v>
      </c>
      <c r="D53" s="874">
        <f>D30-D52-D39</f>
        <v>-0.00999999977648258</v>
      </c>
      <c r="E53" s="874">
        <f>E30-E52</f>
        <v>0</v>
      </c>
      <c r="F53" s="874">
        <f>F30-F52</f>
        <v>0</v>
      </c>
      <c r="H53" s="874">
        <f>H30-H52-H37-H39</f>
        <v>-0.00999998115003109</v>
      </c>
      <c r="I53" s="876"/>
    </row>
    <row r="55" spans="2:10">
      <c r="B55" s="876" t="s">
        <v>888</v>
      </c>
    </row>
    <row r="56" spans="2:10">
      <c r="B56" s="876" t="s">
        <v>889</v>
      </c>
      <c r="C56" s="874">
        <f>C42+C46</f>
        <v>-14901347.91</v>
      </c>
      <c r="D56" s="874">
        <f>D42+D46</f>
        <v>-1666618.15</v>
      </c>
      <c r="E56" s="874">
        <f>E42+E46+E49</f>
        <v>2060083.74</v>
      </c>
      <c r="F56" s="874">
        <f>F42+F46</f>
        <v>0</v>
      </c>
      <c r="H56" s="874">
        <f>SUM(C56:G56)</f>
        <v>-14507882.32</v>
      </c>
      <c r="I56" s="874">
        <f>H42+H46-H56</f>
        <v>0</v>
      </c>
    </row>
    <row r="57" spans="2:10">
      <c r="B57" s="874" t="s">
        <v>890</v>
      </c>
      <c r="C57" s="874">
        <f>C43+C48</f>
        <v>-10903.67</v>
      </c>
      <c r="D57" s="874">
        <f>D43+D48</f>
        <v>0</v>
      </c>
      <c r="E57" s="874">
        <f t="shared" ref="C57:F59" si="3">E43+E48</f>
        <v>0</v>
      </c>
      <c r="F57" s="874">
        <f t="shared" si="3"/>
        <v>0</v>
      </c>
      <c r="H57" s="874">
        <f>SUM(C57:G57)</f>
        <v>-10903.67</v>
      </c>
      <c r="I57" s="874">
        <f>H43+H47+H48-H57</f>
        <v>0</v>
      </c>
    </row>
    <row r="58" spans="2:10">
      <c r="B58" s="874" t="s">
        <v>891</v>
      </c>
      <c r="C58" s="874">
        <f>C44+C49</f>
        <v>0</v>
      </c>
      <c r="D58" s="874">
        <f t="shared" si="3"/>
        <v>0</v>
      </c>
      <c r="E58" s="874">
        <f>E44+E49</f>
        <v>0</v>
      </c>
      <c r="F58" s="874">
        <f t="shared" si="3"/>
        <v>0</v>
      </c>
      <c r="H58" s="874">
        <f>SUM(C58:G58)</f>
        <v>0</v>
      </c>
      <c r="I58" s="874">
        <f>H44+H49-H58</f>
        <v>0</v>
      </c>
    </row>
    <row r="59" spans="2:10">
      <c r="B59" s="874" t="s">
        <v>892</v>
      </c>
      <c r="C59" s="874">
        <f>C45+C50</f>
        <v>0</v>
      </c>
      <c r="D59" s="874">
        <f>D45+D50</f>
        <v>0</v>
      </c>
      <c r="E59" s="874">
        <f t="shared" si="3"/>
        <v>0</v>
      </c>
      <c r="F59" s="874">
        <f t="shared" si="3"/>
        <v>0</v>
      </c>
      <c r="H59" s="874">
        <f>SUM(C59:G59)</f>
        <v>0</v>
      </c>
      <c r="I59" s="874">
        <f>H45+H50-H59</f>
        <v>0</v>
      </c>
    </row>
    <row r="60" spans="2:10">
      <c r="B60" s="876" t="s">
        <v>887</v>
      </c>
      <c r="C60" s="874">
        <f>C51-SUM(C56:C59)</f>
        <v>0</v>
      </c>
      <c r="D60" s="874">
        <f>D51-SUM(D56:D59)</f>
        <v>0</v>
      </c>
      <c r="E60" s="874">
        <f>E51-SUM(E56:E59)</f>
        <v>0</v>
      </c>
      <c r="F60" s="874">
        <f>F51-SUM(F56:F59)</f>
        <v>0</v>
      </c>
      <c r="H60" s="874">
        <f>H51-SUM(H56:H59)</f>
        <v>0</v>
      </c>
    </row>
    <row r="61" spans="2:10">
      <c r="B61" s="891"/>
      <c r="C61" s="891"/>
      <c r="D61" s="891"/>
      <c r="E61" s="891"/>
      <c r="F61" s="891"/>
      <c r="G61" s="891"/>
      <c r="H61" s="891"/>
      <c r="I61" s="891"/>
      <c r="J61" s="891"/>
    </row>
    <row r="62" spans="2:10">
      <c r="B62" s="892"/>
      <c r="C62" s="891"/>
      <c r="D62" s="891"/>
      <c r="E62" s="891"/>
      <c r="F62" s="891"/>
      <c r="G62" s="891"/>
      <c r="H62" s="891"/>
      <c r="I62" s="891"/>
      <c r="J62" s="891"/>
    </row>
    <row r="63" spans="2:10">
      <c r="B63" s="892"/>
      <c r="C63" s="891"/>
      <c r="D63" s="891"/>
      <c r="E63" s="891"/>
      <c r="F63" s="891"/>
      <c r="G63" s="891"/>
      <c r="H63" s="891"/>
      <c r="I63" s="891"/>
      <c r="J63" s="891"/>
    </row>
    <row r="64" spans="2:10">
      <c r="B64" s="892"/>
      <c r="C64" s="893"/>
      <c r="D64" s="891"/>
      <c r="E64" s="891"/>
      <c r="F64" s="891"/>
      <c r="G64" s="891"/>
      <c r="H64" s="891"/>
      <c r="I64" s="891"/>
      <c r="J64" s="891"/>
    </row>
    <row r="65" spans="2:10">
      <c r="B65" s="892"/>
      <c r="C65" s="891"/>
      <c r="D65" s="891"/>
      <c r="E65" s="891"/>
      <c r="F65" s="891"/>
      <c r="G65" s="891"/>
      <c r="H65" s="891"/>
      <c r="I65" s="891"/>
      <c r="J65" s="891"/>
    </row>
    <row r="66" spans="2:10">
      <c r="B66" s="892"/>
      <c r="C66" s="891"/>
      <c r="D66" s="891"/>
      <c r="E66" s="891"/>
      <c r="F66" s="891"/>
      <c r="G66" s="891"/>
      <c r="H66" s="891"/>
      <c r="I66" s="891"/>
      <c r="J66" s="891"/>
    </row>
    <row r="67" spans="2:10">
      <c r="B67" s="891"/>
      <c r="C67" s="891"/>
      <c r="D67" s="891"/>
      <c r="E67" s="891"/>
      <c r="F67" s="891"/>
      <c r="G67" s="891"/>
      <c r="H67" s="891"/>
      <c r="I67" s="891"/>
      <c r="J67" s="891"/>
    </row>
    <row r="68" spans="2:10">
      <c r="B68" s="891"/>
      <c r="C68" s="891"/>
      <c r="D68" s="891"/>
      <c r="E68" s="891"/>
      <c r="F68" s="891"/>
      <c r="G68" s="891"/>
      <c r="H68" s="891"/>
      <c r="I68" s="891"/>
      <c r="J68" s="891"/>
    </row>
  </sheetData>
  <pageMargins left="0.7" right="0.7" top="0.75" bottom="0.75" header="0.3" footer="0.3"/>
  <pageSetup paperSize="9" scale="32" fitToHeight="0"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E21"/>
  <sheetViews>
    <sheetView workbookViewId="0">
      <selection activeCell="E24" sqref="E24"/>
    </sheetView>
  </sheetViews>
  <sheetFormatPr defaultColWidth="9" defaultRowHeight="14.25"/>
  <cols>
    <col min="1" max="1" width="11.25" style="834" customWidth="1"/>
    <col min="2" max="2" width="12.625" style="834" customWidth="1"/>
    <col min="3" max="3" width="13.375" style="834" customWidth="1"/>
    <col min="4" max="4" width="9" style="834"/>
    <col min="5" max="5" width="49.25" style="834" customWidth="1"/>
    <col min="6" max="6" width="9" style="834"/>
    <col min="7" max="7" width="16.25" style="834" customWidth="1"/>
    <col min="8" max="8" width="13.0666666666667" style="834" customWidth="1"/>
    <col min="9" max="9" width="9" style="834" customWidth="1"/>
    <col min="10" max="10" width="12.625" style="834" customWidth="1"/>
    <col min="11" max="11" width="15.125" style="834" customWidth="1"/>
    <col min="12" max="12" width="13.5" style="834" customWidth="1"/>
    <col min="13" max="13" width="9" style="834" customWidth="1"/>
    <col min="14" max="14" width="12.0083333333333" style="834" customWidth="1"/>
    <col min="15" max="22" width="9" style="834" customWidth="1"/>
    <col min="23" max="23" width="11.5" style="834" customWidth="1"/>
    <col min="24" max="28" width="9" style="834" customWidth="1"/>
    <col min="29" max="29" width="17.625" style="834" customWidth="1"/>
    <col min="30" max="30" width="19.75" style="834" customWidth="1"/>
    <col min="31" max="31" width="18.875" style="835" customWidth="1"/>
    <col min="32" max="16384" width="9" style="834"/>
  </cols>
  <sheetData>
    <row r="1" spans="1:31">
      <c r="A1" s="836" t="s">
        <v>893</v>
      </c>
      <c r="B1" s="836" t="s">
        <v>894</v>
      </c>
      <c r="C1" s="836" t="s">
        <v>895</v>
      </c>
      <c r="D1" s="836" t="s">
        <v>896</v>
      </c>
      <c r="E1" s="836" t="s">
        <v>897</v>
      </c>
      <c r="F1" s="836" t="s">
        <v>898</v>
      </c>
      <c r="G1" s="836" t="s">
        <v>899</v>
      </c>
      <c r="H1" s="837" t="s">
        <v>900</v>
      </c>
      <c r="I1" s="837" t="s">
        <v>901</v>
      </c>
      <c r="J1" s="836" t="s">
        <v>784</v>
      </c>
      <c r="K1" s="836" t="s">
        <v>902</v>
      </c>
      <c r="L1" s="837" t="s">
        <v>902</v>
      </c>
      <c r="M1" s="836" t="s">
        <v>903</v>
      </c>
      <c r="N1" s="836" t="s">
        <v>904</v>
      </c>
      <c r="O1" s="836" t="s">
        <v>905</v>
      </c>
      <c r="P1" s="836" t="s">
        <v>906</v>
      </c>
      <c r="Q1" s="836" t="s">
        <v>907</v>
      </c>
      <c r="R1" s="836" t="s">
        <v>908</v>
      </c>
      <c r="S1" s="836" t="s">
        <v>909</v>
      </c>
      <c r="T1" s="836" t="s">
        <v>910</v>
      </c>
      <c r="U1" s="836" t="s">
        <v>911</v>
      </c>
      <c r="V1" s="836" t="s">
        <v>912</v>
      </c>
      <c r="W1" s="837" t="s">
        <v>913</v>
      </c>
      <c r="X1" s="837">
        <v>202101</v>
      </c>
      <c r="Y1" s="836">
        <v>202102</v>
      </c>
      <c r="Z1" s="836">
        <v>202103</v>
      </c>
      <c r="AA1" s="836">
        <v>202104</v>
      </c>
      <c r="AB1" s="836">
        <v>202105</v>
      </c>
      <c r="AC1" s="836" t="s">
        <v>914</v>
      </c>
      <c r="AD1" s="836" t="s">
        <v>915</v>
      </c>
      <c r="AE1" s="838" t="s">
        <v>916</v>
      </c>
    </row>
    <row r="2" ht="16.5" spans="1:31">
      <c r="A2" s="839" t="s">
        <v>917</v>
      </c>
      <c r="B2" s="839" t="s">
        <v>918</v>
      </c>
      <c r="C2" s="839" t="s">
        <v>919</v>
      </c>
      <c r="D2" s="840" t="s">
        <v>918</v>
      </c>
      <c r="E2" s="839" t="s">
        <v>920</v>
      </c>
      <c r="F2" s="841" t="s">
        <v>921</v>
      </c>
      <c r="G2" s="842">
        <v>3290200.87</v>
      </c>
      <c r="H2" s="843">
        <v>1012723.94</v>
      </c>
      <c r="I2" s="842"/>
      <c r="J2" s="842">
        <v>1012723.94</v>
      </c>
      <c r="K2" s="842">
        <v>26650.63</v>
      </c>
      <c r="L2" s="844">
        <v>26595.79</v>
      </c>
      <c r="M2" s="845" t="s">
        <v>922</v>
      </c>
      <c r="N2" s="846">
        <v>43039</v>
      </c>
      <c r="O2" s="847">
        <v>43</v>
      </c>
      <c r="P2" s="847">
        <v>0.03</v>
      </c>
      <c r="Q2" s="848">
        <v>120</v>
      </c>
      <c r="R2" s="849" t="s">
        <v>923</v>
      </c>
      <c r="S2" s="839" t="s">
        <v>924</v>
      </c>
      <c r="T2" s="839" t="s">
        <v>925</v>
      </c>
      <c r="U2" s="839" t="s">
        <v>926</v>
      </c>
      <c r="V2" s="850">
        <v>98706.0261</v>
      </c>
      <c r="W2" s="851">
        <v>1143618.98573083</v>
      </c>
      <c r="X2" s="851">
        <v>26595.79</v>
      </c>
      <c r="Y2" s="851">
        <v>26595.79</v>
      </c>
      <c r="Z2" s="851">
        <v>24511.88</v>
      </c>
      <c r="AA2" s="851">
        <v>26595.79</v>
      </c>
      <c r="AB2" s="851">
        <v>26595.79</v>
      </c>
      <c r="AC2" s="851">
        <v>26595.79</v>
      </c>
      <c r="AD2" s="852">
        <f>1143618.98+AC2</f>
        <v>1170214.77</v>
      </c>
      <c r="AE2" s="853">
        <f>G2-AD2</f>
        <v>2119986.1</v>
      </c>
    </row>
    <row r="3" ht="16.5" spans="1:31">
      <c r="A3" s="839" t="s">
        <v>927</v>
      </c>
      <c r="B3" s="839" t="s">
        <v>928</v>
      </c>
      <c r="C3" s="839" t="s">
        <v>929</v>
      </c>
      <c r="D3" s="840" t="s">
        <v>928</v>
      </c>
      <c r="E3" s="839" t="s">
        <v>920</v>
      </c>
      <c r="F3" s="841" t="s">
        <v>921</v>
      </c>
      <c r="G3" s="842">
        <v>3290200.87</v>
      </c>
      <c r="H3" s="843">
        <v>1012723.94</v>
      </c>
      <c r="I3" s="842"/>
      <c r="J3" s="842">
        <v>1012723.94</v>
      </c>
      <c r="K3" s="842">
        <v>26650.63</v>
      </c>
      <c r="L3" s="844">
        <v>26595.79</v>
      </c>
      <c r="M3" s="845" t="s">
        <v>922</v>
      </c>
      <c r="N3" s="846">
        <v>43039</v>
      </c>
      <c r="O3" s="847">
        <v>43</v>
      </c>
      <c r="P3" s="847">
        <v>0.03</v>
      </c>
      <c r="Q3" s="848">
        <v>120</v>
      </c>
      <c r="R3" s="849" t="s">
        <v>923</v>
      </c>
      <c r="S3" s="839" t="s">
        <v>924</v>
      </c>
      <c r="T3" s="839" t="s">
        <v>925</v>
      </c>
      <c r="U3" s="839" t="s">
        <v>926</v>
      </c>
      <c r="V3" s="850">
        <v>98706.0261</v>
      </c>
      <c r="W3" s="851">
        <v>1143618.98573083</v>
      </c>
      <c r="X3" s="851">
        <v>26595.79</v>
      </c>
      <c r="Y3" s="851">
        <v>26595.79</v>
      </c>
      <c r="Z3" s="851">
        <v>24511.88</v>
      </c>
      <c r="AA3" s="851">
        <v>26595.79</v>
      </c>
      <c r="AB3" s="851">
        <v>26595.79</v>
      </c>
      <c r="AC3" s="851">
        <v>26595.79</v>
      </c>
      <c r="AD3" s="852">
        <f>1143618.98+AC3</f>
        <v>1170214.77</v>
      </c>
      <c r="AE3" s="853">
        <f t="shared" ref="AE3:AE5" si="0">G3-AD3</f>
        <v>2119986.1</v>
      </c>
    </row>
    <row r="4" ht="16.5" spans="1:31">
      <c r="A4" s="839" t="s">
        <v>930</v>
      </c>
      <c r="B4" s="839" t="s">
        <v>931</v>
      </c>
      <c r="C4" s="839" t="s">
        <v>932</v>
      </c>
      <c r="D4" s="840" t="s">
        <v>931</v>
      </c>
      <c r="E4" s="839" t="s">
        <v>920</v>
      </c>
      <c r="F4" s="841" t="s">
        <v>921</v>
      </c>
      <c r="G4" s="842">
        <v>3290200.86</v>
      </c>
      <c r="H4" s="843">
        <v>1012723.94</v>
      </c>
      <c r="I4" s="842"/>
      <c r="J4" s="842">
        <v>1012723.94</v>
      </c>
      <c r="K4" s="842">
        <v>26650.63</v>
      </c>
      <c r="L4" s="844">
        <v>26595.79</v>
      </c>
      <c r="M4" s="845" t="s">
        <v>922</v>
      </c>
      <c r="N4" s="846">
        <v>43039</v>
      </c>
      <c r="O4" s="847">
        <v>43</v>
      </c>
      <c r="P4" s="847">
        <v>0.03</v>
      </c>
      <c r="Q4" s="848">
        <v>120</v>
      </c>
      <c r="R4" s="849" t="s">
        <v>923</v>
      </c>
      <c r="S4" s="839" t="s">
        <v>924</v>
      </c>
      <c r="T4" s="839" t="s">
        <v>925</v>
      </c>
      <c r="U4" s="839" t="s">
        <v>926</v>
      </c>
      <c r="V4" s="850">
        <v>98706.0258</v>
      </c>
      <c r="W4" s="851">
        <v>1143618.982255</v>
      </c>
      <c r="X4" s="851">
        <v>26595.79</v>
      </c>
      <c r="Y4" s="851">
        <v>26595.79</v>
      </c>
      <c r="Z4" s="851">
        <v>24511.88</v>
      </c>
      <c r="AA4" s="851">
        <v>26595.79</v>
      </c>
      <c r="AB4" s="851">
        <v>26595.79</v>
      </c>
      <c r="AC4" s="851">
        <v>26595.79</v>
      </c>
      <c r="AD4" s="852">
        <f>1143618.98+AC4</f>
        <v>1170214.77</v>
      </c>
      <c r="AE4" s="853">
        <f t="shared" si="0"/>
        <v>2119986.09</v>
      </c>
    </row>
    <row r="5" ht="16.5" spans="1:31">
      <c r="A5" s="839" t="s">
        <v>933</v>
      </c>
      <c r="B5" s="839" t="s">
        <v>934</v>
      </c>
      <c r="C5" s="839" t="s">
        <v>919</v>
      </c>
      <c r="D5" s="839" t="s">
        <v>934</v>
      </c>
      <c r="E5" s="839" t="s">
        <v>935</v>
      </c>
      <c r="F5" s="841" t="s">
        <v>921</v>
      </c>
      <c r="G5" s="842">
        <v>97030</v>
      </c>
      <c r="H5" s="843">
        <v>3929.7</v>
      </c>
      <c r="I5" s="842"/>
      <c r="J5" s="842">
        <v>3929.7</v>
      </c>
      <c r="K5" s="843">
        <v>785.94</v>
      </c>
      <c r="L5" s="844">
        <v>784.33</v>
      </c>
      <c r="M5" s="845" t="s">
        <v>922</v>
      </c>
      <c r="N5" s="846">
        <v>44043</v>
      </c>
      <c r="O5" s="847">
        <v>10</v>
      </c>
      <c r="P5" s="847">
        <v>0.03</v>
      </c>
      <c r="Q5" s="848">
        <v>120</v>
      </c>
      <c r="R5" s="849" t="s">
        <v>923</v>
      </c>
      <c r="S5" s="839" t="s">
        <v>924</v>
      </c>
      <c r="T5" s="839" t="s">
        <v>925</v>
      </c>
      <c r="U5" s="839" t="s">
        <v>926</v>
      </c>
      <c r="V5" s="850">
        <v>2910.9</v>
      </c>
      <c r="W5" s="851">
        <v>7843.25833333333</v>
      </c>
      <c r="X5" s="851">
        <v>784.33</v>
      </c>
      <c r="Y5" s="851">
        <v>784.33</v>
      </c>
      <c r="Z5" s="851">
        <v>776.25</v>
      </c>
      <c r="AA5" s="851">
        <v>784.33</v>
      </c>
      <c r="AB5" s="851">
        <v>784.33</v>
      </c>
      <c r="AC5" s="851">
        <v>784.33</v>
      </c>
      <c r="AD5" s="852">
        <f>7843.27+AC5</f>
        <v>8627.6</v>
      </c>
      <c r="AE5" s="853">
        <f t="shared" si="0"/>
        <v>88402.4</v>
      </c>
    </row>
    <row r="6" spans="1:31">
      <c r="G6" s="854">
        <f>SUM(G1:G5)</f>
        <v>9967632.6</v>
      </c>
      <c r="AC6" s="855">
        <f>AC2+AC3+AC4+AC5</f>
        <v>80571.7</v>
      </c>
      <c r="AD6" s="855">
        <f>AD2+AD3+AD4+AD5</f>
        <v>3519271.91</v>
      </c>
      <c r="AE6" s="853">
        <f>SUM(AE1:AE5)</f>
        <v>6448360.69</v>
      </c>
    </row>
    <row r="8" spans="1:31">
      <c r="A8" s="834" t="s">
        <v>936</v>
      </c>
      <c r="C8" s="834" t="s">
        <v>937</v>
      </c>
    </row>
    <row r="9" ht="16.5" spans="1:31">
      <c r="A9" s="856" t="s">
        <v>938</v>
      </c>
      <c r="B9" s="856" t="s">
        <v>896</v>
      </c>
      <c r="C9" s="857" t="s">
        <v>897</v>
      </c>
      <c r="D9" s="856" t="s">
        <v>898</v>
      </c>
      <c r="E9" s="856" t="s">
        <v>904</v>
      </c>
      <c r="F9" s="856" t="s">
        <v>907</v>
      </c>
      <c r="G9" s="856" t="s">
        <v>894</v>
      </c>
      <c r="H9" s="858" t="s">
        <v>939</v>
      </c>
      <c r="I9" s="856" t="s">
        <v>906</v>
      </c>
      <c r="J9" s="859" t="s">
        <v>899</v>
      </c>
      <c r="K9" s="860" t="s">
        <v>784</v>
      </c>
      <c r="L9" s="861" t="s">
        <v>940</v>
      </c>
    </row>
    <row r="10" ht="16.5" spans="1:31">
      <c r="A10" s="856" t="s">
        <v>941</v>
      </c>
      <c r="B10" s="856" t="s">
        <v>942</v>
      </c>
      <c r="C10" s="857" t="s">
        <v>943</v>
      </c>
      <c r="D10" s="859" t="s">
        <v>944</v>
      </c>
      <c r="E10" s="862">
        <v>44579</v>
      </c>
      <c r="F10" s="863" t="s">
        <v>945</v>
      </c>
      <c r="G10" s="864" t="s">
        <v>946</v>
      </c>
      <c r="H10" s="865" t="s">
        <v>947</v>
      </c>
      <c r="I10" s="863">
        <v>0.03</v>
      </c>
      <c r="J10" s="866">
        <v>6672.57</v>
      </c>
      <c r="K10" s="867">
        <v>3056.41560833333</v>
      </c>
      <c r="L10" s="867">
        <f>J10-K10</f>
        <v>3616.15439166667</v>
      </c>
    </row>
    <row r="11" ht="16.5" spans="1:31">
      <c r="A11" s="856" t="s">
        <v>948</v>
      </c>
      <c r="B11" s="856" t="s">
        <v>949</v>
      </c>
      <c r="C11" s="857" t="s">
        <v>950</v>
      </c>
      <c r="D11" s="859" t="s">
        <v>944</v>
      </c>
      <c r="E11" s="862">
        <v>44699</v>
      </c>
      <c r="F11" s="863" t="s">
        <v>945</v>
      </c>
      <c r="G11" s="864" t="s">
        <v>951</v>
      </c>
      <c r="H11" s="865" t="s">
        <v>947</v>
      </c>
      <c r="I11" s="863">
        <v>0.03</v>
      </c>
      <c r="J11" s="866">
        <v>8672.57</v>
      </c>
      <c r="K11" s="867">
        <v>3037.82306388889</v>
      </c>
      <c r="L11" s="867">
        <f t="shared" ref="L11:L20" si="1">J11-K11</f>
        <v>5634.74693611111</v>
      </c>
    </row>
    <row r="12" ht="16.5" spans="1:31">
      <c r="A12" s="856" t="s">
        <v>952</v>
      </c>
      <c r="B12" s="856" t="s">
        <v>953</v>
      </c>
      <c r="C12" s="857" t="s">
        <v>954</v>
      </c>
      <c r="D12" s="859" t="s">
        <v>955</v>
      </c>
      <c r="E12" s="862">
        <v>44762</v>
      </c>
      <c r="F12" s="863" t="s">
        <v>956</v>
      </c>
      <c r="G12" s="1512" t="s">
        <v>957</v>
      </c>
      <c r="H12" s="865" t="s">
        <v>947</v>
      </c>
      <c r="I12" s="863">
        <v>0.03</v>
      </c>
      <c r="J12" s="866">
        <v>10176.99</v>
      </c>
      <c r="K12" s="867">
        <v>1809.820025</v>
      </c>
      <c r="L12" s="867">
        <f t="shared" si="1"/>
        <v>8367.169975</v>
      </c>
    </row>
    <row r="13" ht="16.5" spans="1:31">
      <c r="A13" s="856" t="s">
        <v>958</v>
      </c>
      <c r="B13" s="856" t="s">
        <v>959</v>
      </c>
      <c r="C13" s="857" t="s">
        <v>960</v>
      </c>
      <c r="D13" s="859" t="s">
        <v>955</v>
      </c>
      <c r="E13" s="862">
        <v>44782</v>
      </c>
      <c r="F13" s="863" t="s">
        <v>956</v>
      </c>
      <c r="G13" s="1512" t="s">
        <v>961</v>
      </c>
      <c r="H13" s="865" t="s">
        <v>947</v>
      </c>
      <c r="I13" s="863">
        <v>0.03</v>
      </c>
      <c r="J13" s="866">
        <v>10619.47</v>
      </c>
      <c r="K13" s="867">
        <v>1716.80572666667</v>
      </c>
      <c r="L13" s="867">
        <f t="shared" si="1"/>
        <v>8902.66427333333</v>
      </c>
    </row>
    <row r="14" ht="16.5" spans="1:31">
      <c r="A14" s="856" t="s">
        <v>962</v>
      </c>
      <c r="B14" s="856" t="s">
        <v>963</v>
      </c>
      <c r="C14" s="857" t="s">
        <v>964</v>
      </c>
      <c r="D14" s="859" t="s">
        <v>921</v>
      </c>
      <c r="E14" s="862">
        <v>44810</v>
      </c>
      <c r="F14" s="863" t="s">
        <v>965</v>
      </c>
      <c r="G14" s="1513" t="s">
        <v>966</v>
      </c>
      <c r="H14" s="865" t="s">
        <v>947</v>
      </c>
      <c r="I14" s="863">
        <v>0.03</v>
      </c>
      <c r="J14" s="866">
        <v>102654.87</v>
      </c>
      <c r="K14" s="867">
        <v>7468.1205975</v>
      </c>
      <c r="L14" s="867">
        <f t="shared" si="1"/>
        <v>95186.7494025</v>
      </c>
    </row>
    <row r="15" ht="16.5" spans="1:31">
      <c r="A15" s="856" t="s">
        <v>967</v>
      </c>
      <c r="B15" s="856" t="s">
        <v>968</v>
      </c>
      <c r="C15" s="870" t="s">
        <v>969</v>
      </c>
      <c r="D15" s="859" t="s">
        <v>921</v>
      </c>
      <c r="E15" s="862">
        <v>44810</v>
      </c>
      <c r="F15" s="863" t="s">
        <v>965</v>
      </c>
      <c r="G15" s="1513" t="s">
        <v>970</v>
      </c>
      <c r="H15" s="865" t="s">
        <v>947</v>
      </c>
      <c r="I15" s="863">
        <v>0.03</v>
      </c>
      <c r="J15" s="866">
        <v>139823.01</v>
      </c>
      <c r="K15" s="867">
        <v>10172.1479925</v>
      </c>
      <c r="L15" s="867">
        <f t="shared" si="1"/>
        <v>129650.8620075</v>
      </c>
    </row>
    <row r="16" ht="16.5" spans="1:31">
      <c r="A16" s="856" t="s">
        <v>971</v>
      </c>
      <c r="B16" s="856" t="s">
        <v>972</v>
      </c>
      <c r="C16" s="857" t="s">
        <v>973</v>
      </c>
      <c r="D16" s="859" t="s">
        <v>921</v>
      </c>
      <c r="E16" s="862">
        <v>44810</v>
      </c>
      <c r="F16" s="863" t="s">
        <v>965</v>
      </c>
      <c r="G16" s="1513" t="s">
        <v>974</v>
      </c>
      <c r="H16" s="865" t="s">
        <v>947</v>
      </c>
      <c r="I16" s="863">
        <v>0.03</v>
      </c>
      <c r="J16" s="866">
        <v>296017.7</v>
      </c>
      <c r="K16" s="867">
        <v>21535.289225</v>
      </c>
      <c r="L16" s="867">
        <f t="shared" si="1"/>
        <v>274482.410775</v>
      </c>
    </row>
    <row r="17" ht="16.5" spans="1:12">
      <c r="A17" s="856" t="s">
        <v>975</v>
      </c>
      <c r="B17" s="856" t="s">
        <v>976</v>
      </c>
      <c r="C17" s="857" t="s">
        <v>973</v>
      </c>
      <c r="D17" s="859" t="s">
        <v>921</v>
      </c>
      <c r="E17" s="862">
        <v>44810</v>
      </c>
      <c r="F17" s="863" t="s">
        <v>965</v>
      </c>
      <c r="G17" s="1513" t="s">
        <v>977</v>
      </c>
      <c r="H17" s="865" t="s">
        <v>947</v>
      </c>
      <c r="I17" s="863">
        <v>0.03</v>
      </c>
      <c r="J17" s="866">
        <v>296017.7</v>
      </c>
      <c r="K17" s="867">
        <v>21535.289225</v>
      </c>
      <c r="L17" s="867">
        <f t="shared" si="1"/>
        <v>274482.410775</v>
      </c>
    </row>
    <row r="18" ht="16.5" spans="1:12">
      <c r="A18" s="856" t="s">
        <v>978</v>
      </c>
      <c r="B18" s="856" t="s">
        <v>979</v>
      </c>
      <c r="C18" s="857" t="s">
        <v>980</v>
      </c>
      <c r="D18" s="859" t="s">
        <v>921</v>
      </c>
      <c r="E18" s="862">
        <v>44810</v>
      </c>
      <c r="F18" s="863" t="s">
        <v>965</v>
      </c>
      <c r="G18" s="1513" t="s">
        <v>981</v>
      </c>
      <c r="H18" s="865" t="s">
        <v>947</v>
      </c>
      <c r="I18" s="863">
        <v>0.03</v>
      </c>
      <c r="J18" s="866">
        <v>340265.49</v>
      </c>
      <c r="K18" s="867">
        <v>24754.3181325</v>
      </c>
      <c r="L18" s="867">
        <f t="shared" si="1"/>
        <v>315511.1718675</v>
      </c>
    </row>
    <row r="19" ht="16.5" spans="1:12">
      <c r="A19" s="856" t="s">
        <v>982</v>
      </c>
      <c r="B19" s="856" t="s">
        <v>983</v>
      </c>
      <c r="C19" s="857" t="s">
        <v>980</v>
      </c>
      <c r="D19" s="859" t="s">
        <v>921</v>
      </c>
      <c r="E19" s="862">
        <v>44810</v>
      </c>
      <c r="F19" s="863" t="s">
        <v>965</v>
      </c>
      <c r="G19" s="1513" t="s">
        <v>984</v>
      </c>
      <c r="H19" s="865" t="s">
        <v>947</v>
      </c>
      <c r="I19" s="863">
        <v>0.03</v>
      </c>
      <c r="J19" s="866">
        <v>340265.49</v>
      </c>
      <c r="K19" s="867">
        <v>24754.3181325</v>
      </c>
      <c r="L19" s="867">
        <f t="shared" si="1"/>
        <v>315511.1718675</v>
      </c>
    </row>
    <row r="20" ht="16.5" spans="1:12">
      <c r="A20" s="856" t="s">
        <v>985</v>
      </c>
      <c r="B20" s="856" t="s">
        <v>986</v>
      </c>
      <c r="C20" s="857" t="s">
        <v>987</v>
      </c>
      <c r="D20" s="859" t="s">
        <v>921</v>
      </c>
      <c r="E20" s="862">
        <v>44887</v>
      </c>
      <c r="F20" s="863" t="s">
        <v>965</v>
      </c>
      <c r="G20" s="1513" t="s">
        <v>988</v>
      </c>
      <c r="H20" s="865" t="s">
        <v>947</v>
      </c>
      <c r="I20" s="863">
        <v>0.03</v>
      </c>
      <c r="J20" s="866">
        <v>486725.66</v>
      </c>
      <c r="K20" s="867">
        <v>27540.61056</v>
      </c>
      <c r="L20" s="867">
        <f t="shared" si="1"/>
        <v>459185.04944</v>
      </c>
    </row>
    <row r="21" spans="1:12">
      <c r="A21" s="865" t="s">
        <v>866</v>
      </c>
      <c r="B21" s="871"/>
      <c r="C21" s="871"/>
      <c r="D21" s="871"/>
      <c r="E21" s="871"/>
      <c r="F21" s="871"/>
      <c r="G21" s="871"/>
      <c r="H21" s="871"/>
      <c r="I21" s="871"/>
      <c r="J21" s="872">
        <f>SUM(J10:J20)</f>
        <v>2037911.52</v>
      </c>
      <c r="K21" s="872">
        <f>SUM(K10:K20)</f>
        <v>147380.958288889</v>
      </c>
      <c r="L21" s="872">
        <f>SUM(L10:L20)</f>
        <v>1890530.56171111</v>
      </c>
    </row>
  </sheetData>
  <pageMargins left="0.708661417322835" right="0.708661417322835" top="0.748031496062992" bottom="0.748031496062992" header="0.31496062992126" footer="0.31496062992126"/>
  <pageSetup paperSize="9" scale="32" orientation="landscape"/>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K26"/>
  <sheetViews>
    <sheetView topLeftCell="A16" workbookViewId="0">
      <selection activeCell="F34" sqref="F34"/>
    </sheetView>
  </sheetViews>
  <sheetFormatPr defaultColWidth="9.1" defaultRowHeight="14.25"/>
  <cols>
    <col min="2" max="2" width="18.075" customWidth="1"/>
    <col min="3" max="3" width="15.65" style="822" customWidth="1"/>
    <col min="4" max="5" width="13.625" style="822" customWidth="1"/>
    <col min="6" max="6" width="14.7" style="822" customWidth="1"/>
    <col min="7" max="7" width="13.625" style="822" customWidth="1"/>
    <col min="8" max="8" width="14.7"/>
    <col min="9" max="9" width="16.2833333333333" style="823" customWidth="1"/>
    <col min="10" max="11" width="12.7083333333333"/>
  </cols>
  <sheetData>
    <row r="1" spans="2:11">
      <c r="B1" t="s">
        <v>989</v>
      </c>
      <c r="C1" s="822" t="s">
        <v>990</v>
      </c>
      <c r="D1" s="824" t="s">
        <v>991</v>
      </c>
      <c r="E1" s="824" t="s">
        <v>992</v>
      </c>
      <c r="F1" s="824" t="s">
        <v>993</v>
      </c>
      <c r="G1" s="824" t="s">
        <v>994</v>
      </c>
      <c r="H1" t="s">
        <v>995</v>
      </c>
      <c r="I1" s="823" t="s">
        <v>996</v>
      </c>
    </row>
    <row r="2" spans="2:11">
      <c r="B2" t="s">
        <v>997</v>
      </c>
      <c r="C2" s="822">
        <v>434927.16666667</v>
      </c>
      <c r="G2" s="825">
        <v>434927.17</v>
      </c>
      <c r="H2" s="826">
        <f>SUM(D2:G2)</f>
        <v>434927.17</v>
      </c>
      <c r="I2" s="823" t="s">
        <v>998</v>
      </c>
      <c r="K2">
        <f>G2+G5+G6</f>
        <v>18557911.2</v>
      </c>
    </row>
    <row r="3" spans="2:11">
      <c r="B3" t="s">
        <v>999</v>
      </c>
      <c r="C3" s="822">
        <v>16237501.08</v>
      </c>
      <c r="G3" s="822">
        <v>16237501.08</v>
      </c>
      <c r="H3" s="826">
        <f t="shared" ref="H3:H13" si="0">SUM(D3:G3)</f>
        <v>16237501.08</v>
      </c>
      <c r="I3" s="823" t="s">
        <v>998</v>
      </c>
      <c r="K3">
        <f>G4+G8</f>
        <v>25882350.19</v>
      </c>
    </row>
    <row r="4" spans="2:11">
      <c r="B4" t="s">
        <v>1000</v>
      </c>
      <c r="C4" s="822">
        <v>17952747.68</v>
      </c>
      <c r="G4" s="825">
        <v>17952747.68</v>
      </c>
      <c r="H4" s="826">
        <f t="shared" si="0"/>
        <v>17952747.68</v>
      </c>
      <c r="I4" s="823" t="s">
        <v>998</v>
      </c>
    </row>
    <row r="5" spans="2:11">
      <c r="B5" t="s">
        <v>1001</v>
      </c>
      <c r="C5" s="822">
        <v>5613633.11977665</v>
      </c>
      <c r="G5" s="825">
        <v>5613633.12</v>
      </c>
      <c r="H5" s="826">
        <f t="shared" si="0"/>
        <v>5613633.12</v>
      </c>
      <c r="I5" s="823" t="s">
        <v>998</v>
      </c>
    </row>
    <row r="6" spans="2:11">
      <c r="B6" t="s">
        <v>1002</v>
      </c>
      <c r="C6" s="822">
        <v>23700439.7090337</v>
      </c>
      <c r="D6" s="822">
        <v>11191088.8027833</v>
      </c>
      <c r="G6" s="825">
        <v>12509350.91</v>
      </c>
      <c r="H6" s="826">
        <f t="shared" si="0"/>
        <v>23700439.7127833</v>
      </c>
      <c r="I6" s="823" t="s">
        <v>998</v>
      </c>
    </row>
    <row r="7" spans="2:11">
      <c r="B7" t="s">
        <v>136</v>
      </c>
      <c r="C7" s="822">
        <v>1595996.56</v>
      </c>
      <c r="G7" s="825">
        <v>1595996.56</v>
      </c>
      <c r="H7" s="826">
        <f t="shared" si="0"/>
        <v>1595996.56</v>
      </c>
      <c r="I7" s="823" t="s">
        <v>998</v>
      </c>
    </row>
    <row r="8" spans="2:11">
      <c r="B8" t="s">
        <v>1003</v>
      </c>
      <c r="C8" s="822">
        <v>7929602.51</v>
      </c>
      <c r="G8" s="825">
        <v>7929602.51</v>
      </c>
      <c r="H8" s="826">
        <f t="shared" si="0"/>
        <v>7929602.51</v>
      </c>
      <c r="I8" s="823" t="s">
        <v>998</v>
      </c>
    </row>
    <row r="9" spans="2:11">
      <c r="B9" t="s">
        <v>1004</v>
      </c>
      <c r="C9" s="822">
        <v>138935628.497418</v>
      </c>
      <c r="E9" s="826">
        <v>9371612.18580631</v>
      </c>
      <c r="F9" s="826">
        <v>129564016.311612</v>
      </c>
      <c r="H9" s="822">
        <f t="shared" si="0"/>
        <v>138935628.497418</v>
      </c>
      <c r="I9" s="823" t="s">
        <v>1005</v>
      </c>
    </row>
    <row r="10" spans="2:11">
      <c r="B10" t="s">
        <v>1006</v>
      </c>
      <c r="C10" s="822">
        <v>636088.213831666</v>
      </c>
      <c r="E10" s="826">
        <v>636088.213831666</v>
      </c>
      <c r="F10" s="826"/>
      <c r="H10" s="822">
        <f t="shared" si="0"/>
        <v>636088.213831666</v>
      </c>
      <c r="I10" s="823" t="s">
        <v>1005</v>
      </c>
    </row>
    <row r="11" spans="2:11">
      <c r="B11" t="s">
        <v>1007</v>
      </c>
      <c r="C11" s="822">
        <v>799854.84205</v>
      </c>
      <c r="E11" s="826">
        <v>799854.84205</v>
      </c>
      <c r="F11" s="826"/>
      <c r="H11" s="822">
        <f t="shared" si="0"/>
        <v>799854.84205</v>
      </c>
      <c r="I11" s="823" t="s">
        <v>1005</v>
      </c>
    </row>
    <row r="12" spans="2:11">
      <c r="B12" t="s">
        <v>1008</v>
      </c>
      <c r="C12" s="822">
        <v>505118.2</v>
      </c>
      <c r="E12" s="827">
        <v>505118.2</v>
      </c>
      <c r="H12" s="826">
        <f t="shared" si="0"/>
        <v>505118.2</v>
      </c>
      <c r="I12" s="823" t="s">
        <v>1009</v>
      </c>
    </row>
    <row r="13" spans="2:11">
      <c r="B13" t="s">
        <v>166</v>
      </c>
      <c r="C13" s="822">
        <v>14149734.4881416</v>
      </c>
      <c r="E13" s="827">
        <v>14149734.4881416</v>
      </c>
      <c r="H13" s="826">
        <f t="shared" si="0"/>
        <v>14149734.4881416</v>
      </c>
      <c r="I13" s="823" t="s">
        <v>1009</v>
      </c>
    </row>
    <row r="15" spans="2:11">
      <c r="B15" t="s">
        <v>77</v>
      </c>
      <c r="C15" s="822">
        <v>228491272.066918</v>
      </c>
      <c r="D15" s="822">
        <f>SUM(D2:D14)</f>
        <v>11191088.8027833</v>
      </c>
      <c r="E15" s="822">
        <f>SUM(E2:E14)</f>
        <v>25462407.9298296</v>
      </c>
      <c r="F15" s="822">
        <f>SUM(F2:F14)</f>
        <v>129564016.311612</v>
      </c>
      <c r="G15" s="822">
        <f>SUM(G2:G14)</f>
        <v>62273759.03</v>
      </c>
      <c r="H15" s="822">
        <f>SUM(H2:H14)</f>
        <v>228491272.074225</v>
      </c>
      <c r="K15">
        <v>88119700.5209249</v>
      </c>
    </row>
    <row r="17" spans="1:10">
      <c r="C17" s="822" t="s">
        <v>1010</v>
      </c>
      <c r="D17" s="822">
        <f>D15*0.13</f>
        <v>1454841.54436183</v>
      </c>
      <c r="E17" s="822">
        <f>E15*0.13</f>
        <v>3310113.03087785</v>
      </c>
      <c r="F17" s="822">
        <f>F15*0.13</f>
        <v>16843322.1205096</v>
      </c>
      <c r="G17" s="822">
        <f>G15*0.13</f>
        <v>8095588.6739</v>
      </c>
      <c r="H17" s="822">
        <f>SUM(D17:G17)</f>
        <v>29703865.3696492</v>
      </c>
    </row>
    <row r="18" spans="1:10">
      <c r="A18" s="828"/>
      <c r="B18" s="829" t="s">
        <v>1011</v>
      </c>
      <c r="C18" s="822" t="s">
        <v>1012</v>
      </c>
      <c r="D18" s="822">
        <f>D17*0.12</f>
        <v>174580.985323419</v>
      </c>
      <c r="E18" s="822">
        <f>E17*0.12</f>
        <v>397213.563705342</v>
      </c>
      <c r="F18" s="822">
        <f>F17*0.12</f>
        <v>2021198.65446115</v>
      </c>
      <c r="G18" s="822">
        <f>G17*0.12</f>
        <v>971470.640868</v>
      </c>
      <c r="H18" s="822">
        <f>SUM(D18:G18)</f>
        <v>3564463.84435791</v>
      </c>
    </row>
    <row r="21" spans="1:10">
      <c r="H21" s="830">
        <f>129564016.31+10807555.24</f>
        <v>140371571.55</v>
      </c>
      <c r="I21" s="823" t="s">
        <v>1013</v>
      </c>
      <c r="J21">
        <v>73464847.83</v>
      </c>
    </row>
    <row r="22" spans="1:10">
      <c r="H22" s="831">
        <f>SUM(H2:H8)</f>
        <v>73464847.8327833</v>
      </c>
      <c r="I22" s="832" t="s">
        <v>1014</v>
      </c>
    </row>
    <row r="23" spans="1:10">
      <c r="H23" s="831">
        <f>SUM(H12:H13)</f>
        <v>14654852.6881416</v>
      </c>
      <c r="I23" s="832" t="s">
        <v>1015</v>
      </c>
    </row>
    <row r="24" spans="1:10">
      <c r="H24" s="831">
        <f>SUM(H22:H23)</f>
        <v>88119700.5209249</v>
      </c>
      <c r="I24" s="823" t="s">
        <v>1016</v>
      </c>
    </row>
    <row r="26" spans="1:10">
      <c r="H26" s="833">
        <f>快速PL新!D10-H22</f>
        <v>-43122187.8427833</v>
      </c>
    </row>
  </sheetData>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X217"/>
  <sheetViews>
    <sheetView zoomScale="85" zoomScaleNormal="85" workbookViewId="0">
      <pane xSplit="2" ySplit="3" topLeftCell="C139" activePane="bottomRight" state="frozen"/>
      <selection/>
      <selection pane="topRight"/>
      <selection pane="bottomLeft"/>
      <selection pane="bottomRight" activeCell="G158" sqref="G158"/>
    </sheetView>
  </sheetViews>
  <sheetFormatPr defaultColWidth="8.25" defaultRowHeight="12.75"/>
  <cols>
    <col min="1" max="1" width="8.625" style="781" customWidth="1"/>
    <col min="2" max="2" width="12.425" style="782"/>
    <col min="3" max="3" width="14.6416666666667" style="783"/>
    <col min="4" max="4" width="14.6416666666667" style="784"/>
    <col min="5" max="5" width="14.6416666666667" style="785"/>
    <col min="6" max="6" width="17.65" style="781"/>
    <col min="7" max="7" width="14.6416666666667" style="781"/>
    <col min="8" max="8" width="17.65" style="786"/>
    <col min="9" max="9" width="12.6916666666667" style="787" customWidth="1"/>
    <col min="10" max="10" width="10.65" style="788"/>
    <col min="11" max="11" width="10.6333333333333" style="781"/>
    <col min="12" max="12" width="13.5" style="781"/>
    <col min="13" max="13" width="13.625" style="781"/>
    <col min="14" max="14" width="10.65" style="781"/>
    <col min="15" max="16" width="13.625" style="781"/>
    <col min="17" max="17" width="23" style="781" customWidth="1"/>
    <col min="18" max="19" width="13.375" style="781" customWidth="1"/>
    <col min="20" max="20" width="11.375" style="781" customWidth="1"/>
    <col min="21" max="21" width="16.75" style="781" customWidth="1"/>
    <col min="22" max="22" width="10.25" style="781" customWidth="1"/>
    <col min="23" max="23" width="10.625" style="781" customWidth="1"/>
    <col min="24" max="24" width="20.25" style="781" customWidth="1"/>
    <col min="25" max="16384" width="8.25" style="781"/>
  </cols>
  <sheetData>
    <row r="1" ht="25.5" spans="1:14">
      <c r="D1" s="784">
        <f>SUBTOTAL(9,D4:D195)</f>
        <v>44915831.04</v>
      </c>
      <c r="G1" s="787"/>
      <c r="H1" s="789"/>
      <c r="I1" s="784">
        <f>SUBTOTAL(9,I4:I195)</f>
        <v>44915831.04</v>
      </c>
      <c r="J1" s="787">
        <f>D1-I1</f>
        <v>0</v>
      </c>
      <c r="K1" s="781" t="s">
        <v>1017</v>
      </c>
      <c r="M1" s="790" t="s">
        <v>1018</v>
      </c>
    </row>
    <row r="2" s="778" customFormat="1" ht="15.75" spans="1:14">
      <c r="A2" s="791" t="s">
        <v>1019</v>
      </c>
      <c r="B2" s="791"/>
      <c r="C2" s="791"/>
      <c r="D2" s="791"/>
      <c r="E2" s="791"/>
      <c r="F2" s="791" t="s">
        <v>1020</v>
      </c>
      <c r="G2" s="791"/>
      <c r="H2" s="791"/>
      <c r="I2" s="791"/>
      <c r="J2" s="792"/>
    </row>
    <row r="3" s="779" customFormat="1" ht="15.75" spans="1:14">
      <c r="A3" s="793" t="s">
        <v>1021</v>
      </c>
      <c r="B3" s="793" t="s">
        <v>1022</v>
      </c>
      <c r="C3" s="794" t="s">
        <v>1023</v>
      </c>
      <c r="D3" s="793" t="s">
        <v>1024</v>
      </c>
      <c r="E3" s="794" t="s">
        <v>1025</v>
      </c>
      <c r="F3" s="793" t="s">
        <v>1021</v>
      </c>
      <c r="G3" s="793" t="s">
        <v>1022</v>
      </c>
      <c r="H3" s="794" t="s">
        <v>1023</v>
      </c>
      <c r="I3" s="793" t="s">
        <v>1024</v>
      </c>
      <c r="J3" s="779" t="s">
        <v>1026</v>
      </c>
      <c r="K3" s="779" t="s">
        <v>1027</v>
      </c>
      <c r="L3" s="795">
        <f>SUBTOTAL(9,I4:I199)</f>
        <v>44915831.04</v>
      </c>
    </row>
    <row r="4" s="780" customFormat="1" ht="20.1" customHeight="1" spans="1:14">
      <c r="A4" s="796" t="s">
        <v>1028</v>
      </c>
      <c r="B4" s="796" t="s">
        <v>92</v>
      </c>
      <c r="C4" s="797" t="s">
        <v>786</v>
      </c>
      <c r="D4" s="798">
        <v>67189.38</v>
      </c>
      <c r="E4" s="799"/>
      <c r="F4" s="796" t="s">
        <v>1028</v>
      </c>
      <c r="G4" s="796" t="s">
        <v>94</v>
      </c>
      <c r="H4" s="800" t="s">
        <v>1029</v>
      </c>
      <c r="I4" s="798">
        <v>67189.38</v>
      </c>
      <c r="J4" s="801">
        <f>I4-D4</f>
        <v>0</v>
      </c>
      <c r="K4" s="780" t="s">
        <v>1030</v>
      </c>
      <c r="L4" s="780" t="s">
        <v>1031</v>
      </c>
    </row>
    <row r="5" s="780" customFormat="1" ht="20.1" customHeight="1" spans="1:14">
      <c r="A5" s="796" t="s">
        <v>1028</v>
      </c>
      <c r="B5" s="796" t="s">
        <v>92</v>
      </c>
      <c r="C5" s="797" t="s">
        <v>823</v>
      </c>
      <c r="D5" s="798">
        <v>170879.39</v>
      </c>
      <c r="E5" s="799"/>
      <c r="F5" s="796" t="s">
        <v>1028</v>
      </c>
      <c r="G5" s="796" t="s">
        <v>94</v>
      </c>
      <c r="H5" s="800" t="s">
        <v>1032</v>
      </c>
      <c r="I5" s="798">
        <v>170879.39</v>
      </c>
      <c r="J5" s="801">
        <f t="shared" ref="J5:J67" si="0">I5-D5</f>
        <v>0</v>
      </c>
      <c r="K5" s="780" t="s">
        <v>1030</v>
      </c>
      <c r="L5" s="780" t="s">
        <v>773</v>
      </c>
    </row>
    <row r="6" s="780" customFormat="1" ht="20.1" customHeight="1" spans="1:14">
      <c r="A6" s="796" t="s">
        <v>1028</v>
      </c>
      <c r="B6" s="796" t="s">
        <v>92</v>
      </c>
      <c r="C6" s="797" t="s">
        <v>823</v>
      </c>
      <c r="D6" s="798">
        <v>372054.29</v>
      </c>
      <c r="E6" s="799" t="s">
        <v>491</v>
      </c>
      <c r="F6" s="796" t="s">
        <v>1028</v>
      </c>
      <c r="G6" s="796" t="s">
        <v>94</v>
      </c>
      <c r="H6" s="800" t="s">
        <v>1033</v>
      </c>
      <c r="I6" s="798">
        <v>372054.29</v>
      </c>
      <c r="J6" s="801">
        <f t="shared" si="0"/>
        <v>0</v>
      </c>
      <c r="K6" s="780" t="s">
        <v>1030</v>
      </c>
      <c r="L6" s="780" t="s">
        <v>773</v>
      </c>
    </row>
    <row r="7" s="780" customFormat="1" ht="20.1" customHeight="1" spans="1:14">
      <c r="A7" s="796" t="s">
        <v>1028</v>
      </c>
      <c r="B7" s="796" t="s">
        <v>92</v>
      </c>
      <c r="C7" s="797" t="s">
        <v>823</v>
      </c>
      <c r="D7" s="798">
        <v>6529.98</v>
      </c>
      <c r="E7" s="799"/>
      <c r="F7" s="796" t="s">
        <v>1028</v>
      </c>
      <c r="G7" s="796" t="s">
        <v>130</v>
      </c>
      <c r="H7" s="800" t="s">
        <v>1032</v>
      </c>
      <c r="I7" s="798">
        <v>6529.98</v>
      </c>
      <c r="J7" s="801">
        <f t="shared" si="0"/>
        <v>0</v>
      </c>
      <c r="K7" s="780" t="s">
        <v>1030</v>
      </c>
      <c r="L7" s="780" t="s">
        <v>773</v>
      </c>
    </row>
    <row r="8" s="780" customFormat="1" ht="20.1" customHeight="1" spans="1:14">
      <c r="A8" s="796" t="s">
        <v>1028</v>
      </c>
      <c r="B8" s="796" t="s">
        <v>92</v>
      </c>
      <c r="C8" s="797" t="s">
        <v>823</v>
      </c>
      <c r="D8" s="798">
        <v>30771.1</v>
      </c>
      <c r="E8" s="799" t="s">
        <v>491</v>
      </c>
      <c r="F8" s="796" t="s">
        <v>1028</v>
      </c>
      <c r="G8" s="796" t="s">
        <v>130</v>
      </c>
      <c r="H8" s="800" t="s">
        <v>1033</v>
      </c>
      <c r="I8" s="798">
        <v>30771.1</v>
      </c>
      <c r="J8" s="801">
        <f t="shared" si="0"/>
        <v>0</v>
      </c>
      <c r="K8" s="780" t="s">
        <v>1030</v>
      </c>
      <c r="L8" s="780" t="s">
        <v>773</v>
      </c>
    </row>
    <row r="9" s="780" customFormat="1" ht="20.1" customHeight="1" spans="1:14">
      <c r="A9" s="796" t="s">
        <v>1028</v>
      </c>
      <c r="B9" s="796" t="s">
        <v>92</v>
      </c>
      <c r="C9" s="797" t="s">
        <v>823</v>
      </c>
      <c r="D9" s="798">
        <v>13133.03</v>
      </c>
      <c r="E9" s="799"/>
      <c r="F9" s="796" t="s">
        <v>1028</v>
      </c>
      <c r="G9" s="796" t="s">
        <v>1034</v>
      </c>
      <c r="H9" s="800" t="s">
        <v>1033</v>
      </c>
      <c r="I9" s="798">
        <v>13133.03</v>
      </c>
      <c r="J9" s="801">
        <f t="shared" si="0"/>
        <v>0</v>
      </c>
      <c r="K9" s="780" t="s">
        <v>1030</v>
      </c>
      <c r="L9" s="780" t="s">
        <v>773</v>
      </c>
    </row>
    <row r="10" s="780" customFormat="1" ht="20.1" customHeight="1" spans="1:14">
      <c r="A10" s="796" t="s">
        <v>1028</v>
      </c>
      <c r="B10" s="796" t="s">
        <v>92</v>
      </c>
      <c r="C10" s="797" t="s">
        <v>823</v>
      </c>
      <c r="D10" s="798">
        <v>42151.21</v>
      </c>
      <c r="E10" s="799"/>
      <c r="F10" s="796" t="s">
        <v>1028</v>
      </c>
      <c r="G10" s="796" t="s">
        <v>1034</v>
      </c>
      <c r="H10" s="800" t="s">
        <v>1032</v>
      </c>
      <c r="I10" s="798">
        <v>42151.21</v>
      </c>
      <c r="J10" s="801">
        <f t="shared" si="0"/>
        <v>0</v>
      </c>
      <c r="K10" s="780" t="s">
        <v>1030</v>
      </c>
      <c r="L10" s="780" t="s">
        <v>773</v>
      </c>
    </row>
    <row r="11" s="780" customFormat="1" ht="20.1" customHeight="1" spans="1:14">
      <c r="A11" s="796" t="s">
        <v>1028</v>
      </c>
      <c r="B11" s="796" t="s">
        <v>94</v>
      </c>
      <c r="C11" s="797" t="s">
        <v>786</v>
      </c>
      <c r="D11" s="798">
        <v>676904.43</v>
      </c>
      <c r="E11" s="799"/>
      <c r="F11" s="796" t="s">
        <v>1028</v>
      </c>
      <c r="G11" s="796" t="s">
        <v>92</v>
      </c>
      <c r="H11" s="800" t="s">
        <v>1029</v>
      </c>
      <c r="I11" s="798">
        <v>676904.43</v>
      </c>
      <c r="J11" s="801">
        <f t="shared" si="0"/>
        <v>0</v>
      </c>
      <c r="K11" s="780" t="s">
        <v>1030</v>
      </c>
      <c r="L11" s="780" t="s">
        <v>1031</v>
      </c>
    </row>
    <row r="12" s="780" customFormat="1" ht="20.1" customHeight="1" spans="1:14">
      <c r="A12" s="796" t="s">
        <v>1028</v>
      </c>
      <c r="B12" s="796" t="s">
        <v>1034</v>
      </c>
      <c r="C12" s="797" t="s">
        <v>786</v>
      </c>
      <c r="D12" s="798">
        <v>348803.83</v>
      </c>
      <c r="E12" s="799"/>
      <c r="F12" s="796" t="s">
        <v>1028</v>
      </c>
      <c r="G12" s="796" t="s">
        <v>94</v>
      </c>
      <c r="H12" s="800" t="s">
        <v>787</v>
      </c>
      <c r="I12" s="798">
        <v>348803.83</v>
      </c>
      <c r="J12" s="801">
        <f t="shared" si="0"/>
        <v>0</v>
      </c>
      <c r="K12" s="780" t="s">
        <v>1030</v>
      </c>
      <c r="L12" s="780" t="s">
        <v>1031</v>
      </c>
    </row>
    <row r="13" s="780" customFormat="1" ht="20.1" customHeight="1" spans="1:14">
      <c r="A13" s="796" t="s">
        <v>1028</v>
      </c>
      <c r="B13" s="796" t="s">
        <v>1034</v>
      </c>
      <c r="C13" s="797" t="s">
        <v>786</v>
      </c>
      <c r="D13" s="798">
        <v>245498.22</v>
      </c>
      <c r="E13" s="799"/>
      <c r="F13" s="796" t="s">
        <v>1028</v>
      </c>
      <c r="G13" s="796" t="s">
        <v>94</v>
      </c>
      <c r="H13" s="800" t="s">
        <v>1035</v>
      </c>
      <c r="I13" s="798">
        <v>245498.22</v>
      </c>
      <c r="J13" s="801">
        <f t="shared" si="0"/>
        <v>0</v>
      </c>
      <c r="K13" s="780" t="s">
        <v>1030</v>
      </c>
      <c r="L13" s="780" t="s">
        <v>1031</v>
      </c>
      <c r="N13" s="801"/>
    </row>
    <row r="14" s="780" customFormat="1" ht="20.1" customHeight="1" spans="1:14">
      <c r="A14" s="796" t="s">
        <v>1028</v>
      </c>
      <c r="B14" s="796" t="s">
        <v>1034</v>
      </c>
      <c r="C14" s="797" t="s">
        <v>786</v>
      </c>
      <c r="D14" s="798">
        <v>3174.34</v>
      </c>
      <c r="E14" s="799"/>
      <c r="F14" s="796" t="s">
        <v>1028</v>
      </c>
      <c r="G14" s="796" t="s">
        <v>92</v>
      </c>
      <c r="H14" s="800" t="s">
        <v>1035</v>
      </c>
      <c r="I14" s="798">
        <v>3174.34</v>
      </c>
      <c r="J14" s="801">
        <f t="shared" si="0"/>
        <v>0</v>
      </c>
      <c r="K14" s="780" t="s">
        <v>1030</v>
      </c>
      <c r="L14" s="780" t="s">
        <v>1031</v>
      </c>
      <c r="N14" s="801"/>
    </row>
    <row r="15" s="780" customFormat="1" ht="20.1" customHeight="1" spans="1:14">
      <c r="A15" s="796" t="s">
        <v>1028</v>
      </c>
      <c r="B15" s="796" t="s">
        <v>130</v>
      </c>
      <c r="C15" s="797" t="s">
        <v>786</v>
      </c>
      <c r="D15" s="798">
        <v>47889.37</v>
      </c>
      <c r="E15" s="799"/>
      <c r="F15" s="796" t="s">
        <v>1028</v>
      </c>
      <c r="G15" s="796" t="s">
        <v>94</v>
      </c>
      <c r="H15" s="800" t="s">
        <v>1036</v>
      </c>
      <c r="I15" s="798">
        <v>47889.37</v>
      </c>
      <c r="J15" s="801">
        <f t="shared" si="0"/>
        <v>0</v>
      </c>
      <c r="K15" s="780" t="s">
        <v>1030</v>
      </c>
      <c r="L15" s="780" t="s">
        <v>1031</v>
      </c>
    </row>
    <row r="16" s="780" customFormat="1" ht="20.1" customHeight="1" spans="1:14">
      <c r="A16" s="796" t="s">
        <v>1028</v>
      </c>
      <c r="B16" s="796" t="s">
        <v>130</v>
      </c>
      <c r="C16" s="797" t="s">
        <v>786</v>
      </c>
      <c r="D16" s="798">
        <v>3849.53</v>
      </c>
      <c r="E16" s="799"/>
      <c r="F16" s="796" t="s">
        <v>1028</v>
      </c>
      <c r="G16" s="796" t="s">
        <v>94</v>
      </c>
      <c r="H16" s="800" t="s">
        <v>1037</v>
      </c>
      <c r="I16" s="798">
        <v>3849.53</v>
      </c>
      <c r="J16" s="801">
        <f t="shared" si="0"/>
        <v>0</v>
      </c>
      <c r="K16" s="780" t="s">
        <v>1030</v>
      </c>
      <c r="L16" s="780" t="s">
        <v>1031</v>
      </c>
    </row>
    <row r="17" s="780" customFormat="1" ht="20.1" customHeight="1" spans="1:23">
      <c r="A17" s="802" t="s">
        <v>1038</v>
      </c>
      <c r="B17" s="802" t="s">
        <v>92</v>
      </c>
      <c r="C17" s="803" t="s">
        <v>823</v>
      </c>
      <c r="D17" s="804">
        <v>282824.79</v>
      </c>
      <c r="E17" s="805"/>
      <c r="F17" s="802" t="s">
        <v>1038</v>
      </c>
      <c r="G17" s="802" t="s">
        <v>94</v>
      </c>
      <c r="H17" s="806" t="s">
        <v>1032</v>
      </c>
      <c r="I17" s="804">
        <v>282824.79</v>
      </c>
      <c r="J17" s="801">
        <f t="shared" si="0"/>
        <v>0</v>
      </c>
      <c r="K17" s="780" t="s">
        <v>1030</v>
      </c>
      <c r="L17" s="780" t="s">
        <v>773</v>
      </c>
    </row>
    <row r="18" s="780" customFormat="1" ht="20.1" customHeight="1" spans="1:23">
      <c r="A18" s="802" t="s">
        <v>1038</v>
      </c>
      <c r="B18" s="802" t="s">
        <v>92</v>
      </c>
      <c r="C18" s="803" t="s">
        <v>823</v>
      </c>
      <c r="D18" s="804">
        <v>372054.28</v>
      </c>
      <c r="E18" s="805"/>
      <c r="F18" s="802" t="s">
        <v>1038</v>
      </c>
      <c r="G18" s="802" t="s">
        <v>94</v>
      </c>
      <c r="H18" s="806" t="s">
        <v>1033</v>
      </c>
      <c r="I18" s="804">
        <v>372054.28</v>
      </c>
      <c r="J18" s="801">
        <f t="shared" si="0"/>
        <v>0</v>
      </c>
      <c r="K18" s="780" t="s">
        <v>1030</v>
      </c>
      <c r="L18" s="780" t="s">
        <v>773</v>
      </c>
    </row>
    <row r="19" s="780" customFormat="1" ht="20.1" customHeight="1" spans="1:23">
      <c r="A19" s="802" t="s">
        <v>1038</v>
      </c>
      <c r="B19" s="802" t="s">
        <v>92</v>
      </c>
      <c r="C19" s="803" t="s">
        <v>823</v>
      </c>
      <c r="D19" s="804">
        <v>8589.13</v>
      </c>
      <c r="E19" s="805"/>
      <c r="F19" s="802" t="s">
        <v>1038</v>
      </c>
      <c r="G19" s="802" t="s">
        <v>130</v>
      </c>
      <c r="H19" s="806" t="s">
        <v>1032</v>
      </c>
      <c r="I19" s="804">
        <v>8589.13</v>
      </c>
      <c r="J19" s="801">
        <f t="shared" si="0"/>
        <v>0</v>
      </c>
      <c r="K19" s="780" t="s">
        <v>1030</v>
      </c>
      <c r="L19" s="780" t="s">
        <v>773</v>
      </c>
    </row>
    <row r="20" s="780" customFormat="1" ht="20.1" customHeight="1" spans="1:23">
      <c r="A20" s="802" t="s">
        <v>1038</v>
      </c>
      <c r="B20" s="802" t="s">
        <v>92</v>
      </c>
      <c r="C20" s="803" t="s">
        <v>823</v>
      </c>
      <c r="D20" s="804">
        <v>30771.1</v>
      </c>
      <c r="E20" s="805"/>
      <c r="F20" s="802" t="s">
        <v>1038</v>
      </c>
      <c r="G20" s="802" t="s">
        <v>130</v>
      </c>
      <c r="H20" s="806" t="s">
        <v>1033</v>
      </c>
      <c r="I20" s="804">
        <v>30771.1</v>
      </c>
      <c r="J20" s="801">
        <f t="shared" si="0"/>
        <v>0</v>
      </c>
      <c r="K20" s="780" t="s">
        <v>1030</v>
      </c>
      <c r="L20" s="780" t="s">
        <v>773</v>
      </c>
    </row>
    <row r="21" s="780" customFormat="1" ht="20.1" customHeight="1" spans="1:23">
      <c r="A21" s="802" t="s">
        <v>1038</v>
      </c>
      <c r="B21" s="802" t="s">
        <v>92</v>
      </c>
      <c r="C21" s="803" t="s">
        <v>823</v>
      </c>
      <c r="D21" s="804">
        <v>23317.52</v>
      </c>
      <c r="E21" s="805"/>
      <c r="F21" s="802" t="s">
        <v>1038</v>
      </c>
      <c r="G21" s="802" t="s">
        <v>1034</v>
      </c>
      <c r="H21" s="806" t="s">
        <v>1032</v>
      </c>
      <c r="I21" s="804">
        <v>23317.52</v>
      </c>
      <c r="J21" s="801">
        <f t="shared" si="0"/>
        <v>0</v>
      </c>
      <c r="K21" s="780" t="s">
        <v>1030</v>
      </c>
      <c r="L21" s="780" t="s">
        <v>773</v>
      </c>
    </row>
    <row r="22" s="780" customFormat="1" ht="20.1" customHeight="1" spans="1:23">
      <c r="A22" s="802" t="s">
        <v>1038</v>
      </c>
      <c r="B22" s="802" t="s">
        <v>92</v>
      </c>
      <c r="C22" s="803" t="s">
        <v>823</v>
      </c>
      <c r="D22" s="804">
        <v>13133.03</v>
      </c>
      <c r="E22" s="805"/>
      <c r="F22" s="802" t="s">
        <v>1038</v>
      </c>
      <c r="G22" s="802" t="s">
        <v>1034</v>
      </c>
      <c r="H22" s="806" t="s">
        <v>1033</v>
      </c>
      <c r="I22" s="804">
        <v>13133.03</v>
      </c>
      <c r="J22" s="801">
        <f t="shared" si="0"/>
        <v>0</v>
      </c>
      <c r="K22" s="780" t="s">
        <v>1030</v>
      </c>
      <c r="L22" s="780" t="s">
        <v>773</v>
      </c>
    </row>
    <row r="23" s="780" customFormat="1" ht="20.1" customHeight="1" spans="1:23">
      <c r="A23" s="802" t="s">
        <v>1038</v>
      </c>
      <c r="B23" s="802" t="s">
        <v>92</v>
      </c>
      <c r="C23" s="803" t="s">
        <v>828</v>
      </c>
      <c r="D23" s="804">
        <v>1266.67</v>
      </c>
      <c r="E23" s="805"/>
      <c r="F23" s="802" t="s">
        <v>1038</v>
      </c>
      <c r="G23" s="802" t="s">
        <v>130</v>
      </c>
      <c r="H23" s="806" t="s">
        <v>828</v>
      </c>
      <c r="I23" s="804">
        <v>1266.67</v>
      </c>
      <c r="J23" s="801">
        <f t="shared" si="0"/>
        <v>0</v>
      </c>
      <c r="K23" s="780" t="s">
        <v>828</v>
      </c>
    </row>
    <row r="24" s="780" customFormat="1" ht="20.1" customHeight="1" spans="1:23">
      <c r="A24" s="802" t="s">
        <v>1038</v>
      </c>
      <c r="B24" s="802" t="s">
        <v>94</v>
      </c>
      <c r="C24" s="803" t="s">
        <v>786</v>
      </c>
      <c r="D24" s="804">
        <v>750726.66</v>
      </c>
      <c r="E24" s="805"/>
      <c r="F24" s="802" t="s">
        <v>1038</v>
      </c>
      <c r="G24" s="802" t="s">
        <v>92</v>
      </c>
      <c r="H24" s="806" t="s">
        <v>1029</v>
      </c>
      <c r="I24" s="804">
        <v>750726.66</v>
      </c>
      <c r="J24" s="801">
        <f t="shared" si="0"/>
        <v>0</v>
      </c>
      <c r="K24" s="780" t="s">
        <v>1030</v>
      </c>
      <c r="L24" s="780" t="s">
        <v>1031</v>
      </c>
    </row>
    <row r="25" s="780" customFormat="1" ht="20.1" customHeight="1" spans="1:23">
      <c r="A25" s="802" t="s">
        <v>1038</v>
      </c>
      <c r="B25" s="802" t="s">
        <v>94</v>
      </c>
      <c r="C25" s="803" t="s">
        <v>786</v>
      </c>
      <c r="D25" s="804">
        <v>9634.51</v>
      </c>
      <c r="E25" s="805"/>
      <c r="F25" s="802" t="s">
        <v>1038</v>
      </c>
      <c r="G25" s="802" t="s">
        <v>92</v>
      </c>
      <c r="H25" s="806" t="s">
        <v>1039</v>
      </c>
      <c r="I25" s="804">
        <v>9634.51</v>
      </c>
      <c r="J25" s="801">
        <f t="shared" si="0"/>
        <v>0</v>
      </c>
      <c r="K25" s="780" t="s">
        <v>1030</v>
      </c>
      <c r="L25" s="780" t="s">
        <v>1031</v>
      </c>
    </row>
    <row r="26" s="780" customFormat="1" ht="20.1" customHeight="1" spans="1:23">
      <c r="A26" s="802" t="s">
        <v>1038</v>
      </c>
      <c r="B26" s="802" t="s">
        <v>94</v>
      </c>
      <c r="C26" s="803" t="s">
        <v>823</v>
      </c>
      <c r="D26" s="804">
        <v>-4481.42</v>
      </c>
      <c r="E26" s="805"/>
      <c r="F26" s="802" t="s">
        <v>1038</v>
      </c>
      <c r="G26" s="802" t="s">
        <v>1034</v>
      </c>
      <c r="H26" s="806" t="s">
        <v>1040</v>
      </c>
      <c r="I26" s="804">
        <v>-4481.42</v>
      </c>
      <c r="J26" s="801">
        <f t="shared" si="0"/>
        <v>0</v>
      </c>
      <c r="K26" s="780" t="s">
        <v>1030</v>
      </c>
      <c r="L26" s="780" t="s">
        <v>773</v>
      </c>
    </row>
    <row r="27" s="780" customFormat="1" ht="20.1" customHeight="1" spans="1:23">
      <c r="A27" s="802" t="s">
        <v>1038</v>
      </c>
      <c r="B27" s="802" t="s">
        <v>1034</v>
      </c>
      <c r="C27" s="803" t="s">
        <v>786</v>
      </c>
      <c r="D27" s="804">
        <v>264531.96</v>
      </c>
      <c r="E27" s="805"/>
      <c r="F27" s="802" t="s">
        <v>1038</v>
      </c>
      <c r="G27" s="802" t="s">
        <v>94</v>
      </c>
      <c r="H27" s="806" t="s">
        <v>1035</v>
      </c>
      <c r="I27" s="804">
        <v>264531.96</v>
      </c>
      <c r="J27" s="801">
        <f t="shared" si="0"/>
        <v>0</v>
      </c>
      <c r="K27" s="780" t="s">
        <v>1030</v>
      </c>
      <c r="L27" s="780" t="s">
        <v>1031</v>
      </c>
      <c r="Q27" s="807"/>
      <c r="S27" s="808"/>
      <c r="T27" s="808"/>
      <c r="U27" s="808"/>
      <c r="V27" s="808"/>
      <c r="W27" s="808"/>
    </row>
    <row r="28" s="780" customFormat="1" ht="20.1" customHeight="1" spans="1:23">
      <c r="A28" s="796" t="s">
        <v>1041</v>
      </c>
      <c r="B28" s="796" t="s">
        <v>92</v>
      </c>
      <c r="C28" s="797" t="s">
        <v>786</v>
      </c>
      <c r="D28" s="798">
        <v>39823.01</v>
      </c>
      <c r="E28" s="799"/>
      <c r="F28" s="796" t="s">
        <v>1041</v>
      </c>
      <c r="G28" s="796" t="s">
        <v>94</v>
      </c>
      <c r="H28" s="800" t="s">
        <v>1029</v>
      </c>
      <c r="I28" s="798">
        <v>39823.01</v>
      </c>
      <c r="J28" s="801">
        <f t="shared" si="0"/>
        <v>0</v>
      </c>
      <c r="K28" s="780" t="s">
        <v>1030</v>
      </c>
      <c r="L28" s="780" t="s">
        <v>1031</v>
      </c>
      <c r="Q28" s="807"/>
      <c r="S28" s="808"/>
      <c r="T28" s="808"/>
      <c r="U28" s="808"/>
      <c r="V28" s="808"/>
      <c r="W28" s="808"/>
    </row>
    <row r="29" s="780" customFormat="1" ht="20.1" customHeight="1" spans="1:23">
      <c r="A29" s="796" t="s">
        <v>1041</v>
      </c>
      <c r="B29" s="796" t="s">
        <v>92</v>
      </c>
      <c r="C29" s="797" t="s">
        <v>823</v>
      </c>
      <c r="D29" s="798">
        <v>256146.2</v>
      </c>
      <c r="E29" s="799"/>
      <c r="F29" s="796" t="s">
        <v>1041</v>
      </c>
      <c r="G29" s="796" t="s">
        <v>94</v>
      </c>
      <c r="H29" s="800" t="s">
        <v>1032</v>
      </c>
      <c r="I29" s="798">
        <v>256146.2</v>
      </c>
      <c r="J29" s="801">
        <f t="shared" si="0"/>
        <v>0</v>
      </c>
      <c r="K29" s="780" t="s">
        <v>1030</v>
      </c>
      <c r="L29" s="780" t="s">
        <v>773</v>
      </c>
      <c r="Q29" s="807"/>
      <c r="S29" s="808"/>
      <c r="T29" s="808"/>
      <c r="U29" s="808"/>
      <c r="V29" s="808"/>
      <c r="W29" s="808"/>
    </row>
    <row r="30" s="780" customFormat="1" ht="25.5" customHeight="1" spans="1:23">
      <c r="A30" s="796" t="s">
        <v>1041</v>
      </c>
      <c r="B30" s="796" t="s">
        <v>92</v>
      </c>
      <c r="C30" s="797" t="s">
        <v>823</v>
      </c>
      <c r="D30" s="798">
        <v>372054.28</v>
      </c>
      <c r="E30" s="799"/>
      <c r="F30" s="796" t="s">
        <v>1041</v>
      </c>
      <c r="G30" s="796" t="s">
        <v>94</v>
      </c>
      <c r="H30" s="800" t="s">
        <v>1033</v>
      </c>
      <c r="I30" s="798">
        <v>372054.28</v>
      </c>
      <c r="J30" s="801">
        <f t="shared" si="0"/>
        <v>0</v>
      </c>
      <c r="K30" s="780" t="s">
        <v>1030</v>
      </c>
      <c r="L30" s="780" t="s">
        <v>773</v>
      </c>
    </row>
    <row r="31" s="780" customFormat="1" ht="20.1" customHeight="1" spans="1:23">
      <c r="A31" s="796" t="s">
        <v>1041</v>
      </c>
      <c r="B31" s="796" t="s">
        <v>92</v>
      </c>
      <c r="C31" s="797" t="s">
        <v>823</v>
      </c>
      <c r="D31" s="798">
        <v>12597.72</v>
      </c>
      <c r="E31" s="799"/>
      <c r="F31" s="796" t="s">
        <v>1041</v>
      </c>
      <c r="G31" s="796" t="s">
        <v>130</v>
      </c>
      <c r="H31" s="800" t="s">
        <v>1032</v>
      </c>
      <c r="I31" s="798">
        <v>12597.72</v>
      </c>
      <c r="J31" s="801">
        <f t="shared" si="0"/>
        <v>0</v>
      </c>
      <c r="K31" s="780" t="s">
        <v>1030</v>
      </c>
      <c r="L31" s="780" t="s">
        <v>773</v>
      </c>
    </row>
    <row r="32" s="780" customFormat="1" ht="20.1" customHeight="1" spans="1:23">
      <c r="A32" s="796" t="s">
        <v>1041</v>
      </c>
      <c r="B32" s="796" t="s">
        <v>92</v>
      </c>
      <c r="C32" s="797" t="s">
        <v>823</v>
      </c>
      <c r="D32" s="798">
        <v>30771.1</v>
      </c>
      <c r="E32" s="799"/>
      <c r="F32" s="796" t="s">
        <v>1041</v>
      </c>
      <c r="G32" s="796" t="s">
        <v>130</v>
      </c>
      <c r="H32" s="800" t="s">
        <v>1033</v>
      </c>
      <c r="I32" s="798">
        <v>30771.1</v>
      </c>
      <c r="J32" s="801">
        <f t="shared" si="0"/>
        <v>0</v>
      </c>
      <c r="K32" s="780" t="s">
        <v>1030</v>
      </c>
      <c r="L32" s="780" t="s">
        <v>773</v>
      </c>
    </row>
    <row r="33" s="780" customFormat="1" ht="20.1" customHeight="1" spans="1:13">
      <c r="A33" s="796" t="s">
        <v>1041</v>
      </c>
      <c r="B33" s="796" t="s">
        <v>92</v>
      </c>
      <c r="C33" s="797" t="s">
        <v>823</v>
      </c>
      <c r="D33" s="798">
        <v>49059.81</v>
      </c>
      <c r="E33" s="799"/>
      <c r="F33" s="796" t="s">
        <v>1041</v>
      </c>
      <c r="G33" s="796" t="s">
        <v>1034</v>
      </c>
      <c r="H33" s="800" t="s">
        <v>1032</v>
      </c>
      <c r="I33" s="798">
        <v>49059.81</v>
      </c>
      <c r="J33" s="801">
        <f t="shared" si="0"/>
        <v>0</v>
      </c>
      <c r="K33" s="780" t="s">
        <v>1030</v>
      </c>
      <c r="L33" s="780" t="s">
        <v>773</v>
      </c>
    </row>
    <row r="34" s="780" customFormat="1" ht="20.1" customHeight="1" spans="1:13">
      <c r="A34" s="796" t="s">
        <v>1041</v>
      </c>
      <c r="B34" s="796" t="s">
        <v>92</v>
      </c>
      <c r="C34" s="797" t="s">
        <v>823</v>
      </c>
      <c r="D34" s="798">
        <v>91931.18</v>
      </c>
      <c r="E34" s="809"/>
      <c r="F34" s="796" t="s">
        <v>1041</v>
      </c>
      <c r="G34" s="796" t="s">
        <v>1034</v>
      </c>
      <c r="H34" s="810" t="s">
        <v>1033</v>
      </c>
      <c r="I34" s="798">
        <v>91931.18</v>
      </c>
      <c r="J34" s="801">
        <f t="shared" si="0"/>
        <v>0</v>
      </c>
      <c r="K34" s="780" t="s">
        <v>1030</v>
      </c>
      <c r="L34" s="780" t="s">
        <v>773</v>
      </c>
    </row>
    <row r="35" s="780" customFormat="1" ht="20.1" customHeight="1" spans="1:13">
      <c r="A35" s="796" t="s">
        <v>1041</v>
      </c>
      <c r="B35" s="796" t="s">
        <v>94</v>
      </c>
      <c r="C35" s="797" t="s">
        <v>786</v>
      </c>
      <c r="D35" s="798">
        <v>2117987.98</v>
      </c>
      <c r="E35" s="809"/>
      <c r="F35" s="796" t="s">
        <v>1041</v>
      </c>
      <c r="G35" s="796" t="s">
        <v>92</v>
      </c>
      <c r="H35" s="810" t="s">
        <v>1029</v>
      </c>
      <c r="I35" s="798">
        <v>2117987.98</v>
      </c>
      <c r="J35" s="801">
        <f t="shared" si="0"/>
        <v>0</v>
      </c>
      <c r="K35" s="780" t="s">
        <v>1030</v>
      </c>
      <c r="L35" s="780" t="s">
        <v>1031</v>
      </c>
    </row>
    <row r="36" s="780" customFormat="1" ht="20.1" customHeight="1" spans="1:13">
      <c r="A36" s="796" t="s">
        <v>1041</v>
      </c>
      <c r="B36" s="796" t="s">
        <v>94</v>
      </c>
      <c r="C36" s="797" t="s">
        <v>786</v>
      </c>
      <c r="D36" s="798">
        <v>69739.82</v>
      </c>
      <c r="E36" s="809"/>
      <c r="F36" s="796" t="s">
        <v>1041</v>
      </c>
      <c r="G36" s="796" t="s">
        <v>130</v>
      </c>
      <c r="H36" s="810" t="s">
        <v>1029</v>
      </c>
      <c r="I36" s="798">
        <v>69739.82</v>
      </c>
      <c r="J36" s="801">
        <f t="shared" si="0"/>
        <v>0</v>
      </c>
      <c r="K36" s="780" t="s">
        <v>1030</v>
      </c>
      <c r="L36" s="780" t="s">
        <v>1031</v>
      </c>
    </row>
    <row r="37" s="780" customFormat="1" ht="20.1" customHeight="1" spans="1:13">
      <c r="A37" s="796" t="s">
        <v>1041</v>
      </c>
      <c r="B37" s="796" t="s">
        <v>94</v>
      </c>
      <c r="C37" s="797" t="s">
        <v>786</v>
      </c>
      <c r="D37" s="798">
        <v>2654.87</v>
      </c>
      <c r="E37" s="809"/>
      <c r="F37" s="796" t="s">
        <v>1041</v>
      </c>
      <c r="G37" s="796" t="s">
        <v>1034</v>
      </c>
      <c r="H37" s="810" t="s">
        <v>1029</v>
      </c>
      <c r="I37" s="798">
        <v>2654.87</v>
      </c>
      <c r="J37" s="801">
        <f t="shared" si="0"/>
        <v>0</v>
      </c>
      <c r="K37" s="780" t="s">
        <v>1030</v>
      </c>
      <c r="L37" s="780" t="s">
        <v>1031</v>
      </c>
    </row>
    <row r="38" s="780" customFormat="1" ht="20.1" customHeight="1" spans="1:13">
      <c r="A38" s="796" t="s">
        <v>1041</v>
      </c>
      <c r="B38" s="796" t="s">
        <v>94</v>
      </c>
      <c r="C38" s="797" t="s">
        <v>786</v>
      </c>
      <c r="D38" s="798">
        <v>2101.77</v>
      </c>
      <c r="E38" s="809"/>
      <c r="F38" s="796" t="s">
        <v>1041</v>
      </c>
      <c r="G38" s="796" t="s">
        <v>92</v>
      </c>
      <c r="H38" s="810" t="s">
        <v>1039</v>
      </c>
      <c r="I38" s="798">
        <v>2101.77</v>
      </c>
      <c r="J38" s="801">
        <f t="shared" si="0"/>
        <v>0</v>
      </c>
      <c r="K38" s="780" t="s">
        <v>1030</v>
      </c>
      <c r="L38" s="780" t="s">
        <v>1031</v>
      </c>
      <c r="M38" s="801"/>
    </row>
    <row r="39" s="780" customFormat="1" ht="20.1" customHeight="1" spans="1:13">
      <c r="A39" s="796" t="s">
        <v>1041</v>
      </c>
      <c r="B39" s="796" t="s">
        <v>94</v>
      </c>
      <c r="C39" s="797" t="s">
        <v>786</v>
      </c>
      <c r="D39" s="798">
        <v>205637.16</v>
      </c>
      <c r="E39" s="809"/>
      <c r="F39" s="796" t="s">
        <v>1041</v>
      </c>
      <c r="G39" s="796" t="s">
        <v>92</v>
      </c>
      <c r="H39" s="810" t="s">
        <v>773</v>
      </c>
      <c r="I39" s="798">
        <v>205637.16</v>
      </c>
      <c r="J39" s="801">
        <f t="shared" si="0"/>
        <v>0</v>
      </c>
      <c r="K39" s="780" t="s">
        <v>1030</v>
      </c>
      <c r="L39" s="780" t="s">
        <v>1031</v>
      </c>
    </row>
    <row r="40" s="780" customFormat="1" ht="20.1" customHeight="1" spans="1:13">
      <c r="A40" s="796" t="s">
        <v>1041</v>
      </c>
      <c r="B40" s="796" t="s">
        <v>94</v>
      </c>
      <c r="C40" s="797" t="s">
        <v>823</v>
      </c>
      <c r="D40" s="798">
        <v>10442.48</v>
      </c>
      <c r="E40" s="809"/>
      <c r="F40" s="796" t="s">
        <v>1041</v>
      </c>
      <c r="G40" s="796" t="s">
        <v>1034</v>
      </c>
      <c r="H40" s="810" t="s">
        <v>1040</v>
      </c>
      <c r="I40" s="798">
        <v>10442.48</v>
      </c>
      <c r="J40" s="801">
        <f t="shared" si="0"/>
        <v>0</v>
      </c>
      <c r="K40" s="780" t="s">
        <v>1030</v>
      </c>
      <c r="L40" s="780" t="s">
        <v>773</v>
      </c>
    </row>
    <row r="41" s="780" customFormat="1" ht="20.1" customHeight="1" spans="1:13">
      <c r="A41" s="796" t="s">
        <v>1041</v>
      </c>
      <c r="B41" s="796" t="s">
        <v>1034</v>
      </c>
      <c r="C41" s="797" t="s">
        <v>786</v>
      </c>
      <c r="D41" s="798">
        <v>368972.94</v>
      </c>
      <c r="E41" s="809"/>
      <c r="F41" s="796" t="s">
        <v>1041</v>
      </c>
      <c r="G41" s="796" t="s">
        <v>94</v>
      </c>
      <c r="H41" s="810" t="s">
        <v>1035</v>
      </c>
      <c r="I41" s="798">
        <v>368972.94</v>
      </c>
      <c r="J41" s="801">
        <f t="shared" si="0"/>
        <v>0</v>
      </c>
      <c r="K41" s="780" t="s">
        <v>1030</v>
      </c>
      <c r="L41" s="780" t="s">
        <v>1031</v>
      </c>
    </row>
    <row r="42" s="780" customFormat="1" ht="20.1" customHeight="1" spans="1:13">
      <c r="A42" s="796" t="s">
        <v>1042</v>
      </c>
      <c r="B42" s="796" t="s">
        <v>92</v>
      </c>
      <c r="C42" s="797" t="s">
        <v>786</v>
      </c>
      <c r="D42" s="798">
        <v>85270.79</v>
      </c>
      <c r="E42" s="809"/>
      <c r="F42" s="796" t="s">
        <v>1042</v>
      </c>
      <c r="G42" s="796" t="s">
        <v>94</v>
      </c>
      <c r="H42" s="810" t="s">
        <v>1039</v>
      </c>
      <c r="I42" s="798">
        <v>85270.79</v>
      </c>
      <c r="J42" s="801">
        <f t="shared" si="0"/>
        <v>0</v>
      </c>
      <c r="K42" s="780" t="s">
        <v>1030</v>
      </c>
      <c r="L42" s="780" t="s">
        <v>1031</v>
      </c>
    </row>
    <row r="43" s="780" customFormat="1" ht="20.1" customHeight="1" spans="1:13">
      <c r="A43" s="796" t="s">
        <v>1042</v>
      </c>
      <c r="B43" s="796" t="s">
        <v>92</v>
      </c>
      <c r="C43" s="797" t="s">
        <v>823</v>
      </c>
      <c r="D43" s="798">
        <v>62373.61</v>
      </c>
      <c r="E43" s="809"/>
      <c r="F43" s="796" t="s">
        <v>1042</v>
      </c>
      <c r="G43" s="796" t="s">
        <v>94</v>
      </c>
      <c r="H43" s="810" t="s">
        <v>1032</v>
      </c>
      <c r="I43" s="798">
        <v>62373.61</v>
      </c>
      <c r="J43" s="801">
        <f t="shared" si="0"/>
        <v>0</v>
      </c>
      <c r="K43" s="780" t="s">
        <v>1030</v>
      </c>
      <c r="L43" s="780" t="s">
        <v>773</v>
      </c>
    </row>
    <row r="44" s="780" customFormat="1" ht="20.1" customHeight="1" spans="1:13">
      <c r="A44" s="796" t="s">
        <v>1042</v>
      </c>
      <c r="B44" s="796" t="s">
        <v>92</v>
      </c>
      <c r="C44" s="797" t="s">
        <v>823</v>
      </c>
      <c r="D44" s="798">
        <v>372054.28</v>
      </c>
      <c r="E44" s="809"/>
      <c r="F44" s="796" t="s">
        <v>1042</v>
      </c>
      <c r="G44" s="796" t="s">
        <v>94</v>
      </c>
      <c r="H44" s="810" t="s">
        <v>1033</v>
      </c>
      <c r="I44" s="798">
        <v>372054.28</v>
      </c>
      <c r="J44" s="801">
        <f t="shared" si="0"/>
        <v>0</v>
      </c>
      <c r="K44" s="780" t="s">
        <v>1030</v>
      </c>
      <c r="L44" s="780" t="s">
        <v>773</v>
      </c>
    </row>
    <row r="45" s="780" customFormat="1" ht="20.1" customHeight="1" spans="1:13">
      <c r="A45" s="796" t="s">
        <v>1042</v>
      </c>
      <c r="B45" s="796" t="s">
        <v>92</v>
      </c>
      <c r="C45" s="797" t="s">
        <v>823</v>
      </c>
      <c r="D45" s="798">
        <v>1027317.49</v>
      </c>
      <c r="E45" s="809"/>
      <c r="F45" s="796" t="s">
        <v>1042</v>
      </c>
      <c r="G45" s="796" t="s">
        <v>94</v>
      </c>
      <c r="H45" s="810" t="s">
        <v>1043</v>
      </c>
      <c r="I45" s="798">
        <v>1027317.49</v>
      </c>
      <c r="J45" s="801">
        <f t="shared" si="0"/>
        <v>0</v>
      </c>
      <c r="K45" s="780" t="s">
        <v>1030</v>
      </c>
      <c r="L45" s="780" t="s">
        <v>773</v>
      </c>
    </row>
    <row r="46" s="780" customFormat="1" ht="20.1" customHeight="1" spans="1:13">
      <c r="A46" s="796" t="s">
        <v>1042</v>
      </c>
      <c r="B46" s="796" t="s">
        <v>92</v>
      </c>
      <c r="C46" s="797" t="s">
        <v>823</v>
      </c>
      <c r="D46" s="798">
        <v>1692.28</v>
      </c>
      <c r="E46" s="809"/>
      <c r="F46" s="796" t="s">
        <v>1042</v>
      </c>
      <c r="G46" s="796" t="s">
        <v>130</v>
      </c>
      <c r="H46" s="810" t="s">
        <v>1032</v>
      </c>
      <c r="I46" s="798">
        <v>1692.28</v>
      </c>
      <c r="J46" s="801">
        <f t="shared" si="0"/>
        <v>0</v>
      </c>
      <c r="K46" s="780" t="s">
        <v>1030</v>
      </c>
      <c r="L46" s="780" t="s">
        <v>773</v>
      </c>
    </row>
    <row r="47" s="780" customFormat="1" ht="20.1" customHeight="1" spans="1:13">
      <c r="A47" s="796" t="s">
        <v>1042</v>
      </c>
      <c r="B47" s="796" t="s">
        <v>92</v>
      </c>
      <c r="C47" s="797" t="s">
        <v>823</v>
      </c>
      <c r="D47" s="798">
        <v>30771.1</v>
      </c>
      <c r="E47" s="809"/>
      <c r="F47" s="796" t="s">
        <v>1042</v>
      </c>
      <c r="G47" s="796" t="s">
        <v>130</v>
      </c>
      <c r="H47" s="810" t="s">
        <v>1033</v>
      </c>
      <c r="I47" s="798">
        <v>30771.1</v>
      </c>
      <c r="J47" s="801">
        <f t="shared" si="0"/>
        <v>0</v>
      </c>
      <c r="K47" s="780" t="s">
        <v>1030</v>
      </c>
      <c r="L47" s="780" t="s">
        <v>773</v>
      </c>
    </row>
    <row r="48" s="780" customFormat="1" ht="20.1" customHeight="1" spans="1:13">
      <c r="A48" s="796" t="s">
        <v>1042</v>
      </c>
      <c r="B48" s="796" t="s">
        <v>92</v>
      </c>
      <c r="C48" s="797" t="s">
        <v>823</v>
      </c>
      <c r="D48" s="798">
        <v>45173.65</v>
      </c>
      <c r="E48" s="809"/>
      <c r="F48" s="796" t="s">
        <v>1042</v>
      </c>
      <c r="G48" s="796" t="s">
        <v>1034</v>
      </c>
      <c r="H48" s="810" t="s">
        <v>1032</v>
      </c>
      <c r="I48" s="798">
        <v>45173.65</v>
      </c>
      <c r="J48" s="801">
        <f t="shared" si="0"/>
        <v>0</v>
      </c>
      <c r="K48" s="780" t="s">
        <v>1030</v>
      </c>
      <c r="L48" s="780" t="s">
        <v>773</v>
      </c>
    </row>
    <row r="49" s="780" customFormat="1" ht="20.1" customHeight="1" spans="1:12">
      <c r="A49" s="796" t="s">
        <v>1042</v>
      </c>
      <c r="B49" s="796" t="s">
        <v>92</v>
      </c>
      <c r="C49" s="797" t="s">
        <v>823</v>
      </c>
      <c r="D49" s="798">
        <v>21888.39</v>
      </c>
      <c r="E49" s="809"/>
      <c r="F49" s="796" t="s">
        <v>1042</v>
      </c>
      <c r="G49" s="796" t="s">
        <v>1034</v>
      </c>
      <c r="H49" s="810" t="s">
        <v>1033</v>
      </c>
      <c r="I49" s="798">
        <v>21888.39</v>
      </c>
      <c r="J49" s="801">
        <f t="shared" si="0"/>
        <v>0</v>
      </c>
      <c r="K49" s="780" t="s">
        <v>1030</v>
      </c>
      <c r="L49" s="780" t="s">
        <v>773</v>
      </c>
    </row>
    <row r="50" s="780" customFormat="1" ht="20.1" customHeight="1" spans="1:12">
      <c r="A50" s="796" t="s">
        <v>1042</v>
      </c>
      <c r="B50" s="796" t="s">
        <v>94</v>
      </c>
      <c r="C50" s="797" t="s">
        <v>786</v>
      </c>
      <c r="D50" s="798">
        <v>1713822.87</v>
      </c>
      <c r="E50" s="809"/>
      <c r="F50" s="796" t="s">
        <v>1042</v>
      </c>
      <c r="G50" s="796" t="s">
        <v>92</v>
      </c>
      <c r="H50" s="810" t="s">
        <v>1029</v>
      </c>
      <c r="I50" s="798">
        <v>1713822.87</v>
      </c>
      <c r="J50" s="801">
        <f t="shared" si="0"/>
        <v>0</v>
      </c>
      <c r="K50" s="780" t="s">
        <v>1030</v>
      </c>
      <c r="L50" s="780" t="s">
        <v>1031</v>
      </c>
    </row>
    <row r="51" s="780" customFormat="1" ht="20.1" customHeight="1" spans="1:12">
      <c r="A51" s="796" t="s">
        <v>1042</v>
      </c>
      <c r="B51" s="796" t="s">
        <v>94</v>
      </c>
      <c r="C51" s="797" t="s">
        <v>786</v>
      </c>
      <c r="D51" s="798">
        <v>3434372.57</v>
      </c>
      <c r="E51" s="809"/>
      <c r="F51" s="796" t="s">
        <v>1042</v>
      </c>
      <c r="G51" s="796" t="s">
        <v>92</v>
      </c>
      <c r="H51" s="810" t="s">
        <v>1039</v>
      </c>
      <c r="I51" s="798">
        <v>3434372.57</v>
      </c>
      <c r="J51" s="801">
        <f t="shared" si="0"/>
        <v>0</v>
      </c>
      <c r="K51" s="780" t="s">
        <v>1030</v>
      </c>
      <c r="L51" s="780" t="s">
        <v>1031</v>
      </c>
    </row>
    <row r="52" s="780" customFormat="1" ht="20.1" customHeight="1" spans="1:12">
      <c r="A52" s="796" t="s">
        <v>1042</v>
      </c>
      <c r="B52" s="796" t="s">
        <v>94</v>
      </c>
      <c r="C52" s="797" t="s">
        <v>786</v>
      </c>
      <c r="D52" s="798">
        <v>402152.65</v>
      </c>
      <c r="E52" s="809"/>
      <c r="F52" s="796" t="s">
        <v>1042</v>
      </c>
      <c r="G52" s="796" t="s">
        <v>92</v>
      </c>
      <c r="H52" s="810" t="s">
        <v>773</v>
      </c>
      <c r="I52" s="798">
        <v>402152.65</v>
      </c>
      <c r="J52" s="801">
        <f t="shared" si="0"/>
        <v>0</v>
      </c>
      <c r="K52" s="780" t="s">
        <v>1030</v>
      </c>
      <c r="L52" s="780" t="s">
        <v>1031</v>
      </c>
    </row>
    <row r="53" s="780" customFormat="1" ht="20.1" customHeight="1" spans="1:12">
      <c r="A53" s="796" t="s">
        <v>1042</v>
      </c>
      <c r="B53" s="796" t="s">
        <v>94</v>
      </c>
      <c r="C53" s="797" t="s">
        <v>823</v>
      </c>
      <c r="D53" s="798">
        <v>231688.37</v>
      </c>
      <c r="E53" s="809"/>
      <c r="F53" s="796" t="s">
        <v>1042</v>
      </c>
      <c r="G53" s="796" t="s">
        <v>92</v>
      </c>
      <c r="H53" s="810" t="s">
        <v>1043</v>
      </c>
      <c r="I53" s="798">
        <v>231688.37</v>
      </c>
      <c r="J53" s="801">
        <f t="shared" si="0"/>
        <v>0</v>
      </c>
      <c r="K53" s="780" t="s">
        <v>1030</v>
      </c>
      <c r="L53" s="780" t="s">
        <v>773</v>
      </c>
    </row>
    <row r="54" s="780" customFormat="1" ht="20.1" customHeight="1" spans="1:12">
      <c r="A54" s="796" t="s">
        <v>1042</v>
      </c>
      <c r="B54" s="796" t="s">
        <v>1034</v>
      </c>
      <c r="C54" s="797" t="s">
        <v>786</v>
      </c>
      <c r="D54" s="798">
        <v>554424.77</v>
      </c>
      <c r="E54" s="809"/>
      <c r="F54" s="796" t="s">
        <v>1042</v>
      </c>
      <c r="G54" s="796" t="s">
        <v>94</v>
      </c>
      <c r="H54" s="810" t="s">
        <v>1035</v>
      </c>
      <c r="I54" s="798">
        <v>554424.77</v>
      </c>
      <c r="J54" s="801">
        <f t="shared" si="0"/>
        <v>0</v>
      </c>
      <c r="K54" s="780" t="s">
        <v>1030</v>
      </c>
      <c r="L54" s="780" t="s">
        <v>1031</v>
      </c>
    </row>
    <row r="55" s="780" customFormat="1" ht="20.1" customHeight="1" spans="1:12">
      <c r="A55" s="796" t="s">
        <v>1042</v>
      </c>
      <c r="B55" s="796" t="s">
        <v>130</v>
      </c>
      <c r="C55" s="797" t="s">
        <v>786</v>
      </c>
      <c r="D55" s="798">
        <v>76070.81</v>
      </c>
      <c r="E55" s="809"/>
      <c r="F55" s="796" t="s">
        <v>1042</v>
      </c>
      <c r="G55" s="796" t="s">
        <v>94</v>
      </c>
      <c r="H55" s="810" t="s">
        <v>1036</v>
      </c>
      <c r="I55" s="798">
        <v>76070.81</v>
      </c>
      <c r="J55" s="801">
        <f t="shared" si="0"/>
        <v>0</v>
      </c>
      <c r="K55" s="780" t="s">
        <v>1030</v>
      </c>
      <c r="L55" s="780" t="s">
        <v>1031</v>
      </c>
    </row>
    <row r="56" s="780" customFormat="1" ht="20.1" customHeight="1" spans="1:12">
      <c r="A56" s="796" t="s">
        <v>1042</v>
      </c>
      <c r="B56" s="796" t="s">
        <v>130</v>
      </c>
      <c r="C56" s="797" t="s">
        <v>786</v>
      </c>
      <c r="D56" s="798">
        <v>7433.61</v>
      </c>
      <c r="E56" s="809"/>
      <c r="F56" s="796" t="s">
        <v>1042</v>
      </c>
      <c r="G56" s="796" t="s">
        <v>94</v>
      </c>
      <c r="H56" s="810" t="s">
        <v>1037</v>
      </c>
      <c r="I56" s="798">
        <v>7433.61</v>
      </c>
      <c r="J56" s="801">
        <f t="shared" si="0"/>
        <v>0</v>
      </c>
      <c r="K56" s="780" t="s">
        <v>1030</v>
      </c>
      <c r="L56" s="780" t="s">
        <v>1031</v>
      </c>
    </row>
    <row r="57" s="780" customFormat="1" ht="20.1" customHeight="1" spans="1:12">
      <c r="A57" s="796" t="s">
        <v>1042</v>
      </c>
      <c r="B57" s="796" t="s">
        <v>130</v>
      </c>
      <c r="C57" s="797" t="s">
        <v>786</v>
      </c>
      <c r="D57" s="798">
        <v>6194.7</v>
      </c>
      <c r="E57" s="809"/>
      <c r="F57" s="796" t="s">
        <v>1042</v>
      </c>
      <c r="G57" s="796" t="s">
        <v>92</v>
      </c>
      <c r="H57" s="810" t="s">
        <v>1036</v>
      </c>
      <c r="I57" s="798">
        <v>6194.7</v>
      </c>
      <c r="J57" s="801">
        <f t="shared" si="0"/>
        <v>0</v>
      </c>
      <c r="K57" s="780" t="s">
        <v>1030</v>
      </c>
      <c r="L57" s="780" t="s">
        <v>1031</v>
      </c>
    </row>
    <row r="58" s="780" customFormat="1" ht="20.1" customHeight="1" spans="1:12">
      <c r="A58" s="796" t="s">
        <v>1042</v>
      </c>
      <c r="B58" s="796" t="s">
        <v>130</v>
      </c>
      <c r="C58" s="797" t="s">
        <v>786</v>
      </c>
      <c r="D58" s="798">
        <v>2190.28</v>
      </c>
      <c r="E58" s="809"/>
      <c r="F58" s="796" t="s">
        <v>1042</v>
      </c>
      <c r="G58" s="796" t="s">
        <v>92</v>
      </c>
      <c r="H58" s="810" t="s">
        <v>1037</v>
      </c>
      <c r="I58" s="798">
        <v>2190.28</v>
      </c>
      <c r="J58" s="801">
        <f t="shared" si="0"/>
        <v>0</v>
      </c>
      <c r="K58" s="780" t="s">
        <v>1030</v>
      </c>
      <c r="L58" s="780" t="s">
        <v>1031</v>
      </c>
    </row>
    <row r="59" s="780" customFormat="1" ht="20.1" customHeight="1" spans="1:12">
      <c r="A59" s="796" t="s">
        <v>1044</v>
      </c>
      <c r="B59" s="796" t="s">
        <v>92</v>
      </c>
      <c r="C59" s="797" t="s">
        <v>786</v>
      </c>
      <c r="D59" s="798">
        <v>652212.39</v>
      </c>
      <c r="E59" s="809"/>
      <c r="F59" s="796" t="s">
        <v>1044</v>
      </c>
      <c r="G59" s="796" t="s">
        <v>94</v>
      </c>
      <c r="H59" s="810" t="s">
        <v>1039</v>
      </c>
      <c r="I59" s="798">
        <v>652212.39</v>
      </c>
      <c r="J59" s="801">
        <f t="shared" si="0"/>
        <v>0</v>
      </c>
      <c r="K59" s="780" t="s">
        <v>1030</v>
      </c>
      <c r="L59" s="780" t="s">
        <v>1031</v>
      </c>
    </row>
    <row r="60" s="780" customFormat="1" ht="20.1" customHeight="1" spans="1:12">
      <c r="A60" s="796" t="s">
        <v>1044</v>
      </c>
      <c r="B60" s="796" t="s">
        <v>92</v>
      </c>
      <c r="C60" s="797" t="s">
        <v>823</v>
      </c>
      <c r="D60" s="798">
        <v>545247.4</v>
      </c>
      <c r="E60" s="809"/>
      <c r="F60" s="796" t="s">
        <v>1044</v>
      </c>
      <c r="G60" s="796" t="s">
        <v>94</v>
      </c>
      <c r="H60" s="810" t="s">
        <v>1032</v>
      </c>
      <c r="I60" s="798">
        <v>545247.4</v>
      </c>
      <c r="J60" s="801">
        <f t="shared" si="0"/>
        <v>0</v>
      </c>
      <c r="K60" s="780" t="s">
        <v>1030</v>
      </c>
      <c r="L60" s="780" t="s">
        <v>773</v>
      </c>
    </row>
    <row r="61" s="780" customFormat="1" ht="20.1" customHeight="1" spans="1:12">
      <c r="A61" s="796" t="s">
        <v>1044</v>
      </c>
      <c r="B61" s="796" t="s">
        <v>92</v>
      </c>
      <c r="C61" s="797" t="s">
        <v>823</v>
      </c>
      <c r="D61" s="798">
        <v>372054.28</v>
      </c>
      <c r="E61" s="809"/>
      <c r="F61" s="796" t="s">
        <v>1044</v>
      </c>
      <c r="G61" s="796" t="s">
        <v>94</v>
      </c>
      <c r="H61" s="810" t="s">
        <v>1033</v>
      </c>
      <c r="I61" s="798">
        <v>372054.28</v>
      </c>
      <c r="J61" s="801">
        <f t="shared" si="0"/>
        <v>0</v>
      </c>
      <c r="K61" s="780" t="s">
        <v>1030</v>
      </c>
      <c r="L61" s="780" t="s">
        <v>773</v>
      </c>
    </row>
    <row r="62" s="780" customFormat="1" ht="20.1" customHeight="1" spans="1:12">
      <c r="A62" s="796" t="s">
        <v>1044</v>
      </c>
      <c r="B62" s="796" t="s">
        <v>92</v>
      </c>
      <c r="C62" s="797" t="s">
        <v>823</v>
      </c>
      <c r="D62" s="798">
        <v>27724.06</v>
      </c>
      <c r="E62" s="809"/>
      <c r="F62" s="796" t="s">
        <v>1044</v>
      </c>
      <c r="G62" s="796" t="s">
        <v>94</v>
      </c>
      <c r="H62" s="810" t="s">
        <v>1043</v>
      </c>
      <c r="I62" s="798">
        <v>27724.06</v>
      </c>
      <c r="J62" s="801">
        <f t="shared" si="0"/>
        <v>0</v>
      </c>
      <c r="K62" s="780" t="s">
        <v>1030</v>
      </c>
      <c r="L62" s="780" t="s">
        <v>773</v>
      </c>
    </row>
    <row r="63" s="780" customFormat="1" ht="20.1" customHeight="1" spans="1:12">
      <c r="A63" s="796" t="s">
        <v>1044</v>
      </c>
      <c r="B63" s="796" t="s">
        <v>92</v>
      </c>
      <c r="C63" s="797" t="s">
        <v>823</v>
      </c>
      <c r="D63" s="798">
        <v>14859.98</v>
      </c>
      <c r="E63" s="809"/>
      <c r="F63" s="796" t="s">
        <v>1044</v>
      </c>
      <c r="G63" s="796" t="s">
        <v>130</v>
      </c>
      <c r="H63" s="810" t="s">
        <v>1032</v>
      </c>
      <c r="I63" s="798">
        <v>14859.98</v>
      </c>
      <c r="J63" s="801">
        <f t="shared" si="0"/>
        <v>0</v>
      </c>
      <c r="K63" s="780" t="s">
        <v>1030</v>
      </c>
      <c r="L63" s="780" t="s">
        <v>773</v>
      </c>
    </row>
    <row r="64" s="780" customFormat="1" ht="20.1" customHeight="1" spans="1:12">
      <c r="A64" s="796" t="s">
        <v>1044</v>
      </c>
      <c r="B64" s="796" t="s">
        <v>92</v>
      </c>
      <c r="C64" s="797" t="s">
        <v>823</v>
      </c>
      <c r="D64" s="798">
        <v>30771.1</v>
      </c>
      <c r="E64" s="809"/>
      <c r="F64" s="796" t="s">
        <v>1044</v>
      </c>
      <c r="G64" s="796" t="s">
        <v>130</v>
      </c>
      <c r="H64" s="810" t="s">
        <v>1033</v>
      </c>
      <c r="I64" s="798">
        <v>30771.1</v>
      </c>
      <c r="J64" s="801">
        <f t="shared" si="0"/>
        <v>0</v>
      </c>
      <c r="K64" s="780" t="s">
        <v>1030</v>
      </c>
      <c r="L64" s="780" t="s">
        <v>773</v>
      </c>
    </row>
    <row r="65" s="780" customFormat="1" ht="20.1" customHeight="1" spans="1:12">
      <c r="A65" s="796" t="s">
        <v>1044</v>
      </c>
      <c r="B65" s="796" t="s">
        <v>92</v>
      </c>
      <c r="C65" s="797" t="s">
        <v>823</v>
      </c>
      <c r="D65" s="798">
        <v>57434.74</v>
      </c>
      <c r="E65" s="809"/>
      <c r="F65" s="796" t="s">
        <v>1044</v>
      </c>
      <c r="G65" s="796" t="s">
        <v>1034</v>
      </c>
      <c r="H65" s="810" t="s">
        <v>1032</v>
      </c>
      <c r="I65" s="798">
        <v>57434.74</v>
      </c>
      <c r="J65" s="801">
        <f t="shared" si="0"/>
        <v>0</v>
      </c>
      <c r="K65" s="780" t="s">
        <v>1030</v>
      </c>
      <c r="L65" s="780" t="s">
        <v>773</v>
      </c>
    </row>
    <row r="66" s="780" customFormat="1" ht="20.1" customHeight="1" spans="1:12">
      <c r="A66" s="796" t="s">
        <v>1044</v>
      </c>
      <c r="B66" s="796" t="s">
        <v>92</v>
      </c>
      <c r="C66" s="797" t="s">
        <v>823</v>
      </c>
      <c r="D66" s="798">
        <v>21888.38</v>
      </c>
      <c r="E66" s="809"/>
      <c r="F66" s="796" t="s">
        <v>1044</v>
      </c>
      <c r="G66" s="796" t="s">
        <v>1034</v>
      </c>
      <c r="H66" s="810" t="s">
        <v>1033</v>
      </c>
      <c r="I66" s="798">
        <v>21888.38</v>
      </c>
      <c r="J66" s="801">
        <f t="shared" si="0"/>
        <v>0</v>
      </c>
      <c r="K66" s="780" t="s">
        <v>1030</v>
      </c>
      <c r="L66" s="780" t="s">
        <v>773</v>
      </c>
    </row>
    <row r="67" s="780" customFormat="1" ht="20.1" customHeight="1" spans="1:12">
      <c r="A67" s="796" t="s">
        <v>1044</v>
      </c>
      <c r="B67" s="796" t="s">
        <v>94</v>
      </c>
      <c r="C67" s="797" t="s">
        <v>786</v>
      </c>
      <c r="D67" s="798">
        <v>1159750.25</v>
      </c>
      <c r="E67" s="809"/>
      <c r="F67" s="796" t="s">
        <v>1044</v>
      </c>
      <c r="G67" s="796" t="s">
        <v>92</v>
      </c>
      <c r="H67" s="810" t="s">
        <v>1029</v>
      </c>
      <c r="I67" s="798">
        <v>1159750.25</v>
      </c>
      <c r="J67" s="801">
        <f t="shared" si="0"/>
        <v>0</v>
      </c>
      <c r="K67" s="780" t="s">
        <v>1030</v>
      </c>
      <c r="L67" s="780" t="s">
        <v>1031</v>
      </c>
    </row>
    <row r="68" s="780" customFormat="1" ht="20.1" customHeight="1" spans="1:12">
      <c r="A68" s="796" t="s">
        <v>1044</v>
      </c>
      <c r="B68" s="796" t="s">
        <v>94</v>
      </c>
      <c r="C68" s="797" t="s">
        <v>786</v>
      </c>
      <c r="D68" s="798">
        <v>52328.84</v>
      </c>
      <c r="E68" s="809"/>
      <c r="F68" s="796" t="s">
        <v>1044</v>
      </c>
      <c r="G68" s="796" t="s">
        <v>92</v>
      </c>
      <c r="H68" s="811" t="s">
        <v>1039</v>
      </c>
      <c r="I68" s="798">
        <v>52328.84</v>
      </c>
      <c r="J68" s="801"/>
      <c r="K68" s="780" t="s">
        <v>1030</v>
      </c>
      <c r="L68" s="780" t="s">
        <v>1031</v>
      </c>
    </row>
    <row r="69" s="780" customFormat="1" ht="20.1" customHeight="1" spans="1:12">
      <c r="A69" s="796" t="s">
        <v>1044</v>
      </c>
      <c r="B69" s="796" t="s">
        <v>94</v>
      </c>
      <c r="C69" s="797" t="s">
        <v>786</v>
      </c>
      <c r="D69" s="798">
        <v>179575.22</v>
      </c>
      <c r="E69" s="809"/>
      <c r="F69" s="796" t="s">
        <v>1044</v>
      </c>
      <c r="G69" s="796" t="s">
        <v>92</v>
      </c>
      <c r="H69" s="811" t="s">
        <v>773</v>
      </c>
      <c r="I69" s="798">
        <v>179575.22</v>
      </c>
      <c r="J69" s="801">
        <f t="shared" ref="J69:J81" si="1">I69-D69</f>
        <v>0</v>
      </c>
      <c r="K69" s="780" t="s">
        <v>1030</v>
      </c>
      <c r="L69" s="780" t="s">
        <v>1031</v>
      </c>
    </row>
    <row r="70" s="780" customFormat="1" ht="20.1" customHeight="1" spans="1:12">
      <c r="A70" s="796" t="s">
        <v>1044</v>
      </c>
      <c r="B70" s="796" t="s">
        <v>94</v>
      </c>
      <c r="C70" s="797" t="s">
        <v>786</v>
      </c>
      <c r="D70" s="798">
        <v>217672.56</v>
      </c>
      <c r="E70" s="809"/>
      <c r="F70" s="796" t="s">
        <v>1044</v>
      </c>
      <c r="G70" s="796" t="s">
        <v>130</v>
      </c>
      <c r="H70" s="810" t="s">
        <v>1029</v>
      </c>
      <c r="I70" s="798">
        <v>217672.56</v>
      </c>
      <c r="J70" s="801">
        <f t="shared" si="1"/>
        <v>0</v>
      </c>
      <c r="K70" s="780" t="s">
        <v>1030</v>
      </c>
      <c r="L70" s="780" t="s">
        <v>1031</v>
      </c>
    </row>
    <row r="71" s="780" customFormat="1" ht="20.1" customHeight="1" spans="1:12">
      <c r="A71" s="796" t="s">
        <v>1044</v>
      </c>
      <c r="B71" s="796" t="s">
        <v>94</v>
      </c>
      <c r="C71" s="797" t="s">
        <v>786</v>
      </c>
      <c r="D71" s="798">
        <v>4292.04</v>
      </c>
      <c r="E71" s="809"/>
      <c r="F71" s="796" t="s">
        <v>1044</v>
      </c>
      <c r="G71" s="796" t="s">
        <v>130</v>
      </c>
      <c r="H71" s="810" t="s">
        <v>773</v>
      </c>
      <c r="I71" s="798">
        <v>4292.04</v>
      </c>
      <c r="J71" s="801">
        <f t="shared" si="1"/>
        <v>0</v>
      </c>
      <c r="K71" s="780" t="s">
        <v>1030</v>
      </c>
      <c r="L71" s="780" t="s">
        <v>1031</v>
      </c>
    </row>
    <row r="72" s="780" customFormat="1" ht="20.1" customHeight="1" spans="1:12">
      <c r="A72" s="796" t="s">
        <v>1044</v>
      </c>
      <c r="B72" s="796" t="s">
        <v>94</v>
      </c>
      <c r="C72" s="797" t="s">
        <v>823</v>
      </c>
      <c r="D72" s="798">
        <v>103392.37</v>
      </c>
      <c r="E72" s="809"/>
      <c r="F72" s="796" t="s">
        <v>1044</v>
      </c>
      <c r="G72" s="796" t="s">
        <v>92</v>
      </c>
      <c r="H72" s="810" t="s">
        <v>1043</v>
      </c>
      <c r="I72" s="798">
        <v>103392.37</v>
      </c>
      <c r="J72" s="801">
        <f t="shared" si="1"/>
        <v>0</v>
      </c>
      <c r="K72" s="780" t="s">
        <v>1030</v>
      </c>
      <c r="L72" s="780" t="s">
        <v>773</v>
      </c>
    </row>
    <row r="73" s="780" customFormat="1" ht="20.1" customHeight="1" spans="1:12">
      <c r="A73" s="796" t="s">
        <v>1044</v>
      </c>
      <c r="B73" s="796" t="s">
        <v>1034</v>
      </c>
      <c r="C73" s="797" t="s">
        <v>786</v>
      </c>
      <c r="D73" s="798">
        <v>1137831.85</v>
      </c>
      <c r="E73" s="809"/>
      <c r="F73" s="796" t="s">
        <v>1044</v>
      </c>
      <c r="G73" s="796" t="s">
        <v>94</v>
      </c>
      <c r="H73" s="812" t="s">
        <v>1035</v>
      </c>
      <c r="I73" s="798">
        <v>1137831.85</v>
      </c>
      <c r="J73" s="801">
        <f t="shared" si="1"/>
        <v>0</v>
      </c>
      <c r="K73" s="780" t="s">
        <v>1030</v>
      </c>
      <c r="L73" s="780" t="s">
        <v>1031</v>
      </c>
    </row>
    <row r="74" s="780" customFormat="1" ht="20.1" customHeight="1" spans="1:12">
      <c r="A74" s="796" t="s">
        <v>1044</v>
      </c>
      <c r="B74" s="796" t="s">
        <v>1034</v>
      </c>
      <c r="C74" s="797" t="s">
        <v>786</v>
      </c>
      <c r="D74" s="798">
        <v>46017.7</v>
      </c>
      <c r="E74" s="809"/>
      <c r="F74" s="796" t="s">
        <v>1044</v>
      </c>
      <c r="G74" s="796" t="s">
        <v>92</v>
      </c>
      <c r="H74" s="812" t="s">
        <v>1035</v>
      </c>
      <c r="I74" s="798">
        <v>46017.7</v>
      </c>
      <c r="J74" s="801">
        <f t="shared" si="1"/>
        <v>0</v>
      </c>
      <c r="K74" s="780" t="s">
        <v>1030</v>
      </c>
      <c r="L74" s="780" t="s">
        <v>1031</v>
      </c>
    </row>
    <row r="75" s="780" customFormat="1" ht="20.1" customHeight="1" spans="1:12">
      <c r="A75" s="796" t="s">
        <v>1044</v>
      </c>
      <c r="B75" s="796" t="s">
        <v>1034</v>
      </c>
      <c r="C75" s="797" t="s">
        <v>823</v>
      </c>
      <c r="D75" s="798">
        <v>104551.65</v>
      </c>
      <c r="E75" s="809"/>
      <c r="F75" s="796" t="s">
        <v>1044</v>
      </c>
      <c r="G75" s="796" t="s">
        <v>94</v>
      </c>
      <c r="H75" s="812" t="s">
        <v>1045</v>
      </c>
      <c r="I75" s="798">
        <v>104551.65</v>
      </c>
      <c r="J75" s="801">
        <f t="shared" si="1"/>
        <v>0</v>
      </c>
      <c r="K75" s="780" t="s">
        <v>826</v>
      </c>
    </row>
    <row r="76" s="780" customFormat="1" ht="20.1" customHeight="1" spans="1:12">
      <c r="A76" s="796" t="s">
        <v>1044</v>
      </c>
      <c r="B76" s="796" t="s">
        <v>1034</v>
      </c>
      <c r="C76" s="797" t="s">
        <v>823</v>
      </c>
      <c r="D76" s="798">
        <v>96513.2</v>
      </c>
      <c r="E76" s="809"/>
      <c r="F76" s="796" t="s">
        <v>1044</v>
      </c>
      <c r="G76" s="796" t="s">
        <v>92</v>
      </c>
      <c r="H76" s="812" t="s">
        <v>1045</v>
      </c>
      <c r="I76" s="798">
        <v>96513.2</v>
      </c>
      <c r="J76" s="801">
        <f t="shared" si="1"/>
        <v>0</v>
      </c>
      <c r="K76" s="780" t="s">
        <v>826</v>
      </c>
    </row>
    <row r="77" s="780" customFormat="1" ht="20.1" customHeight="1" spans="1:12">
      <c r="A77" s="796" t="s">
        <v>1046</v>
      </c>
      <c r="B77" s="796" t="s">
        <v>92</v>
      </c>
      <c r="C77" s="797" t="s">
        <v>823</v>
      </c>
      <c r="D77" s="798">
        <v>425949.2</v>
      </c>
      <c r="E77" s="809"/>
      <c r="F77" s="796" t="s">
        <v>1046</v>
      </c>
      <c r="G77" s="796" t="s">
        <v>94</v>
      </c>
      <c r="H77" s="810" t="s">
        <v>1032</v>
      </c>
      <c r="I77" s="798">
        <v>425949.2</v>
      </c>
      <c r="J77" s="801">
        <f t="shared" si="1"/>
        <v>0</v>
      </c>
      <c r="K77" s="780" t="s">
        <v>1030</v>
      </c>
      <c r="L77" s="780" t="s">
        <v>773</v>
      </c>
    </row>
    <row r="78" s="780" customFormat="1" ht="20.1" customHeight="1" spans="1:12">
      <c r="A78" s="796" t="s">
        <v>1046</v>
      </c>
      <c r="B78" s="796" t="s">
        <v>92</v>
      </c>
      <c r="C78" s="797" t="s">
        <v>823</v>
      </c>
      <c r="D78" s="798">
        <v>847338.06</v>
      </c>
      <c r="E78" s="809"/>
      <c r="F78" s="796" t="s">
        <v>1046</v>
      </c>
      <c r="G78" s="813" t="s">
        <v>94</v>
      </c>
      <c r="H78" s="800" t="s">
        <v>1043</v>
      </c>
      <c r="I78" s="798">
        <v>847338.06</v>
      </c>
      <c r="J78" s="801">
        <f t="shared" si="1"/>
        <v>0</v>
      </c>
      <c r="K78" s="780" t="s">
        <v>1030</v>
      </c>
      <c r="L78" s="780" t="s">
        <v>773</v>
      </c>
    </row>
    <row r="79" s="780" customFormat="1" ht="20.1" customHeight="1" spans="1:12">
      <c r="A79" s="796" t="s">
        <v>1046</v>
      </c>
      <c r="B79" s="796" t="s">
        <v>92</v>
      </c>
      <c r="C79" s="797" t="s">
        <v>823</v>
      </c>
      <c r="D79" s="798">
        <v>372054.28</v>
      </c>
      <c r="E79" s="809"/>
      <c r="F79" s="796" t="s">
        <v>1046</v>
      </c>
      <c r="G79" s="813" t="s">
        <v>94</v>
      </c>
      <c r="H79" s="800" t="s">
        <v>1033</v>
      </c>
      <c r="I79" s="798">
        <v>372054.28</v>
      </c>
      <c r="J79" s="801">
        <f t="shared" si="1"/>
        <v>0</v>
      </c>
      <c r="K79" s="780" t="s">
        <v>1030</v>
      </c>
      <c r="L79" s="780" t="s">
        <v>773</v>
      </c>
    </row>
    <row r="80" s="780" customFormat="1" ht="20.1" customHeight="1" spans="1:12">
      <c r="A80" s="796" t="s">
        <v>1046</v>
      </c>
      <c r="B80" s="796" t="s">
        <v>92</v>
      </c>
      <c r="C80" s="797" t="s">
        <v>823</v>
      </c>
      <c r="D80" s="798">
        <v>30828.14</v>
      </c>
      <c r="E80" s="809"/>
      <c r="F80" s="796" t="s">
        <v>1046</v>
      </c>
      <c r="G80" s="813" t="s">
        <v>130</v>
      </c>
      <c r="H80" s="800" t="s">
        <v>1032</v>
      </c>
      <c r="I80" s="798">
        <v>30828.14</v>
      </c>
      <c r="J80" s="801">
        <f t="shared" si="1"/>
        <v>0</v>
      </c>
      <c r="K80" s="780" t="s">
        <v>1030</v>
      </c>
      <c r="L80" s="780" t="s">
        <v>773</v>
      </c>
    </row>
    <row r="81" s="780" customFormat="1" ht="20.1" customHeight="1" spans="1:12">
      <c r="A81" s="796" t="s">
        <v>1046</v>
      </c>
      <c r="B81" s="796" t="s">
        <v>92</v>
      </c>
      <c r="C81" s="797" t="s">
        <v>823</v>
      </c>
      <c r="D81" s="798">
        <v>30771.1</v>
      </c>
      <c r="E81" s="809"/>
      <c r="F81" s="796" t="s">
        <v>1046</v>
      </c>
      <c r="G81" s="813" t="s">
        <v>130</v>
      </c>
      <c r="H81" s="800" t="s">
        <v>1033</v>
      </c>
      <c r="I81" s="798">
        <v>30771.1</v>
      </c>
      <c r="J81" s="801">
        <f t="shared" si="1"/>
        <v>0</v>
      </c>
      <c r="K81" s="780" t="s">
        <v>1030</v>
      </c>
      <c r="L81" s="780" t="s">
        <v>773</v>
      </c>
    </row>
    <row r="82" s="780" customFormat="1" ht="20.1" customHeight="1" spans="1:12">
      <c r="A82" s="796" t="s">
        <v>1046</v>
      </c>
      <c r="B82" s="796" t="s">
        <v>92</v>
      </c>
      <c r="C82" s="797" t="s">
        <v>823</v>
      </c>
      <c r="D82" s="798">
        <v>62990.3</v>
      </c>
      <c r="E82" s="809"/>
      <c r="F82" s="796" t="s">
        <v>1046</v>
      </c>
      <c r="G82" s="813" t="s">
        <v>1034</v>
      </c>
      <c r="H82" s="800" t="s">
        <v>1032</v>
      </c>
      <c r="I82" s="798">
        <v>62990.3</v>
      </c>
      <c r="J82" s="801">
        <f t="shared" ref="J82:J156" si="2">I82-D82</f>
        <v>0</v>
      </c>
      <c r="K82" s="780" t="s">
        <v>1030</v>
      </c>
      <c r="L82" s="780" t="s">
        <v>773</v>
      </c>
    </row>
    <row r="83" s="780" customFormat="1" ht="20.1" customHeight="1" spans="1:12">
      <c r="A83" s="796" t="s">
        <v>1046</v>
      </c>
      <c r="B83" s="796" t="s">
        <v>92</v>
      </c>
      <c r="C83" s="797" t="s">
        <v>823</v>
      </c>
      <c r="D83" s="798">
        <v>21888.38</v>
      </c>
      <c r="E83" s="809"/>
      <c r="F83" s="796" t="s">
        <v>1046</v>
      </c>
      <c r="G83" s="813" t="s">
        <v>1034</v>
      </c>
      <c r="H83" s="800" t="s">
        <v>1033</v>
      </c>
      <c r="I83" s="798">
        <v>21888.38</v>
      </c>
      <c r="J83" s="801">
        <f t="shared" si="2"/>
        <v>0</v>
      </c>
      <c r="K83" s="780" t="s">
        <v>1030</v>
      </c>
      <c r="L83" s="780" t="s">
        <v>773</v>
      </c>
    </row>
    <row r="84" s="780" customFormat="1" ht="20.1" customHeight="1" spans="1:12">
      <c r="A84" s="796" t="s">
        <v>1046</v>
      </c>
      <c r="B84" s="796" t="s">
        <v>94</v>
      </c>
      <c r="C84" s="797" t="s">
        <v>786</v>
      </c>
      <c r="D84" s="798">
        <v>2131380.98</v>
      </c>
      <c r="E84" s="809"/>
      <c r="F84" s="796" t="s">
        <v>1046</v>
      </c>
      <c r="G84" s="813" t="s">
        <v>92</v>
      </c>
      <c r="H84" s="800" t="s">
        <v>1029</v>
      </c>
      <c r="I84" s="798">
        <v>2131380.98</v>
      </c>
      <c r="J84" s="801">
        <f t="shared" si="2"/>
        <v>0</v>
      </c>
      <c r="K84" s="780" t="s">
        <v>1030</v>
      </c>
      <c r="L84" s="780" t="s">
        <v>1031</v>
      </c>
    </row>
    <row r="85" s="780" customFormat="1" ht="20.1" customHeight="1" spans="1:12">
      <c r="A85" s="796" t="s">
        <v>1046</v>
      </c>
      <c r="B85" s="796" t="s">
        <v>94</v>
      </c>
      <c r="C85" s="797" t="s">
        <v>786</v>
      </c>
      <c r="D85" s="798">
        <v>14684.08</v>
      </c>
      <c r="E85" s="809"/>
      <c r="F85" s="796" t="s">
        <v>1046</v>
      </c>
      <c r="G85" s="813" t="s">
        <v>92</v>
      </c>
      <c r="H85" s="800" t="s">
        <v>1039</v>
      </c>
      <c r="I85" s="798">
        <v>14684.08</v>
      </c>
      <c r="J85" s="801">
        <f t="shared" si="2"/>
        <v>0</v>
      </c>
      <c r="K85" s="780" t="s">
        <v>1030</v>
      </c>
      <c r="L85" s="780" t="s">
        <v>1031</v>
      </c>
    </row>
    <row r="86" s="780" customFormat="1" ht="20.1" customHeight="1" spans="1:12">
      <c r="A86" s="796" t="s">
        <v>1046</v>
      </c>
      <c r="B86" s="796" t="s">
        <v>94</v>
      </c>
      <c r="C86" s="797" t="s">
        <v>786</v>
      </c>
      <c r="D86" s="798">
        <v>388869.47</v>
      </c>
      <c r="E86" s="809"/>
      <c r="F86" s="796" t="s">
        <v>1046</v>
      </c>
      <c r="G86" s="813" t="s">
        <v>92</v>
      </c>
      <c r="H86" s="800" t="s">
        <v>773</v>
      </c>
      <c r="I86" s="798">
        <v>388869.47</v>
      </c>
      <c r="J86" s="801">
        <f t="shared" si="2"/>
        <v>0</v>
      </c>
      <c r="K86" s="780" t="s">
        <v>1030</v>
      </c>
      <c r="L86" s="780" t="s">
        <v>1031</v>
      </c>
    </row>
    <row r="87" s="780" customFormat="1" ht="20.1" customHeight="1" spans="1:12">
      <c r="A87" s="796" t="s">
        <v>1046</v>
      </c>
      <c r="B87" s="796" t="s">
        <v>94</v>
      </c>
      <c r="C87" s="797" t="s">
        <v>823</v>
      </c>
      <c r="D87" s="798">
        <v>62328.46</v>
      </c>
      <c r="E87" s="799"/>
      <c r="F87" s="796" t="s">
        <v>1046</v>
      </c>
      <c r="G87" s="796" t="s">
        <v>92</v>
      </c>
      <c r="H87" s="810" t="s">
        <v>1043</v>
      </c>
      <c r="I87" s="798">
        <v>62328.46</v>
      </c>
      <c r="J87" s="801">
        <f t="shared" si="2"/>
        <v>0</v>
      </c>
      <c r="K87" s="780" t="s">
        <v>1030</v>
      </c>
      <c r="L87" s="780" t="s">
        <v>773</v>
      </c>
    </row>
    <row r="88" s="780" customFormat="1" ht="20.1" customHeight="1" spans="1:12">
      <c r="A88" s="796" t="s">
        <v>1046</v>
      </c>
      <c r="B88" s="796" t="s">
        <v>94</v>
      </c>
      <c r="C88" s="797" t="s">
        <v>823</v>
      </c>
      <c r="D88" s="798">
        <v>89177.6</v>
      </c>
      <c r="E88" s="799"/>
      <c r="F88" s="796" t="s">
        <v>1046</v>
      </c>
      <c r="G88" s="796" t="s">
        <v>92</v>
      </c>
      <c r="H88" s="810" t="s">
        <v>1047</v>
      </c>
      <c r="I88" s="798">
        <v>89177.6</v>
      </c>
      <c r="J88" s="801">
        <f t="shared" si="2"/>
        <v>0</v>
      </c>
      <c r="K88" s="780" t="s">
        <v>1030</v>
      </c>
      <c r="L88" s="780" t="s">
        <v>773</v>
      </c>
    </row>
    <row r="89" s="780" customFormat="1" ht="20.1" customHeight="1" spans="1:12">
      <c r="A89" s="796" t="s">
        <v>1046</v>
      </c>
      <c r="B89" s="796" t="s">
        <v>1034</v>
      </c>
      <c r="C89" s="797" t="s">
        <v>786</v>
      </c>
      <c r="D89" s="798">
        <v>742922.75</v>
      </c>
      <c r="E89" s="799"/>
      <c r="F89" s="796" t="s">
        <v>1046</v>
      </c>
      <c r="G89" s="796" t="s">
        <v>94</v>
      </c>
      <c r="H89" s="810" t="s">
        <v>1035</v>
      </c>
      <c r="I89" s="798">
        <v>742922.75</v>
      </c>
      <c r="J89" s="801">
        <f t="shared" si="2"/>
        <v>0</v>
      </c>
      <c r="K89" s="780" t="s">
        <v>1030</v>
      </c>
      <c r="L89" s="780" t="s">
        <v>1031</v>
      </c>
    </row>
    <row r="90" s="780" customFormat="1" ht="20.1" customHeight="1" spans="1:12">
      <c r="A90" s="796" t="s">
        <v>1048</v>
      </c>
      <c r="B90" s="796" t="s">
        <v>92</v>
      </c>
      <c r="C90" s="797" t="s">
        <v>823</v>
      </c>
      <c r="D90" s="798">
        <v>476450.01</v>
      </c>
      <c r="E90" s="799"/>
      <c r="F90" s="796" t="s">
        <v>1048</v>
      </c>
      <c r="G90" s="796" t="s">
        <v>94</v>
      </c>
      <c r="H90" s="810" t="s">
        <v>1032</v>
      </c>
      <c r="I90" s="798">
        <v>476450.01</v>
      </c>
      <c r="J90" s="801">
        <f t="shared" si="2"/>
        <v>0</v>
      </c>
      <c r="K90" s="780" t="s">
        <v>1030</v>
      </c>
      <c r="L90" s="780" t="s">
        <v>773</v>
      </c>
    </row>
    <row r="91" s="780" customFormat="1" ht="20.1" customHeight="1" spans="1:12">
      <c r="A91" s="796" t="s">
        <v>1048</v>
      </c>
      <c r="B91" s="796" t="s">
        <v>92</v>
      </c>
      <c r="C91" s="797" t="s">
        <v>823</v>
      </c>
      <c r="D91" s="798">
        <v>2232325.69</v>
      </c>
      <c r="E91" s="799" t="s">
        <v>491</v>
      </c>
      <c r="F91" s="796" t="s">
        <v>1048</v>
      </c>
      <c r="G91" s="796" t="s">
        <v>94</v>
      </c>
      <c r="H91" s="810" t="s">
        <v>1033</v>
      </c>
      <c r="I91" s="798">
        <v>2232325.69</v>
      </c>
      <c r="J91" s="801">
        <f t="shared" si="2"/>
        <v>0</v>
      </c>
      <c r="K91" s="780" t="s">
        <v>1030</v>
      </c>
      <c r="L91" s="780" t="s">
        <v>773</v>
      </c>
    </row>
    <row r="92" s="780" customFormat="1" ht="20.1" customHeight="1" spans="1:12">
      <c r="A92" s="796" t="s">
        <v>1048</v>
      </c>
      <c r="B92" s="796" t="s">
        <v>92</v>
      </c>
      <c r="C92" s="797" t="s">
        <v>823</v>
      </c>
      <c r="D92" s="798">
        <v>475753.56</v>
      </c>
      <c r="E92" s="799" t="s">
        <v>491</v>
      </c>
      <c r="F92" s="796" t="s">
        <v>1048</v>
      </c>
      <c r="G92" s="796" t="s">
        <v>94</v>
      </c>
      <c r="H92" s="810" t="s">
        <v>1043</v>
      </c>
      <c r="I92" s="798">
        <v>475753.56</v>
      </c>
      <c r="J92" s="801">
        <f t="shared" si="2"/>
        <v>0</v>
      </c>
      <c r="K92" s="780" t="s">
        <v>1030</v>
      </c>
      <c r="L92" s="780" t="s">
        <v>773</v>
      </c>
    </row>
    <row r="93" s="780" customFormat="1" ht="20.1" customHeight="1" spans="1:12">
      <c r="A93" s="796" t="s">
        <v>1048</v>
      </c>
      <c r="B93" s="796" t="s">
        <v>92</v>
      </c>
      <c r="C93" s="797" t="s">
        <v>823</v>
      </c>
      <c r="D93" s="798">
        <v>18099.52</v>
      </c>
      <c r="E93" s="799"/>
      <c r="F93" s="796" t="s">
        <v>1048</v>
      </c>
      <c r="G93" s="796" t="s">
        <v>130</v>
      </c>
      <c r="H93" s="810" t="s">
        <v>1032</v>
      </c>
      <c r="I93" s="798">
        <v>18099.52</v>
      </c>
      <c r="J93" s="801">
        <f t="shared" si="2"/>
        <v>0</v>
      </c>
      <c r="K93" s="780" t="s">
        <v>1030</v>
      </c>
      <c r="L93" s="780" t="s">
        <v>773</v>
      </c>
    </row>
    <row r="94" s="780" customFormat="1" ht="20.1" customHeight="1" spans="1:12">
      <c r="A94" s="796" t="s">
        <v>1048</v>
      </c>
      <c r="B94" s="796" t="s">
        <v>92</v>
      </c>
      <c r="C94" s="797" t="s">
        <v>823</v>
      </c>
      <c r="D94" s="798">
        <v>184626.61</v>
      </c>
      <c r="E94" s="799"/>
      <c r="F94" s="796" t="s">
        <v>1048</v>
      </c>
      <c r="G94" s="796" t="s">
        <v>130</v>
      </c>
      <c r="H94" s="810" t="s">
        <v>1033</v>
      </c>
      <c r="I94" s="798">
        <v>184626.61</v>
      </c>
      <c r="J94" s="801">
        <f t="shared" si="2"/>
        <v>0</v>
      </c>
      <c r="K94" s="780" t="s">
        <v>1030</v>
      </c>
      <c r="L94" s="780" t="s">
        <v>773</v>
      </c>
    </row>
    <row r="95" s="780" customFormat="1" ht="20.1" customHeight="1" spans="1:12">
      <c r="A95" s="796" t="s">
        <v>1048</v>
      </c>
      <c r="B95" s="796" t="s">
        <v>92</v>
      </c>
      <c r="C95" s="797" t="s">
        <v>823</v>
      </c>
      <c r="D95" s="798">
        <v>50715.99</v>
      </c>
      <c r="E95" s="799"/>
      <c r="F95" s="796" t="s">
        <v>1048</v>
      </c>
      <c r="G95" s="796" t="s">
        <v>1034</v>
      </c>
      <c r="H95" s="810" t="s">
        <v>1032</v>
      </c>
      <c r="I95" s="798">
        <v>50715.99</v>
      </c>
      <c r="J95" s="801">
        <f t="shared" si="2"/>
        <v>0</v>
      </c>
      <c r="K95" s="780" t="s">
        <v>1030</v>
      </c>
      <c r="L95" s="780" t="s">
        <v>773</v>
      </c>
    </row>
    <row r="96" s="780" customFormat="1" ht="20.1" customHeight="1" spans="1:12">
      <c r="A96" s="796" t="s">
        <v>1048</v>
      </c>
      <c r="B96" s="796" t="s">
        <v>92</v>
      </c>
      <c r="C96" s="797" t="s">
        <v>823</v>
      </c>
      <c r="D96" s="814">
        <v>131330.27</v>
      </c>
      <c r="E96" s="799"/>
      <c r="F96" s="796" t="s">
        <v>1048</v>
      </c>
      <c r="G96" s="796" t="s">
        <v>1034</v>
      </c>
      <c r="H96" s="810" t="s">
        <v>1033</v>
      </c>
      <c r="I96" s="814">
        <v>131330.27</v>
      </c>
      <c r="J96" s="801">
        <f t="shared" si="2"/>
        <v>0</v>
      </c>
      <c r="K96" s="780" t="s">
        <v>1030</v>
      </c>
      <c r="L96" s="780" t="s">
        <v>773</v>
      </c>
    </row>
    <row r="97" s="780" customFormat="1" ht="20.1" customHeight="1" spans="1:13">
      <c r="A97" s="796" t="s">
        <v>1048</v>
      </c>
      <c r="B97" s="796" t="s">
        <v>94</v>
      </c>
      <c r="C97" s="797" t="s">
        <v>786</v>
      </c>
      <c r="D97" s="798">
        <v>41701.76</v>
      </c>
      <c r="E97" s="799"/>
      <c r="F97" s="796" t="s">
        <v>1048</v>
      </c>
      <c r="G97" s="796" t="s">
        <v>92</v>
      </c>
      <c r="H97" s="810" t="s">
        <v>1039</v>
      </c>
      <c r="I97" s="798">
        <v>41701.76</v>
      </c>
      <c r="J97" s="801">
        <f t="shared" si="2"/>
        <v>0</v>
      </c>
      <c r="K97" s="780" t="s">
        <v>1030</v>
      </c>
      <c r="L97" s="780" t="s">
        <v>1031</v>
      </c>
    </row>
    <row r="98" s="780" customFormat="1" ht="20.1" customHeight="1" spans="1:13">
      <c r="A98" s="796" t="s">
        <v>1048</v>
      </c>
      <c r="B98" s="796" t="s">
        <v>94</v>
      </c>
      <c r="C98" s="797" t="s">
        <v>786</v>
      </c>
      <c r="D98" s="798">
        <v>503483.19</v>
      </c>
      <c r="E98" s="799"/>
      <c r="F98" s="796" t="s">
        <v>1048</v>
      </c>
      <c r="G98" s="796" t="s">
        <v>92</v>
      </c>
      <c r="H98" s="810" t="s">
        <v>773</v>
      </c>
      <c r="I98" s="798">
        <v>503483.19</v>
      </c>
      <c r="J98" s="801">
        <f t="shared" si="2"/>
        <v>0</v>
      </c>
      <c r="K98" s="780" t="s">
        <v>1030</v>
      </c>
      <c r="L98" s="780" t="s">
        <v>1031</v>
      </c>
    </row>
    <row r="99" s="780" customFormat="1" ht="20.1" customHeight="1" spans="1:13">
      <c r="A99" s="796" t="s">
        <v>1048</v>
      </c>
      <c r="B99" s="796" t="s">
        <v>94</v>
      </c>
      <c r="C99" s="797" t="s">
        <v>786</v>
      </c>
      <c r="D99" s="798">
        <v>702001.59</v>
      </c>
      <c r="E99" s="799"/>
      <c r="F99" s="796" t="s">
        <v>1048</v>
      </c>
      <c r="G99" s="796" t="s">
        <v>92</v>
      </c>
      <c r="H99" s="810" t="s">
        <v>1029</v>
      </c>
      <c r="I99" s="798">
        <v>702001.59</v>
      </c>
      <c r="J99" s="801">
        <f t="shared" si="2"/>
        <v>0</v>
      </c>
      <c r="K99" s="780" t="s">
        <v>1030</v>
      </c>
      <c r="L99" s="780" t="s">
        <v>1031</v>
      </c>
    </row>
    <row r="100" s="780" customFormat="1" ht="20.1" customHeight="1" spans="1:13">
      <c r="A100" s="796" t="s">
        <v>1048</v>
      </c>
      <c r="B100" s="796" t="s">
        <v>94</v>
      </c>
      <c r="C100" s="797" t="s">
        <v>786</v>
      </c>
      <c r="D100" s="798">
        <v>92981.23</v>
      </c>
      <c r="E100" s="799" t="s">
        <v>491</v>
      </c>
      <c r="F100" s="796" t="s">
        <v>1048</v>
      </c>
      <c r="G100" s="796" t="s">
        <v>130</v>
      </c>
      <c r="H100" s="810" t="s">
        <v>1029</v>
      </c>
      <c r="I100" s="798">
        <v>92981.23</v>
      </c>
      <c r="J100" s="801">
        <f t="shared" si="2"/>
        <v>0</v>
      </c>
      <c r="K100" s="780" t="s">
        <v>1030</v>
      </c>
      <c r="L100" s="780" t="s">
        <v>1031</v>
      </c>
    </row>
    <row r="101" s="780" customFormat="1" ht="20.1" customHeight="1" spans="1:13">
      <c r="A101" s="796" t="s">
        <v>1048</v>
      </c>
      <c r="B101" s="796" t="s">
        <v>94</v>
      </c>
      <c r="C101" s="797" t="s">
        <v>823</v>
      </c>
      <c r="D101" s="798">
        <v>138509.02</v>
      </c>
      <c r="E101" s="799"/>
      <c r="F101" s="796" t="s">
        <v>1048</v>
      </c>
      <c r="G101" s="796" t="s">
        <v>92</v>
      </c>
      <c r="H101" s="810" t="s">
        <v>1049</v>
      </c>
      <c r="I101" s="798">
        <v>138509.02</v>
      </c>
      <c r="J101" s="801">
        <f t="shared" si="2"/>
        <v>0</v>
      </c>
      <c r="K101" s="780" t="s">
        <v>827</v>
      </c>
    </row>
    <row r="102" s="780" customFormat="1" ht="20.1" customHeight="1" spans="1:13">
      <c r="A102" s="796" t="s">
        <v>1048</v>
      </c>
      <c r="B102" s="796" t="s">
        <v>94</v>
      </c>
      <c r="C102" s="797" t="s">
        <v>823</v>
      </c>
      <c r="D102" s="798">
        <v>26017.7</v>
      </c>
      <c r="E102" s="799"/>
      <c r="F102" s="796" t="s">
        <v>1048</v>
      </c>
      <c r="G102" s="796" t="s">
        <v>1034</v>
      </c>
      <c r="H102" s="810" t="s">
        <v>1040</v>
      </c>
      <c r="I102" s="798">
        <v>26017.7</v>
      </c>
      <c r="J102" s="801">
        <f t="shared" si="2"/>
        <v>0</v>
      </c>
      <c r="K102" s="780" t="s">
        <v>1030</v>
      </c>
      <c r="L102" s="780" t="s">
        <v>773</v>
      </c>
    </row>
    <row r="103" s="780" customFormat="1" ht="20.1" customHeight="1" spans="1:13">
      <c r="A103" s="796" t="s">
        <v>1048</v>
      </c>
      <c r="B103" s="796" t="s">
        <v>130</v>
      </c>
      <c r="C103" s="797" t="s">
        <v>786</v>
      </c>
      <c r="D103" s="798">
        <v>2389.38</v>
      </c>
      <c r="E103" s="799"/>
      <c r="F103" s="796" t="s">
        <v>1048</v>
      </c>
      <c r="G103" s="796" t="s">
        <v>94</v>
      </c>
      <c r="H103" s="810" t="s">
        <v>1037</v>
      </c>
      <c r="I103" s="798">
        <v>2389.38</v>
      </c>
      <c r="J103" s="801">
        <f t="shared" si="2"/>
        <v>0</v>
      </c>
      <c r="K103" s="780" t="s">
        <v>1030</v>
      </c>
      <c r="L103" s="780" t="s">
        <v>1031</v>
      </c>
    </row>
    <row r="104" s="780" customFormat="1" ht="20.1" customHeight="1" spans="1:13">
      <c r="A104" s="796" t="s">
        <v>1048</v>
      </c>
      <c r="B104" s="796" t="s">
        <v>1034</v>
      </c>
      <c r="C104" s="797" t="s">
        <v>786</v>
      </c>
      <c r="D104" s="798">
        <v>775537.42</v>
      </c>
      <c r="E104" s="799"/>
      <c r="F104" s="796" t="s">
        <v>1048</v>
      </c>
      <c r="G104" s="796" t="s">
        <v>94</v>
      </c>
      <c r="H104" s="810" t="s">
        <v>1035</v>
      </c>
      <c r="I104" s="798">
        <v>775537.42</v>
      </c>
      <c r="J104" s="801">
        <f t="shared" si="2"/>
        <v>0</v>
      </c>
      <c r="K104" s="780" t="s">
        <v>1030</v>
      </c>
      <c r="L104" s="780" t="s">
        <v>1031</v>
      </c>
    </row>
    <row r="105" s="780" customFormat="1" ht="20.1" customHeight="1" spans="1:13">
      <c r="A105" s="796" t="s">
        <v>1048</v>
      </c>
      <c r="B105" s="796" t="s">
        <v>92</v>
      </c>
      <c r="C105" s="797" t="s">
        <v>823</v>
      </c>
      <c r="D105" s="798">
        <v>-1860271.4</v>
      </c>
      <c r="E105" s="799"/>
      <c r="F105" s="796" t="s">
        <v>1048</v>
      </c>
      <c r="G105" s="796" t="s">
        <v>94</v>
      </c>
      <c r="H105" s="810" t="s">
        <v>1033</v>
      </c>
      <c r="I105" s="798">
        <f>D105</f>
        <v>-1860271.4</v>
      </c>
      <c r="J105" s="801">
        <f t="shared" si="2"/>
        <v>0</v>
      </c>
      <c r="K105" s="780" t="s">
        <v>1030</v>
      </c>
      <c r="L105" s="780" t="s">
        <v>773</v>
      </c>
      <c r="M105" s="780" t="s">
        <v>1050</v>
      </c>
    </row>
    <row r="106" s="780" customFormat="1" ht="20.1" customHeight="1" spans="1:13">
      <c r="A106" s="796" t="s">
        <v>1048</v>
      </c>
      <c r="B106" s="796" t="s">
        <v>92</v>
      </c>
      <c r="C106" s="797" t="s">
        <v>823</v>
      </c>
      <c r="D106" s="798">
        <v>-153855.51</v>
      </c>
      <c r="E106" s="799"/>
      <c r="F106" s="796" t="s">
        <v>1048</v>
      </c>
      <c r="G106" s="796" t="s">
        <v>130</v>
      </c>
      <c r="H106" s="810" t="s">
        <v>1033</v>
      </c>
      <c r="I106" s="798">
        <f>D106</f>
        <v>-153855.51</v>
      </c>
      <c r="J106" s="801">
        <f t="shared" si="2"/>
        <v>0</v>
      </c>
      <c r="K106" s="780" t="s">
        <v>1030</v>
      </c>
      <c r="L106" s="780" t="s">
        <v>773</v>
      </c>
      <c r="M106" s="780" t="s">
        <v>1050</v>
      </c>
    </row>
    <row r="107" s="780" customFormat="1" ht="20.1" customHeight="1" spans="1:13">
      <c r="A107" s="796" t="s">
        <v>1051</v>
      </c>
      <c r="B107" s="796" t="s">
        <v>92</v>
      </c>
      <c r="C107" s="797" t="s">
        <v>823</v>
      </c>
      <c r="D107" s="798">
        <v>533336.12</v>
      </c>
      <c r="E107" s="799"/>
      <c r="F107" s="796" t="s">
        <v>1051</v>
      </c>
      <c r="G107" s="796" t="s">
        <v>94</v>
      </c>
      <c r="H107" s="810" t="s">
        <v>1032</v>
      </c>
      <c r="I107" s="798">
        <v>533336.12</v>
      </c>
      <c r="J107" s="801">
        <f t="shared" si="2"/>
        <v>0</v>
      </c>
      <c r="K107" s="780" t="s">
        <v>1030</v>
      </c>
      <c r="L107" s="780" t="s">
        <v>773</v>
      </c>
    </row>
    <row r="108" s="780" customFormat="1" ht="20.1" customHeight="1" spans="1:13">
      <c r="A108" s="796" t="s">
        <v>1051</v>
      </c>
      <c r="B108" s="796" t="s">
        <v>92</v>
      </c>
      <c r="C108" s="797" t="s">
        <v>823</v>
      </c>
      <c r="D108" s="798">
        <v>372054.28</v>
      </c>
      <c r="E108" s="799" t="s">
        <v>491</v>
      </c>
      <c r="F108" s="796" t="s">
        <v>1051</v>
      </c>
      <c r="G108" s="796" t="s">
        <v>94</v>
      </c>
      <c r="H108" s="810" t="s">
        <v>1033</v>
      </c>
      <c r="I108" s="798">
        <v>372054.28</v>
      </c>
      <c r="J108" s="801">
        <f t="shared" si="2"/>
        <v>0</v>
      </c>
      <c r="K108" s="780" t="s">
        <v>1030</v>
      </c>
      <c r="L108" s="780" t="s">
        <v>773</v>
      </c>
    </row>
    <row r="109" s="780" customFormat="1" ht="20.1" customHeight="1" spans="1:13">
      <c r="A109" s="796" t="s">
        <v>1051</v>
      </c>
      <c r="B109" s="796" t="s">
        <v>92</v>
      </c>
      <c r="C109" s="797" t="s">
        <v>823</v>
      </c>
      <c r="D109" s="798">
        <v>693512.27</v>
      </c>
      <c r="E109" s="809" t="s">
        <v>491</v>
      </c>
      <c r="F109" s="796" t="s">
        <v>1051</v>
      </c>
      <c r="G109" s="813" t="s">
        <v>94</v>
      </c>
      <c r="H109" s="800" t="s">
        <v>1043</v>
      </c>
      <c r="I109" s="798">
        <v>693512.27</v>
      </c>
      <c r="J109" s="801">
        <f t="shared" si="2"/>
        <v>0</v>
      </c>
      <c r="K109" s="780" t="s">
        <v>1030</v>
      </c>
      <c r="L109" s="780" t="s">
        <v>773</v>
      </c>
    </row>
    <row r="110" s="780" customFormat="1" ht="20.1" customHeight="1" spans="1:13">
      <c r="A110" s="796" t="s">
        <v>1051</v>
      </c>
      <c r="B110" s="796" t="s">
        <v>92</v>
      </c>
      <c r="C110" s="797" t="s">
        <v>823</v>
      </c>
      <c r="D110" s="798">
        <v>20369.06</v>
      </c>
      <c r="E110" s="809"/>
      <c r="F110" s="796" t="s">
        <v>1051</v>
      </c>
      <c r="G110" s="813" t="s">
        <v>130</v>
      </c>
      <c r="H110" s="800" t="s">
        <v>1032</v>
      </c>
      <c r="I110" s="798">
        <v>20369.06</v>
      </c>
      <c r="J110" s="801">
        <f t="shared" si="2"/>
        <v>0</v>
      </c>
      <c r="K110" s="780" t="s">
        <v>1030</v>
      </c>
      <c r="L110" s="780" t="s">
        <v>773</v>
      </c>
    </row>
    <row r="111" s="780" customFormat="1" ht="20.1" customHeight="1" spans="1:13">
      <c r="A111" s="796" t="s">
        <v>1051</v>
      </c>
      <c r="B111" s="796" t="s">
        <v>92</v>
      </c>
      <c r="C111" s="797" t="s">
        <v>823</v>
      </c>
      <c r="D111" s="798">
        <v>30771.1</v>
      </c>
      <c r="E111" s="809"/>
      <c r="F111" s="796" t="s">
        <v>1051</v>
      </c>
      <c r="G111" s="813" t="s">
        <v>130</v>
      </c>
      <c r="H111" s="800" t="s">
        <v>1033</v>
      </c>
      <c r="I111" s="798">
        <v>30771.1</v>
      </c>
      <c r="J111" s="801">
        <f t="shared" si="2"/>
        <v>0</v>
      </c>
      <c r="K111" s="780" t="s">
        <v>1030</v>
      </c>
      <c r="L111" s="780" t="s">
        <v>773</v>
      </c>
    </row>
    <row r="112" s="780" customFormat="1" ht="20.1" customHeight="1" spans="1:13">
      <c r="A112" s="796" t="s">
        <v>1051</v>
      </c>
      <c r="B112" s="796" t="s">
        <v>92</v>
      </c>
      <c r="C112" s="797" t="s">
        <v>823</v>
      </c>
      <c r="D112" s="798">
        <v>32555.77</v>
      </c>
      <c r="E112" s="809"/>
      <c r="F112" s="796" t="s">
        <v>1051</v>
      </c>
      <c r="G112" s="813" t="s">
        <v>1034</v>
      </c>
      <c r="H112" s="800" t="s">
        <v>1032</v>
      </c>
      <c r="I112" s="798">
        <v>32555.77</v>
      </c>
      <c r="J112" s="801">
        <f t="shared" si="2"/>
        <v>0</v>
      </c>
      <c r="K112" s="780" t="s">
        <v>1030</v>
      </c>
      <c r="L112" s="780" t="s">
        <v>773</v>
      </c>
    </row>
    <row r="113" s="780" customFormat="1" ht="20.1" customHeight="1" spans="1:12">
      <c r="A113" s="796" t="s">
        <v>1051</v>
      </c>
      <c r="B113" s="796" t="s">
        <v>94</v>
      </c>
      <c r="C113" s="797" t="s">
        <v>786</v>
      </c>
      <c r="D113" s="798">
        <v>31631.3</v>
      </c>
      <c r="E113" s="809"/>
      <c r="F113" s="796" t="s">
        <v>1051</v>
      </c>
      <c r="G113" s="813" t="s">
        <v>92</v>
      </c>
      <c r="H113" s="800" t="s">
        <v>1039</v>
      </c>
      <c r="I113" s="798">
        <v>31631.3</v>
      </c>
      <c r="J113" s="801">
        <f t="shared" si="2"/>
        <v>0</v>
      </c>
      <c r="K113" s="780" t="s">
        <v>1030</v>
      </c>
      <c r="L113" s="780" t="s">
        <v>1031</v>
      </c>
    </row>
    <row r="114" s="780" customFormat="1" ht="20.1" customHeight="1" spans="1:12">
      <c r="A114" s="796" t="s">
        <v>1051</v>
      </c>
      <c r="B114" s="796" t="s">
        <v>94</v>
      </c>
      <c r="C114" s="797" t="s">
        <v>786</v>
      </c>
      <c r="D114" s="798">
        <v>195636.11</v>
      </c>
      <c r="E114" s="809"/>
      <c r="F114" s="796" t="s">
        <v>1051</v>
      </c>
      <c r="G114" s="813" t="s">
        <v>92</v>
      </c>
      <c r="H114" s="800" t="s">
        <v>773</v>
      </c>
      <c r="I114" s="798">
        <v>195636.11</v>
      </c>
      <c r="J114" s="801">
        <f t="shared" si="2"/>
        <v>0</v>
      </c>
      <c r="K114" s="780" t="s">
        <v>1030</v>
      </c>
      <c r="L114" s="780" t="s">
        <v>1031</v>
      </c>
    </row>
    <row r="115" s="780" customFormat="1" ht="20.1" customHeight="1" spans="1:12">
      <c r="A115" s="796" t="s">
        <v>1051</v>
      </c>
      <c r="B115" s="796" t="s">
        <v>94</v>
      </c>
      <c r="C115" s="797" t="s">
        <v>786</v>
      </c>
      <c r="D115" s="798">
        <v>811281.07</v>
      </c>
      <c r="E115" s="809"/>
      <c r="F115" s="796" t="s">
        <v>1051</v>
      </c>
      <c r="G115" s="813" t="s">
        <v>92</v>
      </c>
      <c r="H115" s="800" t="s">
        <v>1029</v>
      </c>
      <c r="I115" s="798">
        <v>811281.07</v>
      </c>
      <c r="J115" s="801">
        <f t="shared" si="2"/>
        <v>0</v>
      </c>
      <c r="K115" s="780" t="s">
        <v>1030</v>
      </c>
      <c r="L115" s="780" t="s">
        <v>1031</v>
      </c>
    </row>
    <row r="116" s="780" customFormat="1" ht="20.1" customHeight="1" spans="1:12">
      <c r="A116" s="796" t="s">
        <v>1051</v>
      </c>
      <c r="B116" s="796" t="s">
        <v>94</v>
      </c>
      <c r="C116" s="797" t="s">
        <v>823</v>
      </c>
      <c r="D116" s="798">
        <v>282356.56</v>
      </c>
      <c r="E116" s="809"/>
      <c r="F116" s="796" t="s">
        <v>1051</v>
      </c>
      <c r="G116" s="813" t="s">
        <v>92</v>
      </c>
      <c r="H116" s="800" t="s">
        <v>1049</v>
      </c>
      <c r="I116" s="798">
        <v>282356.56</v>
      </c>
      <c r="J116" s="801">
        <f t="shared" si="2"/>
        <v>0</v>
      </c>
      <c r="K116" s="780" t="s">
        <v>827</v>
      </c>
    </row>
    <row r="117" s="780" customFormat="1" ht="20.1" customHeight="1" spans="1:12">
      <c r="A117" s="796" t="s">
        <v>1051</v>
      </c>
      <c r="B117" s="796" t="s">
        <v>94</v>
      </c>
      <c r="C117" s="797" t="s">
        <v>823</v>
      </c>
      <c r="D117" s="798">
        <v>7929.05</v>
      </c>
      <c r="E117" s="809"/>
      <c r="F117" s="796" t="s">
        <v>1051</v>
      </c>
      <c r="G117" s="813" t="s">
        <v>92</v>
      </c>
      <c r="H117" s="800" t="s">
        <v>1052</v>
      </c>
      <c r="I117" s="798">
        <v>7929.05</v>
      </c>
      <c r="J117" s="801">
        <f t="shared" si="2"/>
        <v>0</v>
      </c>
      <c r="K117" s="780" t="s">
        <v>1030</v>
      </c>
      <c r="L117" s="780" t="s">
        <v>773</v>
      </c>
    </row>
    <row r="118" s="780" customFormat="1" ht="20.1" customHeight="1" spans="1:12">
      <c r="A118" s="796" t="s">
        <v>1051</v>
      </c>
      <c r="B118" s="796" t="s">
        <v>1034</v>
      </c>
      <c r="C118" s="797" t="s">
        <v>786</v>
      </c>
      <c r="D118" s="798">
        <v>1286402.22</v>
      </c>
      <c r="E118" s="809" t="s">
        <v>491</v>
      </c>
      <c r="F118" s="796" t="s">
        <v>1051</v>
      </c>
      <c r="G118" s="813" t="s">
        <v>94</v>
      </c>
      <c r="H118" s="800" t="s">
        <v>1035</v>
      </c>
      <c r="I118" s="798">
        <v>1286402.22</v>
      </c>
      <c r="J118" s="801">
        <f t="shared" si="2"/>
        <v>0</v>
      </c>
      <c r="K118" s="780" t="s">
        <v>1030</v>
      </c>
      <c r="L118" s="780" t="s">
        <v>1031</v>
      </c>
    </row>
    <row r="119" s="780" customFormat="1" ht="20.1" customHeight="1" spans="1:12">
      <c r="A119" s="796" t="s">
        <v>1053</v>
      </c>
      <c r="B119" s="796" t="s">
        <v>92</v>
      </c>
      <c r="C119" s="797" t="s">
        <v>823</v>
      </c>
      <c r="D119" s="798">
        <v>520154.43</v>
      </c>
      <c r="E119" s="809"/>
      <c r="F119" s="796" t="s">
        <v>1051</v>
      </c>
      <c r="G119" s="813" t="s">
        <v>94</v>
      </c>
      <c r="H119" s="800" t="s">
        <v>1032</v>
      </c>
      <c r="I119" s="798">
        <v>520154.43</v>
      </c>
      <c r="J119" s="801">
        <f t="shared" si="2"/>
        <v>0</v>
      </c>
      <c r="K119" s="780" t="s">
        <v>1030</v>
      </c>
      <c r="L119" s="780" t="s">
        <v>773</v>
      </c>
    </row>
    <row r="120" s="780" customFormat="1" ht="20.1" customHeight="1" spans="1:12">
      <c r="A120" s="796" t="s">
        <v>1053</v>
      </c>
      <c r="B120" s="796" t="s">
        <v>92</v>
      </c>
      <c r="C120" s="797" t="s">
        <v>823</v>
      </c>
      <c r="D120" s="798">
        <v>372054.28</v>
      </c>
      <c r="E120" s="809"/>
      <c r="F120" s="796" t="s">
        <v>1051</v>
      </c>
      <c r="G120" s="813" t="s">
        <v>94</v>
      </c>
      <c r="H120" s="800" t="s">
        <v>1033</v>
      </c>
      <c r="I120" s="798">
        <v>372054.28</v>
      </c>
      <c r="J120" s="801">
        <f t="shared" si="2"/>
        <v>0</v>
      </c>
      <c r="K120" s="780" t="s">
        <v>1030</v>
      </c>
      <c r="L120" s="780" t="s">
        <v>773</v>
      </c>
    </row>
    <row r="121" s="780" customFormat="1" ht="20.1" customHeight="1" spans="1:12">
      <c r="A121" s="796" t="s">
        <v>1053</v>
      </c>
      <c r="B121" s="796" t="s">
        <v>92</v>
      </c>
      <c r="C121" s="797" t="s">
        <v>823</v>
      </c>
      <c r="D121" s="798">
        <v>1095505.19</v>
      </c>
      <c r="E121" s="809"/>
      <c r="F121" s="796" t="s">
        <v>1051</v>
      </c>
      <c r="G121" s="813" t="s">
        <v>94</v>
      </c>
      <c r="H121" s="800" t="s">
        <v>1043</v>
      </c>
      <c r="I121" s="798">
        <v>1095505.19</v>
      </c>
      <c r="J121" s="801">
        <f t="shared" si="2"/>
        <v>0</v>
      </c>
      <c r="K121" s="780" t="s">
        <v>1030</v>
      </c>
      <c r="L121" s="780" t="s">
        <v>773</v>
      </c>
    </row>
    <row r="122" s="780" customFormat="1" ht="20.1" customHeight="1" spans="1:12">
      <c r="A122" s="796" t="s">
        <v>1053</v>
      </c>
      <c r="B122" s="796" t="s">
        <v>92</v>
      </c>
      <c r="C122" s="797" t="s">
        <v>823</v>
      </c>
      <c r="D122" s="798">
        <v>21989.68</v>
      </c>
      <c r="E122" s="809"/>
      <c r="F122" s="796" t="s">
        <v>1051</v>
      </c>
      <c r="G122" s="813" t="s">
        <v>130</v>
      </c>
      <c r="H122" s="800" t="s">
        <v>1032</v>
      </c>
      <c r="I122" s="798">
        <v>21989.68</v>
      </c>
      <c r="J122" s="801">
        <f t="shared" si="2"/>
        <v>0</v>
      </c>
      <c r="K122" s="780" t="s">
        <v>1030</v>
      </c>
      <c r="L122" s="780" t="s">
        <v>773</v>
      </c>
    </row>
    <row r="123" s="780" customFormat="1" ht="20.1" customHeight="1" spans="1:12">
      <c r="A123" s="796" t="s">
        <v>1053</v>
      </c>
      <c r="B123" s="796" t="s">
        <v>92</v>
      </c>
      <c r="C123" s="797" t="s">
        <v>823</v>
      </c>
      <c r="D123" s="798">
        <v>30771.1</v>
      </c>
      <c r="E123" s="809"/>
      <c r="F123" s="796" t="s">
        <v>1053</v>
      </c>
      <c r="G123" s="813" t="s">
        <v>130</v>
      </c>
      <c r="H123" s="800" t="s">
        <v>1033</v>
      </c>
      <c r="I123" s="798">
        <v>30771.1</v>
      </c>
      <c r="J123" s="801">
        <f t="shared" si="2"/>
        <v>0</v>
      </c>
      <c r="K123" s="780" t="s">
        <v>1030</v>
      </c>
      <c r="L123" s="780" t="s">
        <v>773</v>
      </c>
    </row>
    <row r="124" s="780" customFormat="1" ht="20.1" customHeight="1" spans="1:12">
      <c r="A124" s="796" t="s">
        <v>1053</v>
      </c>
      <c r="B124" s="796" t="s">
        <v>92</v>
      </c>
      <c r="C124" s="797" t="s">
        <v>823</v>
      </c>
      <c r="D124" s="798">
        <v>45893.35</v>
      </c>
      <c r="E124" s="809" t="s">
        <v>491</v>
      </c>
      <c r="F124" s="796" t="s">
        <v>1053</v>
      </c>
      <c r="G124" s="813" t="s">
        <v>1034</v>
      </c>
      <c r="H124" s="800" t="s">
        <v>1032</v>
      </c>
      <c r="I124" s="798">
        <v>45893.35</v>
      </c>
      <c r="J124" s="801">
        <f t="shared" si="2"/>
        <v>0</v>
      </c>
      <c r="K124" s="780" t="s">
        <v>1030</v>
      </c>
      <c r="L124" s="780" t="s">
        <v>773</v>
      </c>
    </row>
    <row r="125" s="780" customFormat="1" ht="20.1" customHeight="1" spans="1:12">
      <c r="A125" s="796" t="s">
        <v>1053</v>
      </c>
      <c r="B125" s="796" t="s">
        <v>94</v>
      </c>
      <c r="C125" s="797" t="s">
        <v>786</v>
      </c>
      <c r="D125" s="798">
        <v>642491.73</v>
      </c>
      <c r="E125" s="809" t="s">
        <v>491</v>
      </c>
      <c r="F125" s="796" t="s">
        <v>1053</v>
      </c>
      <c r="G125" s="813" t="s">
        <v>92</v>
      </c>
      <c r="H125" s="800" t="s">
        <v>1029</v>
      </c>
      <c r="I125" s="798">
        <v>642491.73</v>
      </c>
      <c r="J125" s="801">
        <f t="shared" si="2"/>
        <v>0</v>
      </c>
      <c r="K125" s="780" t="s">
        <v>1030</v>
      </c>
      <c r="L125" s="780" t="s">
        <v>1031</v>
      </c>
    </row>
    <row r="126" s="780" customFormat="1" ht="20.1" customHeight="1" spans="1:12">
      <c r="A126" s="796" t="s">
        <v>1053</v>
      </c>
      <c r="B126" s="796" t="s">
        <v>94</v>
      </c>
      <c r="C126" s="797" t="s">
        <v>786</v>
      </c>
      <c r="D126" s="798">
        <v>247493.89</v>
      </c>
      <c r="E126" s="809"/>
      <c r="F126" s="796" t="s">
        <v>1053</v>
      </c>
      <c r="G126" s="813" t="s">
        <v>92</v>
      </c>
      <c r="H126" s="800" t="s">
        <v>1039</v>
      </c>
      <c r="I126" s="798">
        <v>247493.89</v>
      </c>
      <c r="J126" s="801">
        <f t="shared" si="2"/>
        <v>0</v>
      </c>
      <c r="K126" s="780" t="s">
        <v>1030</v>
      </c>
      <c r="L126" s="780" t="s">
        <v>1031</v>
      </c>
    </row>
    <row r="127" s="780" customFormat="1" ht="20.1" customHeight="1" spans="1:12">
      <c r="A127" s="796" t="s">
        <v>1053</v>
      </c>
      <c r="B127" s="796" t="s">
        <v>94</v>
      </c>
      <c r="C127" s="797" t="s">
        <v>786</v>
      </c>
      <c r="D127" s="798">
        <v>191319.9</v>
      </c>
      <c r="E127" s="809"/>
      <c r="F127" s="796" t="s">
        <v>1053</v>
      </c>
      <c r="G127" s="813" t="s">
        <v>92</v>
      </c>
      <c r="H127" s="800" t="s">
        <v>773</v>
      </c>
      <c r="I127" s="798">
        <v>191319.9</v>
      </c>
      <c r="J127" s="801">
        <f t="shared" si="2"/>
        <v>0</v>
      </c>
      <c r="K127" s="780" t="s">
        <v>1030</v>
      </c>
      <c r="L127" s="780" t="s">
        <v>1031</v>
      </c>
    </row>
    <row r="128" s="780" customFormat="1" ht="20.1" customHeight="1" spans="1:12">
      <c r="A128" s="796" t="s">
        <v>1053</v>
      </c>
      <c r="B128" s="796" t="s">
        <v>94</v>
      </c>
      <c r="C128" s="797" t="s">
        <v>823</v>
      </c>
      <c r="D128" s="798">
        <v>444599.8</v>
      </c>
      <c r="E128" s="809"/>
      <c r="F128" s="796" t="s">
        <v>1053</v>
      </c>
      <c r="G128" s="813" t="s">
        <v>92</v>
      </c>
      <c r="H128" s="800" t="s">
        <v>1054</v>
      </c>
      <c r="I128" s="798">
        <v>444599.8</v>
      </c>
      <c r="J128" s="801">
        <f t="shared" si="2"/>
        <v>0</v>
      </c>
      <c r="K128" s="780" t="s">
        <v>1030</v>
      </c>
      <c r="L128" s="780" t="s">
        <v>773</v>
      </c>
    </row>
    <row r="129" s="780" customFormat="1" ht="20.1" customHeight="1" spans="1:12">
      <c r="A129" s="796" t="s">
        <v>1053</v>
      </c>
      <c r="B129" s="796" t="s">
        <v>94</v>
      </c>
      <c r="C129" s="797" t="s">
        <v>823</v>
      </c>
      <c r="D129" s="798">
        <v>7805.31</v>
      </c>
      <c r="E129" s="809"/>
      <c r="F129" s="796" t="s">
        <v>1053</v>
      </c>
      <c r="G129" s="813" t="s">
        <v>1034</v>
      </c>
      <c r="H129" s="800" t="s">
        <v>1040</v>
      </c>
      <c r="I129" s="798">
        <v>7805.31</v>
      </c>
      <c r="J129" s="801">
        <f t="shared" si="2"/>
        <v>0</v>
      </c>
      <c r="K129" s="780" t="s">
        <v>1030</v>
      </c>
      <c r="L129" s="780" t="s">
        <v>773</v>
      </c>
    </row>
    <row r="130" s="780" customFormat="1" ht="20.1" customHeight="1" spans="1:12">
      <c r="A130" s="796" t="s">
        <v>1053</v>
      </c>
      <c r="B130" s="796" t="s">
        <v>1034</v>
      </c>
      <c r="C130" s="797" t="s">
        <v>786</v>
      </c>
      <c r="D130" s="798">
        <v>861247.7</v>
      </c>
      <c r="E130" s="809"/>
      <c r="F130" s="796" t="s">
        <v>1053</v>
      </c>
      <c r="G130" s="813" t="s">
        <v>94</v>
      </c>
      <c r="H130" s="800" t="s">
        <v>1035</v>
      </c>
      <c r="I130" s="798">
        <v>861247.7</v>
      </c>
      <c r="J130" s="801">
        <f t="shared" si="2"/>
        <v>0</v>
      </c>
      <c r="K130" s="780" t="s">
        <v>1030</v>
      </c>
      <c r="L130" s="780" t="s">
        <v>1031</v>
      </c>
    </row>
    <row r="131" s="780" customFormat="1" ht="20.1" customHeight="1" spans="1:12">
      <c r="A131" s="796" t="s">
        <v>1055</v>
      </c>
      <c r="B131" s="796" t="s">
        <v>92</v>
      </c>
      <c r="C131" s="797" t="s">
        <v>823</v>
      </c>
      <c r="D131" s="798">
        <v>372862.54</v>
      </c>
      <c r="E131" s="809"/>
      <c r="F131" s="796" t="s">
        <v>1055</v>
      </c>
      <c r="G131" s="813" t="s">
        <v>94</v>
      </c>
      <c r="H131" s="800" t="s">
        <v>1032</v>
      </c>
      <c r="I131" s="798">
        <v>372862.54</v>
      </c>
      <c r="J131" s="801">
        <f t="shared" si="2"/>
        <v>0</v>
      </c>
      <c r="K131" s="780" t="s">
        <v>1030</v>
      </c>
      <c r="L131" s="780" t="s">
        <v>773</v>
      </c>
    </row>
    <row r="132" s="780" customFormat="1" ht="20.1" customHeight="1" spans="1:12">
      <c r="A132" s="796" t="s">
        <v>1055</v>
      </c>
      <c r="B132" s="796" t="s">
        <v>92</v>
      </c>
      <c r="C132" s="797" t="s">
        <v>823</v>
      </c>
      <c r="D132" s="798">
        <v>372054.28</v>
      </c>
      <c r="E132" s="799" t="s">
        <v>491</v>
      </c>
      <c r="F132" s="796" t="s">
        <v>1055</v>
      </c>
      <c r="G132" s="796" t="s">
        <v>94</v>
      </c>
      <c r="H132" s="797" t="s">
        <v>1033</v>
      </c>
      <c r="I132" s="798">
        <v>372054.28</v>
      </c>
      <c r="J132" s="801">
        <f t="shared" si="2"/>
        <v>0</v>
      </c>
      <c r="K132" s="780" t="s">
        <v>1030</v>
      </c>
      <c r="L132" s="780" t="s">
        <v>773</v>
      </c>
    </row>
    <row r="133" s="780" customFormat="1" ht="20.1" customHeight="1" spans="1:12">
      <c r="A133" s="796" t="s">
        <v>1055</v>
      </c>
      <c r="B133" s="796" t="s">
        <v>92</v>
      </c>
      <c r="C133" s="797" t="s">
        <v>823</v>
      </c>
      <c r="D133" s="798">
        <v>15229.25</v>
      </c>
      <c r="E133" s="799"/>
      <c r="F133" s="796" t="s">
        <v>1055</v>
      </c>
      <c r="G133" s="796" t="s">
        <v>130</v>
      </c>
      <c r="H133" s="800" t="s">
        <v>1032</v>
      </c>
      <c r="I133" s="798">
        <v>15229.25</v>
      </c>
      <c r="J133" s="801">
        <f t="shared" si="2"/>
        <v>0</v>
      </c>
      <c r="K133" s="780" t="s">
        <v>1030</v>
      </c>
      <c r="L133" s="780" t="s">
        <v>773</v>
      </c>
    </row>
    <row r="134" s="780" customFormat="1" ht="20.1" customHeight="1" spans="1:12">
      <c r="A134" s="796" t="s">
        <v>1055</v>
      </c>
      <c r="B134" s="796" t="s">
        <v>92</v>
      </c>
      <c r="C134" s="797" t="s">
        <v>823</v>
      </c>
      <c r="D134" s="798">
        <v>30771.1</v>
      </c>
      <c r="E134" s="799"/>
      <c r="F134" s="796" t="s">
        <v>1055</v>
      </c>
      <c r="G134" s="796" t="s">
        <v>130</v>
      </c>
      <c r="H134" s="800" t="s">
        <v>1033</v>
      </c>
      <c r="I134" s="798">
        <v>30771.1</v>
      </c>
      <c r="J134" s="801">
        <f t="shared" si="2"/>
        <v>0</v>
      </c>
      <c r="K134" s="780" t="s">
        <v>1030</v>
      </c>
      <c r="L134" s="780" t="s">
        <v>773</v>
      </c>
    </row>
    <row r="135" s="780" customFormat="1" ht="20.1" customHeight="1" spans="1:12">
      <c r="A135" s="796" t="s">
        <v>1055</v>
      </c>
      <c r="B135" s="796" t="s">
        <v>92</v>
      </c>
      <c r="C135" s="797" t="s">
        <v>823</v>
      </c>
      <c r="D135" s="798">
        <v>28940.98</v>
      </c>
      <c r="E135" s="799"/>
      <c r="F135" s="796" t="s">
        <v>1055</v>
      </c>
      <c r="G135" s="796" t="s">
        <v>1034</v>
      </c>
      <c r="H135" s="800" t="s">
        <v>1032</v>
      </c>
      <c r="I135" s="798">
        <v>28940.98</v>
      </c>
      <c r="J135" s="801">
        <f t="shared" si="2"/>
        <v>0</v>
      </c>
      <c r="K135" s="780" t="s">
        <v>1030</v>
      </c>
      <c r="L135" s="780" t="s">
        <v>773</v>
      </c>
    </row>
    <row r="136" s="780" customFormat="1" ht="20.1" customHeight="1" spans="1:12">
      <c r="A136" s="796" t="s">
        <v>1055</v>
      </c>
      <c r="B136" s="796" t="s">
        <v>94</v>
      </c>
      <c r="C136" s="797" t="s">
        <v>786</v>
      </c>
      <c r="D136" s="798">
        <v>45152.2</v>
      </c>
      <c r="E136" s="799"/>
      <c r="F136" s="796" t="s">
        <v>1055</v>
      </c>
      <c r="G136" s="796" t="s">
        <v>130</v>
      </c>
      <c r="H136" s="800" t="s">
        <v>1029</v>
      </c>
      <c r="I136" s="798">
        <v>45152.2</v>
      </c>
      <c r="J136" s="801">
        <f t="shared" si="2"/>
        <v>0</v>
      </c>
      <c r="K136" s="780" t="s">
        <v>1030</v>
      </c>
      <c r="L136" s="780" t="s">
        <v>1031</v>
      </c>
    </row>
    <row r="137" s="780" customFormat="1" ht="20.1" customHeight="1" spans="1:12">
      <c r="A137" s="796" t="s">
        <v>1055</v>
      </c>
      <c r="B137" s="796" t="s">
        <v>94</v>
      </c>
      <c r="C137" s="797" t="s">
        <v>786</v>
      </c>
      <c r="D137" s="798">
        <v>92345.69</v>
      </c>
      <c r="E137" s="799"/>
      <c r="F137" s="796" t="s">
        <v>1055</v>
      </c>
      <c r="G137" s="796" t="s">
        <v>92</v>
      </c>
      <c r="H137" s="800" t="s">
        <v>1039</v>
      </c>
      <c r="I137" s="798">
        <v>92345.69</v>
      </c>
      <c r="J137" s="801">
        <f t="shared" si="2"/>
        <v>0</v>
      </c>
      <c r="K137" s="780" t="s">
        <v>1030</v>
      </c>
      <c r="L137" s="780" t="s">
        <v>1031</v>
      </c>
    </row>
    <row r="138" s="780" customFormat="1" ht="20.1" customHeight="1" spans="1:12">
      <c r="A138" s="796" t="s">
        <v>1055</v>
      </c>
      <c r="B138" s="796" t="s">
        <v>94</v>
      </c>
      <c r="C138" s="797" t="s">
        <v>786</v>
      </c>
      <c r="D138" s="798">
        <v>84911.5</v>
      </c>
      <c r="E138" s="799"/>
      <c r="F138" s="796" t="s">
        <v>1055</v>
      </c>
      <c r="G138" s="796" t="s">
        <v>92</v>
      </c>
      <c r="H138" s="800" t="s">
        <v>773</v>
      </c>
      <c r="I138" s="798">
        <v>84911.5</v>
      </c>
      <c r="J138" s="801">
        <f t="shared" si="2"/>
        <v>0</v>
      </c>
      <c r="K138" s="780" t="s">
        <v>1030</v>
      </c>
      <c r="L138" s="780" t="s">
        <v>1031</v>
      </c>
    </row>
    <row r="139" s="780" customFormat="1" ht="20.1" customHeight="1" spans="1:12">
      <c r="A139" s="796" t="s">
        <v>1055</v>
      </c>
      <c r="B139" s="796" t="s">
        <v>1034</v>
      </c>
      <c r="C139" s="797" t="s">
        <v>786</v>
      </c>
      <c r="D139" s="798">
        <v>757083.46</v>
      </c>
      <c r="E139" s="799"/>
      <c r="F139" s="796" t="s">
        <v>1055</v>
      </c>
      <c r="G139" s="796" t="s">
        <v>94</v>
      </c>
      <c r="H139" s="800" t="s">
        <v>1035</v>
      </c>
      <c r="I139" s="798">
        <v>757083.46</v>
      </c>
      <c r="J139" s="801">
        <f t="shared" si="2"/>
        <v>0</v>
      </c>
      <c r="K139" s="780" t="s">
        <v>1030</v>
      </c>
      <c r="L139" s="780" t="s">
        <v>1031</v>
      </c>
    </row>
    <row r="140" s="780" customFormat="1" ht="20.1" customHeight="1" spans="1:12">
      <c r="A140" s="796" t="s">
        <v>1056</v>
      </c>
      <c r="B140" s="796" t="s">
        <v>92</v>
      </c>
      <c r="C140" s="797" t="s">
        <v>823</v>
      </c>
      <c r="D140" s="798">
        <v>352289.76</v>
      </c>
      <c r="E140" s="799"/>
      <c r="F140" s="796" t="s">
        <v>1056</v>
      </c>
      <c r="G140" s="796" t="s">
        <v>94</v>
      </c>
      <c r="H140" s="800" t="s">
        <v>1032</v>
      </c>
      <c r="I140" s="798">
        <v>352289.76</v>
      </c>
      <c r="J140" s="801">
        <f t="shared" si="2"/>
        <v>0</v>
      </c>
      <c r="K140" s="780" t="s">
        <v>1030</v>
      </c>
      <c r="L140" s="780" t="s">
        <v>773</v>
      </c>
    </row>
    <row r="141" s="780" customFormat="1" ht="20.1" customHeight="1" spans="1:12">
      <c r="A141" s="796" t="s">
        <v>1056</v>
      </c>
      <c r="B141" s="796" t="s">
        <v>92</v>
      </c>
      <c r="C141" s="797" t="s">
        <v>823</v>
      </c>
      <c r="D141" s="798">
        <v>372054.28</v>
      </c>
      <c r="E141" s="799"/>
      <c r="F141" s="796" t="s">
        <v>1056</v>
      </c>
      <c r="G141" s="796" t="s">
        <v>94</v>
      </c>
      <c r="H141" s="800" t="s">
        <v>1033</v>
      </c>
      <c r="I141" s="798">
        <v>372054.28</v>
      </c>
      <c r="J141" s="801">
        <f t="shared" si="2"/>
        <v>0</v>
      </c>
      <c r="K141" s="780" t="s">
        <v>1030</v>
      </c>
      <c r="L141" s="780" t="s">
        <v>773</v>
      </c>
    </row>
    <row r="142" s="780" customFormat="1" ht="20.1" customHeight="1" spans="1:12">
      <c r="A142" s="796" t="s">
        <v>1056</v>
      </c>
      <c r="B142" s="796" t="s">
        <v>92</v>
      </c>
      <c r="C142" s="797" t="s">
        <v>823</v>
      </c>
      <c r="D142" s="798">
        <v>1290164.99</v>
      </c>
      <c r="E142" s="799"/>
      <c r="F142" s="796" t="s">
        <v>1056</v>
      </c>
      <c r="G142" s="796" t="s">
        <v>94</v>
      </c>
      <c r="H142" s="800" t="s">
        <v>1043</v>
      </c>
      <c r="I142" s="798">
        <v>1290164.99</v>
      </c>
      <c r="J142" s="801">
        <f t="shared" si="2"/>
        <v>0</v>
      </c>
      <c r="K142" s="780" t="s">
        <v>1030</v>
      </c>
      <c r="L142" s="780" t="s">
        <v>773</v>
      </c>
    </row>
    <row r="143" s="780" customFormat="1" ht="20.1" customHeight="1" spans="1:12">
      <c r="A143" s="796" t="s">
        <v>1056</v>
      </c>
      <c r="B143" s="796" t="s">
        <v>92</v>
      </c>
      <c r="C143" s="797" t="s">
        <v>823</v>
      </c>
      <c r="D143" s="798">
        <v>17047.3</v>
      </c>
      <c r="E143" s="799"/>
      <c r="F143" s="796" t="s">
        <v>1056</v>
      </c>
      <c r="G143" s="796" t="s">
        <v>130</v>
      </c>
      <c r="H143" s="800" t="s">
        <v>1032</v>
      </c>
      <c r="I143" s="798">
        <v>17047.3</v>
      </c>
      <c r="J143" s="801">
        <f t="shared" si="2"/>
        <v>0</v>
      </c>
      <c r="K143" s="780" t="s">
        <v>1030</v>
      </c>
      <c r="L143" s="780" t="s">
        <v>773</v>
      </c>
    </row>
    <row r="144" s="780" customFormat="1" ht="20.1" customHeight="1" spans="1:12">
      <c r="A144" s="796" t="s">
        <v>1056</v>
      </c>
      <c r="B144" s="796" t="s">
        <v>92</v>
      </c>
      <c r="C144" s="797" t="s">
        <v>823</v>
      </c>
      <c r="D144" s="798">
        <v>30771.1</v>
      </c>
      <c r="E144" s="799"/>
      <c r="F144" s="796" t="s">
        <v>1056</v>
      </c>
      <c r="G144" s="796" t="s">
        <v>130</v>
      </c>
      <c r="H144" s="800" t="s">
        <v>1033</v>
      </c>
      <c r="I144" s="798">
        <v>30771.1</v>
      </c>
      <c r="J144" s="801">
        <f t="shared" si="2"/>
        <v>0</v>
      </c>
      <c r="K144" s="780" t="s">
        <v>1030</v>
      </c>
      <c r="L144" s="780" t="s">
        <v>773</v>
      </c>
    </row>
    <row r="145" s="780" customFormat="1" ht="20.1" customHeight="1" spans="1:12">
      <c r="A145" s="796" t="s">
        <v>1056</v>
      </c>
      <c r="B145" s="796" t="s">
        <v>92</v>
      </c>
      <c r="C145" s="797" t="s">
        <v>823</v>
      </c>
      <c r="D145" s="798">
        <v>48056.43</v>
      </c>
      <c r="E145" s="799"/>
      <c r="F145" s="796" t="s">
        <v>1056</v>
      </c>
      <c r="G145" s="796" t="s">
        <v>1034</v>
      </c>
      <c r="H145" s="800" t="s">
        <v>1032</v>
      </c>
      <c r="I145" s="798">
        <v>48056.43</v>
      </c>
      <c r="J145" s="801">
        <f t="shared" si="2"/>
        <v>0</v>
      </c>
      <c r="K145" s="780" t="s">
        <v>1030</v>
      </c>
      <c r="L145" s="780" t="s">
        <v>773</v>
      </c>
    </row>
    <row r="146" s="780" customFormat="1" ht="20.1" customHeight="1" spans="1:12">
      <c r="A146" s="796" t="s">
        <v>1056</v>
      </c>
      <c r="B146" s="796" t="s">
        <v>94</v>
      </c>
      <c r="C146" s="797" t="s">
        <v>786</v>
      </c>
      <c r="D146" s="798">
        <v>911870.64</v>
      </c>
      <c r="E146" s="799"/>
      <c r="F146" s="796" t="s">
        <v>1056</v>
      </c>
      <c r="G146" s="796" t="s">
        <v>92</v>
      </c>
      <c r="H146" s="800" t="s">
        <v>1029</v>
      </c>
      <c r="I146" s="798">
        <v>911870.64</v>
      </c>
      <c r="J146" s="801">
        <f t="shared" si="2"/>
        <v>0</v>
      </c>
      <c r="K146" s="780" t="s">
        <v>1030</v>
      </c>
      <c r="L146" s="780" t="s">
        <v>1031</v>
      </c>
    </row>
    <row r="147" s="780" customFormat="1" ht="20.1" customHeight="1" spans="1:12">
      <c r="A147" s="796" t="s">
        <v>1056</v>
      </c>
      <c r="B147" s="796" t="s">
        <v>94</v>
      </c>
      <c r="C147" s="797" t="s">
        <v>786</v>
      </c>
      <c r="D147" s="798">
        <v>617918.67</v>
      </c>
      <c r="E147" s="799"/>
      <c r="F147" s="796" t="s">
        <v>1056</v>
      </c>
      <c r="G147" s="796" t="s">
        <v>92</v>
      </c>
      <c r="H147" s="800" t="s">
        <v>773</v>
      </c>
      <c r="I147" s="798">
        <v>617918.67</v>
      </c>
      <c r="J147" s="801">
        <f t="shared" si="2"/>
        <v>0</v>
      </c>
      <c r="K147" s="780" t="s">
        <v>1030</v>
      </c>
      <c r="L147" s="780" t="s">
        <v>1031</v>
      </c>
    </row>
    <row r="148" s="780" customFormat="1" ht="20.1" customHeight="1" spans="1:12">
      <c r="A148" s="796" t="s">
        <v>1056</v>
      </c>
      <c r="B148" s="796" t="s">
        <v>94</v>
      </c>
      <c r="C148" s="797" t="s">
        <v>786</v>
      </c>
      <c r="D148" s="798">
        <v>32808.32</v>
      </c>
      <c r="E148" s="799"/>
      <c r="F148" s="796" t="s">
        <v>1056</v>
      </c>
      <c r="G148" s="796" t="s">
        <v>130</v>
      </c>
      <c r="H148" s="800" t="s">
        <v>1029</v>
      </c>
      <c r="I148" s="798">
        <v>32808.32</v>
      </c>
      <c r="J148" s="801">
        <f t="shared" si="2"/>
        <v>0</v>
      </c>
      <c r="K148" s="780" t="s">
        <v>1030</v>
      </c>
      <c r="L148" s="780" t="s">
        <v>1031</v>
      </c>
    </row>
    <row r="149" s="780" customFormat="1" ht="20.1" customHeight="1" spans="1:12">
      <c r="A149" s="796" t="s">
        <v>1056</v>
      </c>
      <c r="B149" s="796" t="s">
        <v>94</v>
      </c>
      <c r="C149" s="797" t="s">
        <v>823</v>
      </c>
      <c r="D149" s="798">
        <v>430289.5</v>
      </c>
      <c r="E149" s="799"/>
      <c r="F149" s="796" t="s">
        <v>1056</v>
      </c>
      <c r="G149" s="796" t="s">
        <v>92</v>
      </c>
      <c r="H149" s="800" t="s">
        <v>1049</v>
      </c>
      <c r="I149" s="798">
        <v>430289.5</v>
      </c>
      <c r="J149" s="801">
        <f t="shared" si="2"/>
        <v>0</v>
      </c>
      <c r="K149" s="780" t="s">
        <v>827</v>
      </c>
    </row>
    <row r="150" s="780" customFormat="1" ht="20.1" customHeight="1" spans="1:12">
      <c r="A150" s="796" t="s">
        <v>1056</v>
      </c>
      <c r="B150" s="796" t="s">
        <v>94</v>
      </c>
      <c r="C150" s="797" t="s">
        <v>823</v>
      </c>
      <c r="D150" s="798">
        <v>3185.84</v>
      </c>
      <c r="E150" s="799"/>
      <c r="F150" s="796" t="s">
        <v>1056</v>
      </c>
      <c r="G150" s="796" t="s">
        <v>1034</v>
      </c>
      <c r="H150" s="800" t="s">
        <v>1040</v>
      </c>
      <c r="I150" s="798">
        <v>3185.84</v>
      </c>
      <c r="J150" s="801">
        <f t="shared" si="2"/>
        <v>0</v>
      </c>
      <c r="K150" s="780" t="s">
        <v>1030</v>
      </c>
      <c r="L150" s="780" t="s">
        <v>773</v>
      </c>
    </row>
    <row r="151" s="780" customFormat="1" ht="20.1" customHeight="1" spans="1:12">
      <c r="A151" s="796" t="s">
        <v>1056</v>
      </c>
      <c r="B151" s="796" t="s">
        <v>1034</v>
      </c>
      <c r="C151" s="797" t="s">
        <v>786</v>
      </c>
      <c r="D151" s="798">
        <v>861756.23</v>
      </c>
      <c r="E151" s="799"/>
      <c r="F151" s="796" t="s">
        <v>1056</v>
      </c>
      <c r="G151" s="796" t="s">
        <v>94</v>
      </c>
      <c r="H151" s="800" t="s">
        <v>1035</v>
      </c>
      <c r="I151" s="798">
        <v>861756.23</v>
      </c>
      <c r="J151" s="801">
        <f t="shared" si="2"/>
        <v>0</v>
      </c>
      <c r="K151" s="780" t="s">
        <v>1030</v>
      </c>
      <c r="L151" s="780" t="s">
        <v>1031</v>
      </c>
    </row>
    <row r="152" s="780" customFormat="1" ht="20.1" customHeight="1" spans="1:12">
      <c r="A152" s="796"/>
      <c r="B152" s="796"/>
      <c r="C152" s="797"/>
      <c r="D152" s="798"/>
      <c r="E152" s="799"/>
      <c r="F152" s="796"/>
      <c r="G152" s="796"/>
      <c r="H152" s="800"/>
      <c r="I152" s="798"/>
      <c r="J152" s="801">
        <f t="shared" si="2"/>
        <v>0</v>
      </c>
    </row>
    <row r="153" s="780" customFormat="1" ht="20.1" customHeight="1" spans="1:12">
      <c r="A153" s="796"/>
      <c r="B153" s="796"/>
      <c r="C153" s="797"/>
      <c r="D153" s="798"/>
      <c r="E153" s="799"/>
      <c r="F153" s="796"/>
      <c r="G153" s="796"/>
      <c r="H153" s="800"/>
      <c r="I153" s="798"/>
      <c r="J153" s="801">
        <f t="shared" si="2"/>
        <v>0</v>
      </c>
    </row>
    <row r="154" s="780" customFormat="1" ht="20.1" customHeight="1" spans="1:12">
      <c r="A154" s="796"/>
      <c r="B154" s="796"/>
      <c r="C154" s="797"/>
      <c r="D154" s="798"/>
      <c r="E154" s="799"/>
      <c r="F154" s="796"/>
      <c r="G154" s="796"/>
      <c r="H154" s="800"/>
      <c r="I154" s="798"/>
      <c r="J154" s="801">
        <f t="shared" si="2"/>
        <v>0</v>
      </c>
    </row>
    <row r="155" s="780" customFormat="1" ht="20.1" customHeight="1" spans="1:12">
      <c r="A155" s="796"/>
      <c r="B155" s="796"/>
      <c r="C155" s="797"/>
      <c r="D155" s="798"/>
      <c r="E155" s="799"/>
      <c r="F155" s="796"/>
      <c r="G155" s="796"/>
      <c r="H155" s="800"/>
      <c r="I155" s="798"/>
      <c r="J155" s="801">
        <f t="shared" si="2"/>
        <v>0</v>
      </c>
    </row>
    <row r="156" s="780" customFormat="1" ht="20.1" customHeight="1" spans="1:12">
      <c r="A156" s="796"/>
      <c r="B156" s="796"/>
      <c r="C156" s="797"/>
      <c r="D156" s="798"/>
      <c r="E156" s="799"/>
      <c r="F156" s="796"/>
      <c r="G156" s="796"/>
      <c r="H156" s="800"/>
      <c r="I156" s="798"/>
      <c r="J156" s="801">
        <f t="shared" si="2"/>
        <v>0</v>
      </c>
    </row>
    <row r="157" s="780" customFormat="1" ht="20.1" customHeight="1" spans="1:12">
      <c r="A157" s="796"/>
      <c r="B157" s="796"/>
      <c r="C157" s="797"/>
      <c r="D157" s="798"/>
      <c r="E157" s="799"/>
      <c r="F157" s="796"/>
      <c r="G157" s="796"/>
      <c r="H157" s="800"/>
      <c r="I157" s="798"/>
      <c r="J157" s="801">
        <f t="shared" ref="J157:J180" si="3">I157-D157</f>
        <v>0</v>
      </c>
    </row>
    <row r="158" s="780" customFormat="1" ht="20.1" customHeight="1" spans="1:12">
      <c r="A158" s="796"/>
      <c r="B158" s="796"/>
      <c r="C158" s="797"/>
      <c r="D158" s="798"/>
      <c r="E158" s="799"/>
      <c r="F158" s="796"/>
      <c r="G158" s="796"/>
      <c r="H158" s="800"/>
      <c r="I158" s="798"/>
      <c r="J158" s="801">
        <f t="shared" si="3"/>
        <v>0</v>
      </c>
    </row>
    <row r="159" s="780" customFormat="1" ht="20.1" customHeight="1" spans="1:12">
      <c r="A159" s="796"/>
      <c r="B159" s="796"/>
      <c r="C159" s="797"/>
      <c r="D159" s="798"/>
      <c r="E159" s="799"/>
      <c r="F159" s="796"/>
      <c r="G159" s="796"/>
      <c r="H159" s="800"/>
      <c r="I159" s="798"/>
      <c r="J159" s="801">
        <f t="shared" si="3"/>
        <v>0</v>
      </c>
    </row>
    <row r="160" s="780" customFormat="1" ht="20.1" customHeight="1" spans="1:12">
      <c r="A160" s="796"/>
      <c r="B160" s="796"/>
      <c r="C160" s="797"/>
      <c r="D160" s="798"/>
      <c r="E160" s="799"/>
      <c r="F160" s="796"/>
      <c r="G160" s="796"/>
      <c r="H160" s="800"/>
      <c r="I160" s="798"/>
      <c r="J160" s="801">
        <f t="shared" si="3"/>
        <v>0</v>
      </c>
    </row>
    <row r="161" s="780" customFormat="1" ht="20.1" customHeight="1" spans="1:12">
      <c r="A161" s="796"/>
      <c r="B161" s="796"/>
      <c r="C161" s="797"/>
      <c r="D161" s="798"/>
      <c r="E161" s="799"/>
      <c r="F161" s="796"/>
      <c r="G161" s="796"/>
      <c r="H161" s="800"/>
      <c r="I161" s="798"/>
      <c r="J161" s="801">
        <f t="shared" si="3"/>
        <v>0</v>
      </c>
    </row>
    <row r="162" s="780" customFormat="1" ht="20.1" customHeight="1" spans="1:12">
      <c r="A162" s="796"/>
      <c r="B162" s="796"/>
      <c r="C162" s="797"/>
      <c r="D162" s="798"/>
      <c r="E162" s="799"/>
      <c r="F162" s="796"/>
      <c r="G162" s="796"/>
      <c r="H162" s="800"/>
      <c r="I162" s="798"/>
      <c r="J162" s="801">
        <f t="shared" si="3"/>
        <v>0</v>
      </c>
    </row>
    <row r="163" s="780" customFormat="1" ht="20.1" customHeight="1" spans="1:12">
      <c r="A163" s="796"/>
      <c r="B163" s="796"/>
      <c r="C163" s="797"/>
      <c r="D163" s="798"/>
      <c r="E163" s="799"/>
      <c r="F163" s="796"/>
      <c r="G163" s="796"/>
      <c r="H163" s="800"/>
      <c r="I163" s="798"/>
      <c r="J163" s="801">
        <f t="shared" si="3"/>
        <v>0</v>
      </c>
    </row>
    <row r="164" s="780" customFormat="1" ht="20.1" customHeight="1" spans="1:12">
      <c r="A164" s="796"/>
      <c r="B164" s="796"/>
      <c r="C164" s="797"/>
      <c r="D164" s="798"/>
      <c r="E164" s="799"/>
      <c r="F164" s="796"/>
      <c r="G164" s="796"/>
      <c r="H164" s="800"/>
      <c r="I164" s="798"/>
      <c r="J164" s="801">
        <f t="shared" si="3"/>
        <v>0</v>
      </c>
    </row>
    <row r="165" s="780" customFormat="1" ht="20.1" customHeight="1" spans="1:12">
      <c r="A165" s="796"/>
      <c r="B165" s="796"/>
      <c r="C165" s="797"/>
      <c r="D165" s="798"/>
      <c r="E165" s="799"/>
      <c r="F165" s="796"/>
      <c r="G165" s="796"/>
      <c r="H165" s="800"/>
      <c r="I165" s="798"/>
      <c r="J165" s="801">
        <f t="shared" si="3"/>
        <v>0</v>
      </c>
    </row>
    <row r="166" s="780" customFormat="1" ht="20.1" customHeight="1" spans="1:12">
      <c r="A166" s="796"/>
      <c r="B166" s="796"/>
      <c r="C166" s="797"/>
      <c r="D166" s="798"/>
      <c r="E166" s="799"/>
      <c r="F166" s="796"/>
      <c r="G166" s="796"/>
      <c r="H166" s="800"/>
      <c r="I166" s="798"/>
      <c r="J166" s="801">
        <f t="shared" si="3"/>
        <v>0</v>
      </c>
    </row>
    <row r="167" s="780" customFormat="1" ht="20.1" customHeight="1" spans="1:12">
      <c r="A167" s="796"/>
      <c r="B167" s="796"/>
      <c r="C167" s="797"/>
      <c r="D167" s="798"/>
      <c r="E167" s="799"/>
      <c r="F167" s="796"/>
      <c r="G167" s="796"/>
      <c r="H167" s="800"/>
      <c r="I167" s="798"/>
      <c r="J167" s="801">
        <f t="shared" si="3"/>
        <v>0</v>
      </c>
    </row>
    <row r="168" s="780" customFormat="1" ht="20.1" customHeight="1" spans="1:12">
      <c r="A168" s="796"/>
      <c r="B168" s="796"/>
      <c r="C168" s="797"/>
      <c r="D168" s="798"/>
      <c r="E168" s="799"/>
      <c r="F168" s="796"/>
      <c r="G168" s="796"/>
      <c r="H168" s="815"/>
      <c r="I168" s="815"/>
      <c r="J168" s="801">
        <f t="shared" si="3"/>
        <v>0</v>
      </c>
    </row>
    <row r="169" s="780" customFormat="1" ht="20.1" customHeight="1" spans="1:12">
      <c r="A169" s="796"/>
      <c r="B169" s="796"/>
      <c r="C169" s="797"/>
      <c r="D169" s="798"/>
      <c r="E169" s="799"/>
      <c r="F169" s="796"/>
      <c r="G169" s="796"/>
      <c r="H169" s="800"/>
      <c r="I169" s="798"/>
      <c r="J169" s="801">
        <f t="shared" si="3"/>
        <v>0</v>
      </c>
    </row>
    <row r="170" s="780" customFormat="1" ht="20.1" customHeight="1" spans="1:12">
      <c r="A170" s="796"/>
      <c r="B170" s="796"/>
      <c r="C170" s="797"/>
      <c r="D170" s="798"/>
      <c r="E170" s="799"/>
      <c r="F170" s="796"/>
      <c r="G170" s="796"/>
      <c r="H170" s="800"/>
      <c r="I170" s="798"/>
      <c r="J170" s="801">
        <f t="shared" si="3"/>
        <v>0</v>
      </c>
    </row>
    <row r="171" s="780" customFormat="1" ht="20.1" customHeight="1" spans="1:12">
      <c r="A171" s="796"/>
      <c r="B171" s="796"/>
      <c r="C171" s="797"/>
      <c r="D171" s="798"/>
      <c r="E171" s="799"/>
      <c r="F171" s="796"/>
      <c r="G171" s="796"/>
      <c r="H171" s="800"/>
      <c r="I171" s="798"/>
      <c r="J171" s="801">
        <f t="shared" si="3"/>
        <v>0</v>
      </c>
    </row>
    <row r="172" s="780" customFormat="1" ht="20.1" customHeight="1" spans="1:12">
      <c r="A172" s="796"/>
      <c r="B172" s="796"/>
      <c r="C172" s="797"/>
      <c r="D172" s="798"/>
      <c r="E172" s="799"/>
      <c r="F172" s="796"/>
      <c r="G172" s="796"/>
      <c r="H172" s="800"/>
      <c r="I172" s="798"/>
      <c r="J172" s="801">
        <f t="shared" si="3"/>
        <v>0</v>
      </c>
    </row>
    <row r="173" s="780" customFormat="1" ht="20.1" customHeight="1" spans="1:12">
      <c r="A173" s="796"/>
      <c r="B173" s="796"/>
      <c r="C173" s="797"/>
      <c r="D173" s="798"/>
      <c r="E173" s="799"/>
      <c r="F173" s="796"/>
      <c r="G173" s="796"/>
      <c r="H173" s="800"/>
      <c r="I173" s="798"/>
      <c r="J173" s="801">
        <f t="shared" si="3"/>
        <v>0</v>
      </c>
    </row>
    <row r="174" ht="12.95" customHeight="1" spans="1:12">
      <c r="A174" s="796"/>
      <c r="B174" s="796"/>
      <c r="C174" s="797"/>
      <c r="D174" s="798"/>
      <c r="E174" s="799"/>
      <c r="F174" s="796"/>
      <c r="G174" s="796"/>
      <c r="H174" s="800"/>
      <c r="I174" s="798"/>
      <c r="J174" s="801">
        <f t="shared" si="3"/>
        <v>0</v>
      </c>
      <c r="K174" s="780"/>
      <c r="L174" s="780"/>
    </row>
    <row r="175" ht="12.95" customHeight="1" spans="1:12">
      <c r="A175" s="796"/>
      <c r="B175" s="796"/>
      <c r="C175" s="797"/>
      <c r="D175" s="798"/>
      <c r="E175" s="799"/>
      <c r="F175" s="796"/>
      <c r="G175" s="796"/>
      <c r="H175" s="800"/>
      <c r="I175" s="798"/>
      <c r="J175" s="801">
        <f t="shared" si="3"/>
        <v>0</v>
      </c>
      <c r="K175" s="780"/>
      <c r="L175" s="780"/>
    </row>
    <row r="176" ht="12.95" customHeight="1" spans="1:12">
      <c r="A176" s="796"/>
      <c r="B176" s="796"/>
      <c r="C176" s="797"/>
      <c r="D176" s="798"/>
      <c r="E176" s="799"/>
      <c r="F176" s="796"/>
      <c r="G176" s="796"/>
      <c r="H176" s="800"/>
      <c r="I176" s="798"/>
      <c r="J176" s="801">
        <f t="shared" si="3"/>
        <v>0</v>
      </c>
      <c r="K176" s="780"/>
      <c r="L176" s="780"/>
    </row>
    <row r="177" ht="12.95" customHeight="1" spans="1:12">
      <c r="A177" s="796"/>
      <c r="B177" s="796"/>
      <c r="C177" s="797"/>
      <c r="D177" s="798"/>
      <c r="E177" s="799"/>
      <c r="F177" s="796"/>
      <c r="G177" s="796"/>
      <c r="H177" s="800"/>
      <c r="I177" s="798"/>
      <c r="J177" s="801">
        <f t="shared" si="3"/>
        <v>0</v>
      </c>
      <c r="K177" s="780"/>
      <c r="L177" s="780"/>
    </row>
    <row r="178" ht="12.95" customHeight="1" spans="1:12">
      <c r="A178" s="796"/>
      <c r="B178" s="796"/>
      <c r="C178" s="797"/>
      <c r="D178" s="798"/>
      <c r="E178" s="799"/>
      <c r="F178" s="796"/>
      <c r="G178" s="796"/>
      <c r="H178" s="800"/>
      <c r="I178" s="798"/>
      <c r="J178" s="801">
        <f t="shared" si="3"/>
        <v>0</v>
      </c>
      <c r="K178" s="780"/>
      <c r="L178" s="780"/>
    </row>
    <row r="179" ht="12.95" customHeight="1" spans="1:12">
      <c r="A179" s="796"/>
      <c r="B179" s="796"/>
      <c r="C179" s="797"/>
      <c r="D179" s="798"/>
      <c r="E179" s="799"/>
      <c r="F179" s="796"/>
      <c r="G179" s="796"/>
      <c r="H179" s="800"/>
      <c r="I179" s="798"/>
      <c r="J179" s="801">
        <f t="shared" si="3"/>
        <v>0</v>
      </c>
      <c r="K179" s="780"/>
      <c r="L179" s="780"/>
    </row>
    <row r="180" ht="12.95" customHeight="1" spans="1:12">
      <c r="A180" s="796"/>
      <c r="B180" s="796"/>
      <c r="C180" s="797"/>
      <c r="D180" s="798"/>
      <c r="E180" s="799"/>
      <c r="F180" s="796"/>
      <c r="G180" s="796"/>
      <c r="H180" s="800"/>
      <c r="I180" s="798"/>
      <c r="J180" s="801">
        <f t="shared" si="3"/>
        <v>0</v>
      </c>
      <c r="K180" s="780"/>
      <c r="L180" s="780"/>
    </row>
    <row r="181" ht="12.95" hidden="1" customHeight="1" spans="1:12">
      <c r="K181" s="787"/>
    </row>
    <row r="182" ht="12.95" hidden="1" customHeight="1" spans="1:12">
      <c r="K182" s="787"/>
    </row>
    <row r="183" ht="12.95" hidden="1" customHeight="1"/>
    <row r="184" ht="12.95" hidden="1" customHeight="1" spans="1:12">
      <c r="H184" s="789"/>
    </row>
    <row r="185" ht="12.95" hidden="1" customHeight="1"/>
    <row r="186" ht="12.95" hidden="1" customHeight="1"/>
    <row r="187" ht="12.95" hidden="1" customHeight="1"/>
    <row r="188" ht="12.95" hidden="1" customHeight="1"/>
    <row r="189" ht="12.95" hidden="1" customHeight="1"/>
    <row r="190" ht="12.95" hidden="1" customHeight="1"/>
    <row r="191" ht="12.95" hidden="1" customHeight="1"/>
    <row r="193" ht="14.25" spans="2:24">
      <c r="M193" s="816"/>
      <c r="N193" s="816"/>
      <c r="O193" s="816"/>
      <c r="P193" s="816"/>
      <c r="Q193" s="816"/>
      <c r="R193" s="816"/>
      <c r="S193" s="816"/>
      <c r="T193" s="816"/>
      <c r="U193" s="816"/>
      <c r="V193" s="816"/>
      <c r="W193" s="816"/>
      <c r="X193" s="816"/>
    </row>
    <row r="194" ht="14.25" spans="2:24">
      <c r="M194" s="816"/>
      <c r="N194" s="816"/>
      <c r="O194" s="816"/>
      <c r="P194" s="816"/>
      <c r="Q194" s="816"/>
      <c r="R194" s="816"/>
      <c r="S194" s="816"/>
      <c r="T194" s="816"/>
      <c r="U194" s="816"/>
      <c r="V194" s="816"/>
      <c r="W194" s="816"/>
      <c r="X194" s="816"/>
    </row>
    <row r="195" ht="14.25" spans="2:24">
      <c r="L195" s="817"/>
      <c r="M195" s="818"/>
      <c r="N195" s="816"/>
      <c r="O195" s="816"/>
      <c r="P195" s="816"/>
      <c r="Q195" s="816"/>
      <c r="R195" s="816"/>
      <c r="S195" s="816"/>
      <c r="T195" s="816"/>
      <c r="U195" s="816"/>
      <c r="V195" s="816"/>
      <c r="W195" s="816"/>
      <c r="X195" s="816"/>
    </row>
    <row r="196" ht="14.25" spans="2:24">
      <c r="M196" s="816"/>
      <c r="N196" s="816"/>
      <c r="O196" s="816"/>
      <c r="P196" s="816"/>
      <c r="Q196" s="816"/>
      <c r="R196" s="816"/>
      <c r="S196" s="816"/>
      <c r="T196" s="816"/>
      <c r="U196" s="816"/>
      <c r="V196" s="816"/>
      <c r="W196" s="816"/>
      <c r="X196" s="816"/>
    </row>
    <row r="197" ht="14.25" spans="2:24">
      <c r="M197" s="816"/>
      <c r="N197" s="819"/>
      <c r="O197" s="816"/>
      <c r="P197" s="816"/>
      <c r="Q197" s="816"/>
      <c r="R197" s="816"/>
      <c r="S197" s="816"/>
      <c r="T197" s="816"/>
      <c r="U197" s="816"/>
      <c r="V197" s="816"/>
      <c r="W197" s="816"/>
      <c r="X197" s="816"/>
    </row>
    <row r="198" ht="14.25" spans="2:24">
      <c r="M198" s="816"/>
      <c r="N198" s="816"/>
      <c r="O198" s="816"/>
      <c r="P198" s="816"/>
      <c r="Q198" s="816"/>
      <c r="R198" s="816"/>
      <c r="S198" s="816"/>
      <c r="T198" s="816"/>
      <c r="U198" s="816"/>
      <c r="V198" s="816"/>
      <c r="W198" s="816"/>
      <c r="X198" s="816"/>
    </row>
    <row r="199" ht="14.25" spans="2:24">
      <c r="M199" s="816"/>
      <c r="N199" s="816"/>
      <c r="O199" s="816"/>
      <c r="P199" s="816"/>
      <c r="Q199" s="816"/>
      <c r="R199" s="816"/>
      <c r="S199" s="816"/>
      <c r="T199" s="816"/>
      <c r="U199" s="816"/>
      <c r="V199" s="816"/>
      <c r="W199" s="816"/>
      <c r="X199" s="816"/>
    </row>
    <row r="200" ht="14.25" spans="2:24">
      <c r="B200" s="820" t="s">
        <v>1057</v>
      </c>
      <c r="C200" s="820" t="s">
        <v>1023</v>
      </c>
      <c r="D200" s="820" t="s">
        <v>1027</v>
      </c>
      <c r="E200" s="820"/>
      <c r="F200" s="820"/>
      <c r="G200" s="820"/>
      <c r="H200" s="820"/>
      <c r="I200" s="820"/>
      <c r="J200" s="820"/>
      <c r="K200" s="820"/>
      <c r="L200" s="820"/>
      <c r="M200" s="820"/>
      <c r="N200"/>
      <c r="O200"/>
      <c r="P200"/>
      <c r="Q200" s="820"/>
      <c r="R200" s="820"/>
      <c r="S200" s="820"/>
    </row>
    <row r="201" ht="14.25" spans="2:24">
      <c r="B201" s="820"/>
      <c r="C201" s="820" t="s">
        <v>823</v>
      </c>
      <c r="D201" s="820"/>
      <c r="E201" s="820"/>
      <c r="F201" s="820" t="s">
        <v>1058</v>
      </c>
      <c r="G201" s="820" t="s">
        <v>786</v>
      </c>
      <c r="H201" s="820" t="s">
        <v>1059</v>
      </c>
      <c r="I201" s="820" t="s">
        <v>1060</v>
      </c>
      <c r="J201" s="820" t="s">
        <v>1061</v>
      </c>
      <c r="K201" s="820" t="s">
        <v>828</v>
      </c>
      <c r="L201" s="820" t="s">
        <v>1062</v>
      </c>
      <c r="M201" s="820" t="s">
        <v>1063</v>
      </c>
      <c r="N201"/>
      <c r="O201"/>
      <c r="P201"/>
      <c r="Q201" s="820"/>
      <c r="R201" s="820"/>
      <c r="S201" s="820"/>
    </row>
    <row r="202" ht="14.25" spans="2:24">
      <c r="B202" s="820" t="s">
        <v>1022</v>
      </c>
      <c r="C202" s="820" t="s">
        <v>1030</v>
      </c>
      <c r="D202" s="820" t="s">
        <v>826</v>
      </c>
      <c r="E202" s="820" t="s">
        <v>827</v>
      </c>
      <c r="F202" s="820"/>
      <c r="G202" s="820" t="s">
        <v>1030</v>
      </c>
      <c r="H202" s="820"/>
      <c r="I202" s="820" t="s">
        <v>1060</v>
      </c>
      <c r="J202" s="820"/>
      <c r="K202" s="820" t="s">
        <v>828</v>
      </c>
      <c r="L202" s="820"/>
      <c r="M202" s="820"/>
      <c r="N202"/>
      <c r="O202"/>
      <c r="P202"/>
      <c r="Q202" s="820"/>
      <c r="R202" s="820"/>
      <c r="S202" s="820"/>
    </row>
    <row r="203" ht="14.25" spans="2:24">
      <c r="B203" s="820" t="s">
        <v>130</v>
      </c>
      <c r="C203" s="821"/>
      <c r="D203" s="821"/>
      <c r="E203" s="821"/>
      <c r="F203" s="821"/>
      <c r="G203" s="821">
        <v>146017.68</v>
      </c>
      <c r="H203" s="821">
        <v>146017.68</v>
      </c>
      <c r="I203" s="821"/>
      <c r="J203" s="821"/>
      <c r="K203" s="821"/>
      <c r="L203" s="821"/>
      <c r="M203" s="821">
        <v>146017.68</v>
      </c>
      <c r="N203"/>
      <c r="O203"/>
      <c r="P203"/>
      <c r="Q203" s="820"/>
      <c r="R203" s="820"/>
      <c r="S203" s="820"/>
    </row>
    <row r="204" ht="14.25" spans="2:24">
      <c r="B204" s="820" t="s">
        <v>92</v>
      </c>
      <c r="C204" s="821">
        <v>14856222.72</v>
      </c>
      <c r="D204" s="821"/>
      <c r="E204" s="821"/>
      <c r="F204" s="821">
        <v>14856222.72</v>
      </c>
      <c r="G204" s="821">
        <v>844495.57</v>
      </c>
      <c r="H204" s="821">
        <v>844495.57</v>
      </c>
      <c r="I204" s="821"/>
      <c r="J204" s="821"/>
      <c r="K204" s="821">
        <v>1266.67</v>
      </c>
      <c r="L204" s="821">
        <v>1266.67</v>
      </c>
      <c r="M204" s="821">
        <v>15701984.96</v>
      </c>
      <c r="N204"/>
      <c r="O204"/>
      <c r="P204"/>
      <c r="Q204" s="820"/>
      <c r="R204" s="820"/>
      <c r="S204" s="820"/>
    </row>
    <row r="205" ht="14.25" spans="2:24">
      <c r="B205" s="820" t="s">
        <v>94</v>
      </c>
      <c r="C205" s="821">
        <v>982085.56</v>
      </c>
      <c r="D205" s="821"/>
      <c r="E205" s="821">
        <v>851155.08</v>
      </c>
      <c r="F205" s="821">
        <v>1833240.64</v>
      </c>
      <c r="G205" s="821">
        <v>18779317.52</v>
      </c>
      <c r="H205" s="821">
        <v>18779317.52</v>
      </c>
      <c r="I205" s="821"/>
      <c r="J205" s="821"/>
      <c r="K205" s="821"/>
      <c r="L205" s="821"/>
      <c r="M205" s="821">
        <v>20612558.16</v>
      </c>
      <c r="N205"/>
      <c r="O205"/>
      <c r="P205"/>
      <c r="Q205" s="820"/>
      <c r="R205" s="820"/>
      <c r="S205" s="820"/>
    </row>
    <row r="206" ht="14.25" spans="2:24">
      <c r="B206" s="820" t="s">
        <v>1060</v>
      </c>
      <c r="C206" s="821"/>
      <c r="D206" s="821"/>
      <c r="E206" s="821"/>
      <c r="F206" s="821"/>
      <c r="G206" s="821"/>
      <c r="H206" s="821"/>
      <c r="I206" s="821"/>
      <c r="J206" s="821"/>
      <c r="K206" s="821"/>
      <c r="L206" s="821"/>
      <c r="M206" s="821"/>
      <c r="N206"/>
      <c r="O206"/>
      <c r="P206"/>
      <c r="Q206" s="820"/>
      <c r="R206" s="820"/>
      <c r="S206" s="820"/>
    </row>
    <row r="207" ht="14.25" spans="2:24">
      <c r="B207" s="820" t="s">
        <v>1034</v>
      </c>
      <c r="C207" s="821"/>
      <c r="D207" s="821">
        <v>201064.85</v>
      </c>
      <c r="E207" s="821"/>
      <c r="F207" s="821">
        <v>201064.85</v>
      </c>
      <c r="G207" s="821">
        <v>8254205.39</v>
      </c>
      <c r="H207" s="821">
        <v>8254205.39</v>
      </c>
      <c r="I207" s="821"/>
      <c r="J207" s="821"/>
      <c r="K207" s="821"/>
      <c r="L207" s="821"/>
      <c r="M207" s="821">
        <v>8455270.24</v>
      </c>
      <c r="N207"/>
      <c r="O207"/>
      <c r="P207"/>
      <c r="Q207" s="820"/>
      <c r="R207" s="820"/>
      <c r="S207" s="820"/>
    </row>
    <row r="208" ht="14.25" spans="2:24">
      <c r="B208" s="820" t="s">
        <v>1063</v>
      </c>
      <c r="C208" s="821">
        <v>15838308.28</v>
      </c>
      <c r="D208" s="821">
        <v>201064.85</v>
      </c>
      <c r="E208" s="821">
        <v>851155.08</v>
      </c>
      <c r="F208" s="821">
        <v>16890528.21</v>
      </c>
      <c r="G208" s="821">
        <v>28024036.16</v>
      </c>
      <c r="H208" s="821">
        <v>28024036.16</v>
      </c>
      <c r="I208" s="821"/>
      <c r="J208" s="821"/>
      <c r="K208" s="821">
        <v>1266.67</v>
      </c>
      <c r="L208" s="821">
        <v>1266.67</v>
      </c>
      <c r="M208" s="821">
        <v>44915831.04</v>
      </c>
      <c r="N208"/>
      <c r="O208"/>
      <c r="P208"/>
    </row>
    <row r="209" ht="14.25" spans="2:12">
      <c r="B209" s="820"/>
      <c r="C209" s="820"/>
      <c r="D209" s="820"/>
    </row>
    <row r="210" ht="14.25" spans="2:12">
      <c r="B210" s="820"/>
      <c r="C210" s="820"/>
      <c r="D210" s="820"/>
    </row>
    <row r="211" ht="14.25" spans="2:12">
      <c r="B211" s="820"/>
      <c r="C211" s="820"/>
      <c r="D211" s="820"/>
    </row>
    <row r="212" ht="14.25" spans="2:12">
      <c r="B212" s="820"/>
      <c r="C212" s="820"/>
      <c r="D212" s="820"/>
    </row>
    <row r="213" ht="14.25" spans="2:12">
      <c r="B213" s="820"/>
      <c r="C213" s="820"/>
      <c r="D213" s="820"/>
    </row>
    <row r="214" ht="14.25" spans="2:12">
      <c r="B214" s="820"/>
      <c r="C214" s="820"/>
      <c r="D214" s="820"/>
    </row>
    <row r="215" ht="16.5" customHeight="1" spans="2:12">
      <c r="B215" s="820"/>
      <c r="C215" s="820"/>
      <c r="D215" s="820"/>
      <c r="L215" s="781" t="s">
        <v>1064</v>
      </c>
    </row>
    <row r="216" ht="14.25" spans="2:12">
      <c r="B216" s="820"/>
      <c r="C216" s="820"/>
      <c r="D216" s="820"/>
    </row>
    <row r="217" ht="14.25" spans="2:12">
      <c r="B217" s="820"/>
      <c r="C217" s="820"/>
      <c r="D217" s="820"/>
    </row>
  </sheetData>
  <autoFilter xmlns:etc="http://www.wps.cn/officeDocument/2017/etCustomData" ref="A3:X180" etc:filterBottomFollowUsedRange="0">
    <extLst/>
  </autoFilter>
  <mergeCells count="2">
    <mergeCell ref="A2:E2"/>
    <mergeCell ref="F2:I2"/>
  </mergeCells>
  <pageMargins left="0.118110236220472" right="0.118110236220472" top="0.748031496062992" bottom="0.748031496062992" header="0.31496062992126" footer="0.31496062992126"/>
  <pageSetup paperSize="9" scale="85" orientation="landscape"/>
  <headerFooter/>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8"/>
  <dimension ref="A1:AX125"/>
  <sheetViews>
    <sheetView topLeftCell="A92" workbookViewId="0">
      <pane xSplit="2" ySplit="3" topLeftCell="C95" activePane="bottomRight" state="frozen"/>
      <selection/>
      <selection pane="topRight"/>
      <selection pane="bottomLeft"/>
      <selection pane="bottomRight" activeCell="E105" sqref="E105:F105"/>
    </sheetView>
  </sheetViews>
  <sheetFormatPr defaultColWidth="8.25" defaultRowHeight="15" customHeight="1"/>
  <cols>
    <col min="1" max="1" width="8.25" style="666" customWidth="1"/>
    <col min="2" max="2" width="8.25" style="666"/>
    <col min="3" max="3" width="18.375" style="666" customWidth="1"/>
    <col min="4" max="5" width="16" style="666" customWidth="1"/>
    <col min="6" max="6" width="18.125" style="666" customWidth="1"/>
    <col min="7" max="7" width="17.75" style="666" customWidth="1"/>
    <col min="8" max="8" width="12.2833333333333" style="667" customWidth="1"/>
    <col min="9" max="9" width="22.25" style="668" customWidth="1"/>
    <col min="10" max="10" width="1" style="669" customWidth="1"/>
    <col min="11" max="12" width="10.375" style="667" hidden="1" customWidth="1"/>
    <col min="13" max="17" width="11.625" style="666" hidden="1" customWidth="1"/>
    <col min="18" max="18" width="10.375" style="666" hidden="1" customWidth="1"/>
    <col min="19" max="19" width="8.25" style="666" hidden="1" customWidth="1"/>
    <col min="20" max="20" width="2.75" style="669" hidden="1" customWidth="1"/>
    <col min="21" max="21" width="12" style="666" hidden="1" customWidth="1"/>
    <col min="22" max="22" width="21.125" style="666" hidden="1" customWidth="1"/>
    <col min="23" max="23" width="11.75" style="666" hidden="1" customWidth="1"/>
    <col min="24" max="24" width="10.375" style="666" hidden="1" customWidth="1"/>
    <col min="25" max="25" width="14.75" style="666" hidden="1" customWidth="1"/>
    <col min="26" max="26" width="11.375" style="670" hidden="1" customWidth="1"/>
    <col min="27" max="30" width="10.375" style="666" hidden="1" customWidth="1"/>
    <col min="31" max="31" width="10.375" style="671" hidden="1" customWidth="1"/>
    <col min="32" max="32" width="10.375" style="666" hidden="1" customWidth="1"/>
    <col min="33" max="51" width="9.375" style="666" hidden="1" customWidth="1"/>
    <col min="52" max="58" width="9.375" style="666" customWidth="1"/>
    <col min="59" max="16384" width="8.25" style="666"/>
  </cols>
  <sheetData>
    <row r="1" hidden="1" customHeight="1" spans="1:50">
      <c r="A1" s="672"/>
      <c r="K1" s="673"/>
      <c r="L1" s="666"/>
      <c r="M1" s="667"/>
      <c r="N1" s="667"/>
      <c r="O1" s="667"/>
      <c r="P1" s="667"/>
      <c r="Q1" s="667"/>
      <c r="U1" s="664" t="s">
        <v>1065</v>
      </c>
      <c r="V1" s="664"/>
      <c r="W1" s="664"/>
    </row>
    <row r="2" s="664" customFormat="1" hidden="1" customHeight="1" spans="1:50">
      <c r="A2" s="674"/>
      <c r="B2" s="674"/>
      <c r="C2" s="674"/>
      <c r="D2" s="674"/>
      <c r="E2" s="674"/>
      <c r="F2" s="674"/>
      <c r="G2" s="674"/>
      <c r="H2" s="674"/>
      <c r="I2" s="674"/>
      <c r="J2" s="669"/>
      <c r="K2" s="674"/>
      <c r="L2" s="674"/>
      <c r="M2" s="675"/>
      <c r="N2" s="676"/>
      <c r="O2" s="676"/>
      <c r="P2" s="676"/>
      <c r="Q2" s="676"/>
      <c r="R2" s="676"/>
      <c r="T2" s="669"/>
      <c r="U2" s="674" t="s">
        <v>1066</v>
      </c>
      <c r="V2" s="674"/>
      <c r="W2" s="674"/>
      <c r="X2" s="674"/>
      <c r="Y2" s="674"/>
      <c r="Z2" s="674"/>
      <c r="AA2" s="674" t="s">
        <v>1067</v>
      </c>
      <c r="AB2" s="674"/>
      <c r="AC2" s="674"/>
      <c r="AD2" s="674"/>
      <c r="AE2" s="674"/>
      <c r="AF2" s="674"/>
      <c r="AG2" s="674"/>
      <c r="AH2" s="677" t="s">
        <v>1068</v>
      </c>
      <c r="AI2" s="678" t="s">
        <v>79</v>
      </c>
      <c r="AJ2" s="679" t="s">
        <v>1069</v>
      </c>
      <c r="AK2" s="680"/>
      <c r="AL2" s="680"/>
      <c r="AM2" s="680"/>
      <c r="AN2" s="680"/>
      <c r="AO2" s="680"/>
      <c r="AP2" s="680"/>
      <c r="AQ2" s="680"/>
      <c r="AR2" s="680"/>
      <c r="AS2" s="680"/>
      <c r="AT2" s="680"/>
      <c r="AU2" s="680"/>
      <c r="AV2" s="680"/>
      <c r="AW2" s="681"/>
    </row>
    <row r="3" s="665" customFormat="1" hidden="1" customHeight="1" spans="1:50">
      <c r="A3" s="674"/>
      <c r="B3" s="674"/>
      <c r="C3" s="674"/>
      <c r="D3" s="674"/>
      <c r="E3" s="674"/>
      <c r="F3" s="674"/>
      <c r="G3" s="674"/>
      <c r="H3" s="682"/>
      <c r="I3" s="683"/>
      <c r="J3" s="669"/>
      <c r="K3" s="674"/>
      <c r="L3" s="674"/>
      <c r="M3" s="674"/>
      <c r="N3" s="674"/>
      <c r="O3" s="674"/>
      <c r="P3" s="674"/>
      <c r="Q3" s="674"/>
      <c r="R3" s="682"/>
      <c r="T3" s="669"/>
      <c r="U3" s="674" t="s">
        <v>1070</v>
      </c>
      <c r="V3" s="684" t="s">
        <v>897</v>
      </c>
      <c r="W3" s="684" t="s">
        <v>1071</v>
      </c>
      <c r="X3" s="674" t="s">
        <v>1072</v>
      </c>
      <c r="Y3" s="674" t="s">
        <v>1073</v>
      </c>
      <c r="Z3" s="674" t="s">
        <v>1074</v>
      </c>
      <c r="AA3" s="674" t="s">
        <v>1070</v>
      </c>
      <c r="AB3" s="674" t="s">
        <v>1075</v>
      </c>
      <c r="AC3" s="674" t="s">
        <v>1076</v>
      </c>
      <c r="AD3" s="674" t="s">
        <v>1077</v>
      </c>
      <c r="AE3" s="685" t="s">
        <v>1078</v>
      </c>
      <c r="AF3" s="674" t="s">
        <v>1079</v>
      </c>
      <c r="AG3" s="674" t="s">
        <v>1080</v>
      </c>
      <c r="AH3" s="677"/>
      <c r="AI3" s="686"/>
      <c r="AJ3" s="674" t="s">
        <v>1081</v>
      </c>
      <c r="AK3" s="674" t="s">
        <v>1082</v>
      </c>
      <c r="AL3" s="674" t="s">
        <v>1083</v>
      </c>
      <c r="AM3" s="674" t="s">
        <v>1084</v>
      </c>
      <c r="AN3" s="674" t="s">
        <v>1085</v>
      </c>
      <c r="AO3" s="674" t="s">
        <v>1086</v>
      </c>
      <c r="AP3" s="674" t="s">
        <v>1087</v>
      </c>
      <c r="AQ3" s="674" t="s">
        <v>1088</v>
      </c>
      <c r="AR3" s="674" t="s">
        <v>1089</v>
      </c>
      <c r="AS3" s="674" t="s">
        <v>1090</v>
      </c>
      <c r="AT3" s="674" t="s">
        <v>1091</v>
      </c>
      <c r="AU3" s="674" t="s">
        <v>1092</v>
      </c>
      <c r="AV3" s="674" t="s">
        <v>1093</v>
      </c>
      <c r="AW3" s="674" t="s">
        <v>79</v>
      </c>
    </row>
    <row r="4" hidden="1" customHeight="1" spans="1:50">
      <c r="A4" s="687"/>
      <c r="B4" s="687"/>
      <c r="C4" s="688"/>
      <c r="D4" s="688"/>
      <c r="E4" s="688"/>
      <c r="F4" s="688"/>
      <c r="G4" s="688"/>
      <c r="H4" s="689"/>
      <c r="I4" s="690"/>
      <c r="K4" s="687"/>
      <c r="L4" s="687"/>
      <c r="M4" s="688"/>
      <c r="N4" s="688"/>
      <c r="O4" s="688"/>
      <c r="P4" s="688"/>
      <c r="Q4" s="691"/>
      <c r="R4" s="692"/>
      <c r="U4" s="693" t="s">
        <v>1094</v>
      </c>
      <c r="V4" s="694" t="s">
        <v>1095</v>
      </c>
      <c r="W4" s="687" t="s">
        <v>1096</v>
      </c>
      <c r="X4" s="695">
        <v>5555555.7</v>
      </c>
      <c r="Y4" s="696">
        <v>41821</v>
      </c>
      <c r="Z4" s="693">
        <v>120</v>
      </c>
      <c r="AA4" s="693" t="s">
        <v>1097</v>
      </c>
      <c r="AB4" s="695">
        <v>5555555.56</v>
      </c>
      <c r="AC4" s="695">
        <v>307870.36</v>
      </c>
      <c r="AD4" s="695">
        <f>AB4-AC4</f>
        <v>5247685.2</v>
      </c>
      <c r="AE4" s="696">
        <v>41821</v>
      </c>
      <c r="AF4" s="695">
        <v>5555555.7</v>
      </c>
      <c r="AG4" s="695">
        <v>307870.5</v>
      </c>
      <c r="AH4" s="695">
        <v>307870.5</v>
      </c>
      <c r="AI4" s="695">
        <f>X4-AD4-AH4</f>
        <v>9.31322574615479e-10</v>
      </c>
      <c r="AJ4" s="695"/>
      <c r="AK4" s="695">
        <f>ROUND(AH4/$Z$4*5,2)</f>
        <v>12827.94</v>
      </c>
      <c r="AL4" s="695">
        <f>ROUND(AH4/10,2)</f>
        <v>30787.05</v>
      </c>
      <c r="AM4" s="695">
        <f t="shared" ref="AM4:AT4" si="0">AL4</f>
        <v>30787.05</v>
      </c>
      <c r="AN4" s="695">
        <f t="shared" si="0"/>
        <v>30787.05</v>
      </c>
      <c r="AO4" s="695">
        <f t="shared" si="0"/>
        <v>30787.05</v>
      </c>
      <c r="AP4" s="695">
        <f t="shared" si="0"/>
        <v>30787.05</v>
      </c>
      <c r="AQ4" s="695">
        <f t="shared" si="0"/>
        <v>30787.05</v>
      </c>
      <c r="AR4" s="695">
        <f t="shared" si="0"/>
        <v>30787.05</v>
      </c>
      <c r="AS4" s="695">
        <f t="shared" si="0"/>
        <v>30787.05</v>
      </c>
      <c r="AT4" s="695">
        <f t="shared" si="0"/>
        <v>30787.05</v>
      </c>
      <c r="AU4" s="695">
        <f>ROUND(AH4/$Z$4*7,2)</f>
        <v>17959.11</v>
      </c>
      <c r="AV4" s="695">
        <v>0</v>
      </c>
      <c r="AW4" s="697">
        <f>SUM(AJ4:AV4)-AH4</f>
        <v>0</v>
      </c>
    </row>
    <row r="5" hidden="1" customHeight="1" spans="1:50">
      <c r="A5" s="687"/>
      <c r="B5" s="687"/>
      <c r="C5" s="688"/>
      <c r="D5" s="688"/>
      <c r="E5" s="688"/>
      <c r="F5" s="688"/>
      <c r="G5" s="688"/>
      <c r="H5" s="689"/>
      <c r="I5" s="698"/>
      <c r="K5" s="687"/>
      <c r="L5" s="687"/>
      <c r="M5" s="688"/>
      <c r="N5" s="688"/>
      <c r="O5" s="688"/>
      <c r="P5" s="688"/>
      <c r="Q5" s="687"/>
      <c r="R5" s="699"/>
      <c r="U5" s="693" t="s">
        <v>1094</v>
      </c>
      <c r="V5" s="694" t="s">
        <v>1098</v>
      </c>
      <c r="W5" s="687" t="s">
        <v>1099</v>
      </c>
      <c r="X5" s="695">
        <v>2140000</v>
      </c>
      <c r="Y5" s="696">
        <v>41974</v>
      </c>
      <c r="Z5" s="693">
        <v>120</v>
      </c>
      <c r="AA5" s="693" t="s">
        <v>1097</v>
      </c>
      <c r="AB5" s="695">
        <v>2140000</v>
      </c>
      <c r="AC5" s="695"/>
      <c r="AD5" s="695">
        <f t="shared" ref="AD5:AD14" si="1">AB5-AC5</f>
        <v>2140000</v>
      </c>
      <c r="AE5" s="696">
        <v>41974</v>
      </c>
      <c r="AF5" s="695">
        <v>2140000</v>
      </c>
      <c r="AG5" s="695">
        <v>0</v>
      </c>
      <c r="AH5" s="695">
        <v>0</v>
      </c>
      <c r="AI5" s="695">
        <f t="shared" ref="AI5:AI15" si="2">X5-AD5-AH5</f>
        <v>0</v>
      </c>
      <c r="AJ5" s="695"/>
      <c r="AK5" s="695"/>
      <c r="AL5" s="695"/>
      <c r="AM5" s="695"/>
      <c r="AN5" s="695"/>
      <c r="AO5" s="695"/>
      <c r="AP5" s="695"/>
      <c r="AQ5" s="695"/>
      <c r="AR5" s="695"/>
      <c r="AS5" s="695"/>
      <c r="AT5" s="695"/>
      <c r="AU5" s="695"/>
      <c r="AV5" s="695"/>
      <c r="AW5" s="697">
        <f t="shared" ref="AW5:AW15" si="3">SUM(AJ5:AV5)-AH5</f>
        <v>0</v>
      </c>
    </row>
    <row r="6" hidden="1" customHeight="1" spans="1:50">
      <c r="A6" s="687"/>
      <c r="B6" s="687"/>
      <c r="C6" s="688"/>
      <c r="D6" s="688"/>
      <c r="E6" s="688"/>
      <c r="F6" s="688"/>
      <c r="G6" s="688"/>
      <c r="H6" s="689"/>
      <c r="I6" s="690"/>
      <c r="K6" s="687"/>
      <c r="L6" s="687"/>
      <c r="M6" s="688"/>
      <c r="N6" s="688"/>
      <c r="O6" s="688"/>
      <c r="P6" s="688"/>
      <c r="Q6" s="687"/>
      <c r="R6" s="689"/>
      <c r="U6" s="700" t="s">
        <v>1094</v>
      </c>
      <c r="V6" s="701" t="s">
        <v>1100</v>
      </c>
      <c r="W6" s="702" t="s">
        <v>1101</v>
      </c>
      <c r="X6" s="703">
        <v>85452.99</v>
      </c>
      <c r="Y6" s="704">
        <v>41974</v>
      </c>
      <c r="Z6" s="700">
        <v>120</v>
      </c>
      <c r="AA6" s="705" t="s">
        <v>1102</v>
      </c>
      <c r="AB6" s="703">
        <v>85452.99</v>
      </c>
      <c r="AC6" s="703">
        <v>10824</v>
      </c>
      <c r="AD6" s="703">
        <f t="shared" si="1"/>
        <v>74628.99</v>
      </c>
      <c r="AE6" s="704">
        <v>41974</v>
      </c>
      <c r="AF6" s="703">
        <f>AG6+AD6</f>
        <v>85452.99</v>
      </c>
      <c r="AG6" s="703">
        <v>10824</v>
      </c>
      <c r="AH6" s="695">
        <v>10824</v>
      </c>
      <c r="AI6" s="695">
        <f t="shared" si="2"/>
        <v>0</v>
      </c>
      <c r="AJ6" s="695"/>
      <c r="AK6" s="695"/>
      <c r="AL6" s="695">
        <f>AH6/10</f>
        <v>1082.4</v>
      </c>
      <c r="AM6" s="695">
        <f t="shared" ref="AM6:AU14" si="4">AL6</f>
        <v>1082.4</v>
      </c>
      <c r="AN6" s="695">
        <f t="shared" si="4"/>
        <v>1082.4</v>
      </c>
      <c r="AO6" s="695">
        <f t="shared" si="4"/>
        <v>1082.4</v>
      </c>
      <c r="AP6" s="695">
        <f t="shared" si="4"/>
        <v>1082.4</v>
      </c>
      <c r="AQ6" s="695">
        <f t="shared" si="4"/>
        <v>1082.4</v>
      </c>
      <c r="AR6" s="695">
        <f t="shared" si="4"/>
        <v>1082.4</v>
      </c>
      <c r="AS6" s="695">
        <f t="shared" si="4"/>
        <v>1082.4</v>
      </c>
      <c r="AT6" s="695">
        <f t="shared" si="4"/>
        <v>1082.4</v>
      </c>
      <c r="AU6" s="695">
        <f t="shared" si="4"/>
        <v>1082.4</v>
      </c>
      <c r="AV6" s="695"/>
      <c r="AW6" s="697">
        <f t="shared" si="3"/>
        <v>0</v>
      </c>
    </row>
    <row r="7" hidden="1" customHeight="1" spans="1:50">
      <c r="A7" s="687"/>
      <c r="B7" s="687"/>
      <c r="C7" s="688"/>
      <c r="D7" s="688"/>
      <c r="E7" s="688"/>
      <c r="F7" s="688"/>
      <c r="G7" s="688"/>
      <c r="H7" s="689"/>
      <c r="I7" s="698"/>
      <c r="K7" s="687"/>
      <c r="L7" s="687"/>
      <c r="M7" s="688"/>
      <c r="N7" s="688"/>
      <c r="O7" s="688"/>
      <c r="P7" s="688"/>
      <c r="Q7" s="688"/>
      <c r="R7" s="689"/>
      <c r="U7" s="700" t="s">
        <v>1103</v>
      </c>
      <c r="V7" s="701" t="s">
        <v>1104</v>
      </c>
      <c r="W7" s="702" t="s">
        <v>1105</v>
      </c>
      <c r="X7" s="703">
        <v>2905982.91</v>
      </c>
      <c r="Y7" s="704">
        <v>41821</v>
      </c>
      <c r="Z7" s="700">
        <v>120</v>
      </c>
      <c r="AA7" s="705" t="s">
        <v>1102</v>
      </c>
      <c r="AB7" s="703">
        <f>X7</f>
        <v>2905982.91</v>
      </c>
      <c r="AC7" s="703">
        <v>437108.3</v>
      </c>
      <c r="AD7" s="703">
        <f t="shared" si="1"/>
        <v>2468874.61</v>
      </c>
      <c r="AE7" s="704">
        <v>41791</v>
      </c>
      <c r="AF7" s="703">
        <f>AG7+AD7</f>
        <v>2905982.91</v>
      </c>
      <c r="AG7" s="703">
        <v>437108.3</v>
      </c>
      <c r="AH7" s="695">
        <f>AG7</f>
        <v>437108.3</v>
      </c>
      <c r="AI7" s="695">
        <f t="shared" si="2"/>
        <v>0</v>
      </c>
      <c r="AJ7" s="695"/>
      <c r="AK7" s="695">
        <f>ROUND(AH7/$Z$4*5,2)</f>
        <v>18212.85</v>
      </c>
      <c r="AL7" s="695">
        <f>AH7/10</f>
        <v>43710.83</v>
      </c>
      <c r="AM7" s="695">
        <f>AL7</f>
        <v>43710.83</v>
      </c>
      <c r="AN7" s="695">
        <f t="shared" si="4"/>
        <v>43710.83</v>
      </c>
      <c r="AO7" s="695">
        <f t="shared" si="4"/>
        <v>43710.83</v>
      </c>
      <c r="AP7" s="695">
        <f t="shared" si="4"/>
        <v>43710.83</v>
      </c>
      <c r="AQ7" s="695">
        <f t="shared" si="4"/>
        <v>43710.83</v>
      </c>
      <c r="AR7" s="695">
        <f t="shared" si="4"/>
        <v>43710.83</v>
      </c>
      <c r="AS7" s="695">
        <f t="shared" si="4"/>
        <v>43710.83</v>
      </c>
      <c r="AT7" s="695">
        <f t="shared" si="4"/>
        <v>43710.83</v>
      </c>
      <c r="AU7" s="695">
        <f>AT7*7/12</f>
        <v>25497.9841666667</v>
      </c>
      <c r="AV7" s="695"/>
      <c r="AW7" s="697">
        <f t="shared" si="3"/>
        <v>0.00416666682576761</v>
      </c>
    </row>
    <row r="8" hidden="1" customHeight="1" spans="1:50">
      <c r="A8" s="693"/>
      <c r="B8" s="693"/>
      <c r="C8" s="688"/>
      <c r="D8" s="688"/>
      <c r="E8" s="688"/>
      <c r="F8" s="688"/>
      <c r="G8" s="688"/>
      <c r="H8" s="689"/>
      <c r="I8" s="706"/>
      <c r="K8" s="693"/>
      <c r="L8" s="693"/>
      <c r="M8" s="688"/>
      <c r="N8" s="688"/>
      <c r="O8" s="688"/>
      <c r="P8" s="688"/>
      <c r="Q8" s="691"/>
      <c r="R8" s="691"/>
      <c r="U8" s="700" t="s">
        <v>1103</v>
      </c>
      <c r="V8" s="701" t="s">
        <v>1106</v>
      </c>
      <c r="W8" s="702" t="s">
        <v>1107</v>
      </c>
      <c r="X8" s="703">
        <v>666666.67</v>
      </c>
      <c r="Y8" s="704">
        <v>41821</v>
      </c>
      <c r="Z8" s="700">
        <v>120</v>
      </c>
      <c r="AA8" s="705" t="s">
        <v>1102</v>
      </c>
      <c r="AB8" s="703">
        <v>666666.67</v>
      </c>
      <c r="AC8" s="703">
        <v>63333.36</v>
      </c>
      <c r="AD8" s="703">
        <f t="shared" si="1"/>
        <v>603333.31</v>
      </c>
      <c r="AE8" s="704">
        <v>41791</v>
      </c>
      <c r="AF8" s="703">
        <f>AG8+AD8</f>
        <v>666666.67</v>
      </c>
      <c r="AG8" s="703">
        <v>63333.36</v>
      </c>
      <c r="AH8" s="695">
        <f>AG8</f>
        <v>63333.36</v>
      </c>
      <c r="AI8" s="695">
        <f t="shared" si="2"/>
        <v>0</v>
      </c>
      <c r="AJ8" s="695"/>
      <c r="AK8" s="695">
        <f>ROUND(AH8/$Z$4*5,2)</f>
        <v>2638.89</v>
      </c>
      <c r="AL8" s="695">
        <f>AH8/10</f>
        <v>6333.336</v>
      </c>
      <c r="AM8" s="695">
        <f t="shared" si="4"/>
        <v>6333.336</v>
      </c>
      <c r="AN8" s="695">
        <f t="shared" si="4"/>
        <v>6333.336</v>
      </c>
      <c r="AO8" s="695">
        <f t="shared" si="4"/>
        <v>6333.336</v>
      </c>
      <c r="AP8" s="695">
        <f t="shared" si="4"/>
        <v>6333.336</v>
      </c>
      <c r="AQ8" s="695">
        <f t="shared" si="4"/>
        <v>6333.336</v>
      </c>
      <c r="AR8" s="695">
        <f t="shared" si="4"/>
        <v>6333.336</v>
      </c>
      <c r="AS8" s="695">
        <f t="shared" si="4"/>
        <v>6333.336</v>
      </c>
      <c r="AT8" s="695">
        <f t="shared" si="4"/>
        <v>6333.336</v>
      </c>
      <c r="AU8" s="695">
        <f>AT8*7/12</f>
        <v>3694.446</v>
      </c>
      <c r="AV8" s="695"/>
      <c r="AW8" s="697">
        <f t="shared" si="3"/>
        <v>0</v>
      </c>
    </row>
    <row r="9" hidden="1" customHeight="1" spans="1:50">
      <c r="C9" s="667"/>
      <c r="D9" s="667"/>
      <c r="E9" s="667"/>
      <c r="F9" s="667"/>
      <c r="G9" s="667"/>
      <c r="U9" s="700" t="s">
        <v>1103</v>
      </c>
      <c r="V9" s="701" t="s">
        <v>1108</v>
      </c>
      <c r="W9" s="702" t="s">
        <v>1109</v>
      </c>
      <c r="X9" s="703">
        <v>7350.43</v>
      </c>
      <c r="Y9" s="704">
        <v>41913</v>
      </c>
      <c r="Z9" s="700">
        <v>120</v>
      </c>
      <c r="AA9" s="705" t="s">
        <v>1102</v>
      </c>
      <c r="AB9" s="703">
        <v>7350.43</v>
      </c>
      <c r="AC9" s="703">
        <v>1280.18</v>
      </c>
      <c r="AD9" s="703">
        <f t="shared" si="1"/>
        <v>6070.25</v>
      </c>
      <c r="AE9" s="704">
        <v>41791</v>
      </c>
      <c r="AF9" s="703">
        <f>AG9+AD9</f>
        <v>7350.43</v>
      </c>
      <c r="AG9" s="703">
        <v>1280.18</v>
      </c>
      <c r="AH9" s="695">
        <f>AG9</f>
        <v>1280.18</v>
      </c>
      <c r="AI9" s="695">
        <f t="shared" si="2"/>
        <v>0</v>
      </c>
      <c r="AJ9" s="695"/>
      <c r="AK9" s="695">
        <f>ROUND(AH9/$Z$4*2,2)</f>
        <v>21.34</v>
      </c>
      <c r="AL9" s="695">
        <f>AH9/10</f>
        <v>128.018</v>
      </c>
      <c r="AM9" s="695">
        <f t="shared" si="4"/>
        <v>128.018</v>
      </c>
      <c r="AN9" s="695">
        <f t="shared" si="4"/>
        <v>128.018</v>
      </c>
      <c r="AO9" s="695">
        <f t="shared" si="4"/>
        <v>128.018</v>
      </c>
      <c r="AP9" s="695">
        <f t="shared" si="4"/>
        <v>128.018</v>
      </c>
      <c r="AQ9" s="695">
        <f t="shared" si="4"/>
        <v>128.018</v>
      </c>
      <c r="AR9" s="695">
        <f t="shared" si="4"/>
        <v>128.018</v>
      </c>
      <c r="AS9" s="695">
        <f t="shared" si="4"/>
        <v>128.018</v>
      </c>
      <c r="AT9" s="695">
        <f t="shared" si="4"/>
        <v>128.018</v>
      </c>
      <c r="AU9" s="695">
        <f>AT9*10/12</f>
        <v>106.681666666667</v>
      </c>
      <c r="AV9" s="695"/>
      <c r="AW9" s="697">
        <f t="shared" si="3"/>
        <v>0.00366666666673154</v>
      </c>
    </row>
    <row r="10" hidden="1" customHeight="1" spans="1:50">
      <c r="A10" s="707"/>
      <c r="K10" s="674"/>
      <c r="L10" s="674"/>
      <c r="M10" s="674"/>
      <c r="N10" s="674"/>
      <c r="O10" s="674"/>
      <c r="P10" s="674"/>
      <c r="Q10" s="674"/>
      <c r="R10" s="674"/>
      <c r="U10" s="708" t="s">
        <v>1103</v>
      </c>
      <c r="V10" s="709" t="s">
        <v>1110</v>
      </c>
      <c r="W10" s="710" t="s">
        <v>1105</v>
      </c>
      <c r="X10" s="711">
        <f>AF10</f>
        <v>247863.5</v>
      </c>
      <c r="Y10" s="712">
        <v>41821</v>
      </c>
      <c r="Z10" s="708">
        <v>120</v>
      </c>
      <c r="AA10" s="713" t="s">
        <v>1102</v>
      </c>
      <c r="AB10" s="714">
        <v>247863.26</v>
      </c>
      <c r="AC10" s="714">
        <v>19622.5</v>
      </c>
      <c r="AD10" s="714">
        <f t="shared" si="1"/>
        <v>228240.76</v>
      </c>
      <c r="AE10" s="715">
        <v>41974</v>
      </c>
      <c r="AF10" s="714">
        <f>AG10+AD10+0.12</f>
        <v>247863.5</v>
      </c>
      <c r="AG10" s="714">
        <v>19622.62</v>
      </c>
      <c r="AH10" s="695">
        <f>AG10</f>
        <v>19622.62</v>
      </c>
      <c r="AI10" s="695">
        <f t="shared" si="2"/>
        <v>0.119999999991705</v>
      </c>
      <c r="AJ10" s="695"/>
      <c r="AK10" s="695"/>
      <c r="AL10" s="716">
        <f>AH10*5/120</f>
        <v>817.609166666667</v>
      </c>
      <c r="AM10" s="716">
        <f>AH10/10</f>
        <v>1962.262</v>
      </c>
      <c r="AN10" s="716">
        <f t="shared" si="4"/>
        <v>1962.262</v>
      </c>
      <c r="AO10" s="716">
        <f t="shared" si="4"/>
        <v>1962.262</v>
      </c>
      <c r="AP10" s="716">
        <f t="shared" si="4"/>
        <v>1962.262</v>
      </c>
      <c r="AQ10" s="716">
        <f t="shared" si="4"/>
        <v>1962.262</v>
      </c>
      <c r="AR10" s="716">
        <f t="shared" si="4"/>
        <v>1962.262</v>
      </c>
      <c r="AS10" s="716">
        <f t="shared" si="4"/>
        <v>1962.262</v>
      </c>
      <c r="AT10" s="716">
        <f t="shared" si="4"/>
        <v>1962.262</v>
      </c>
      <c r="AU10" s="716">
        <f t="shared" si="4"/>
        <v>1962.262</v>
      </c>
      <c r="AV10" s="716">
        <f>ROUND(AH10/Z10*7,2)</f>
        <v>1144.65</v>
      </c>
      <c r="AW10" s="697">
        <f t="shared" si="3"/>
        <v>-0.00283333333209157</v>
      </c>
      <c r="AX10" s="707" t="s">
        <v>1111</v>
      </c>
    </row>
    <row r="11" hidden="1" customHeight="1" spans="1:50">
      <c r="B11" s="717"/>
      <c r="C11" s="707"/>
      <c r="D11" s="667"/>
      <c r="E11" s="667"/>
      <c r="F11" s="718"/>
      <c r="G11" s="719"/>
      <c r="K11" s="674"/>
      <c r="L11" s="674"/>
      <c r="M11" s="674"/>
      <c r="N11" s="674"/>
      <c r="O11" s="674"/>
      <c r="P11" s="674"/>
      <c r="Q11" s="674"/>
      <c r="R11" s="682"/>
      <c r="U11" s="720" t="s">
        <v>1103</v>
      </c>
      <c r="V11" s="687" t="s">
        <v>1112</v>
      </c>
      <c r="W11" s="687" t="s">
        <v>1113</v>
      </c>
      <c r="X11" s="695">
        <v>2179487.17</v>
      </c>
      <c r="Y11" s="696">
        <v>42156</v>
      </c>
      <c r="Z11" s="693">
        <v>120</v>
      </c>
      <c r="AA11" s="693" t="s">
        <v>1097</v>
      </c>
      <c r="AB11" s="695">
        <v>2179487.17</v>
      </c>
      <c r="AC11" s="695">
        <v>189796.97</v>
      </c>
      <c r="AD11" s="695">
        <f t="shared" si="1"/>
        <v>1989690.2</v>
      </c>
      <c r="AE11" s="696">
        <v>42156</v>
      </c>
      <c r="AF11" s="695">
        <v>2179487.17</v>
      </c>
      <c r="AG11" s="695">
        <f>ROUND(AF11-AD11,2)</f>
        <v>189796.97</v>
      </c>
      <c r="AH11" s="695">
        <v>189796.97</v>
      </c>
      <c r="AI11" s="695">
        <f t="shared" si="2"/>
        <v>0</v>
      </c>
      <c r="AJ11" s="695"/>
      <c r="AK11" s="695"/>
      <c r="AL11" s="695">
        <f>ROUND(AH11/Z11*6,2)</f>
        <v>9489.85</v>
      </c>
      <c r="AM11" s="695">
        <f>ROUND(AH11/10,2)</f>
        <v>18979.7</v>
      </c>
      <c r="AN11" s="695">
        <f t="shared" si="4"/>
        <v>18979.7</v>
      </c>
      <c r="AO11" s="695">
        <f t="shared" si="4"/>
        <v>18979.7</v>
      </c>
      <c r="AP11" s="695">
        <f t="shared" si="4"/>
        <v>18979.7</v>
      </c>
      <c r="AQ11" s="695">
        <f t="shared" si="4"/>
        <v>18979.7</v>
      </c>
      <c r="AR11" s="695">
        <f t="shared" si="4"/>
        <v>18979.7</v>
      </c>
      <c r="AS11" s="695">
        <f t="shared" si="4"/>
        <v>18979.7</v>
      </c>
      <c r="AT11" s="695">
        <f t="shared" si="4"/>
        <v>18979.7</v>
      </c>
      <c r="AU11" s="695">
        <f t="shared" si="4"/>
        <v>18979.7</v>
      </c>
      <c r="AV11" s="695">
        <f>ROUND(AH11/Z11*6,2)</f>
        <v>9489.85</v>
      </c>
      <c r="AW11" s="697">
        <f t="shared" si="3"/>
        <v>0.0300000000279397</v>
      </c>
    </row>
    <row r="12" hidden="1" customHeight="1" spans="1:50">
      <c r="B12" s="717"/>
      <c r="C12" s="707"/>
      <c r="D12" s="667"/>
      <c r="E12" s="667"/>
      <c r="F12" s="718"/>
      <c r="G12" s="719"/>
      <c r="K12" s="687"/>
      <c r="L12" s="687"/>
      <c r="M12" s="688"/>
      <c r="N12" s="688"/>
      <c r="O12" s="688"/>
      <c r="P12" s="688"/>
      <c r="Q12" s="691"/>
      <c r="R12" s="692"/>
      <c r="S12" s="666" t="s">
        <v>1114</v>
      </c>
      <c r="U12" s="720" t="s">
        <v>1103</v>
      </c>
      <c r="V12" s="694" t="s">
        <v>1115</v>
      </c>
      <c r="W12" s="687" t="s">
        <v>1116</v>
      </c>
      <c r="X12" s="695">
        <v>75476.09</v>
      </c>
      <c r="Y12" s="696">
        <v>42156</v>
      </c>
      <c r="Z12" s="693">
        <v>120</v>
      </c>
      <c r="AA12" s="693" t="s">
        <v>1097</v>
      </c>
      <c r="AB12" s="695">
        <v>78044.05</v>
      </c>
      <c r="AC12" s="695">
        <v>17299.8</v>
      </c>
      <c r="AD12" s="695">
        <f t="shared" si="1"/>
        <v>60744.25</v>
      </c>
      <c r="AE12" s="696">
        <v>42156</v>
      </c>
      <c r="AF12" s="695">
        <v>75476.09</v>
      </c>
      <c r="AG12" s="695">
        <f>ROUND(AF12-AD12,2)</f>
        <v>14731.84</v>
      </c>
      <c r="AH12" s="695">
        <v>14731.84</v>
      </c>
      <c r="AI12" s="695">
        <f t="shared" si="2"/>
        <v>0</v>
      </c>
      <c r="AJ12" s="695"/>
      <c r="AK12" s="695"/>
      <c r="AL12" s="695">
        <f>ROUND(AH12/Z12*6,2)</f>
        <v>736.59</v>
      </c>
      <c r="AM12" s="695">
        <f>ROUND(AH12/10,2)</f>
        <v>1473.18</v>
      </c>
      <c r="AN12" s="695">
        <f t="shared" si="4"/>
        <v>1473.18</v>
      </c>
      <c r="AO12" s="695">
        <f t="shared" si="4"/>
        <v>1473.18</v>
      </c>
      <c r="AP12" s="695">
        <f>AO12</f>
        <v>1473.18</v>
      </c>
      <c r="AQ12" s="695">
        <f t="shared" si="4"/>
        <v>1473.18</v>
      </c>
      <c r="AR12" s="695">
        <f t="shared" si="4"/>
        <v>1473.18</v>
      </c>
      <c r="AS12" s="695">
        <f t="shared" si="4"/>
        <v>1473.18</v>
      </c>
      <c r="AT12" s="695">
        <f t="shared" si="4"/>
        <v>1473.18</v>
      </c>
      <c r="AU12" s="695">
        <f t="shared" si="4"/>
        <v>1473.18</v>
      </c>
      <c r="AV12" s="695">
        <f>ROUND(AH12/Z12*6,2)</f>
        <v>736.59</v>
      </c>
      <c r="AW12" s="697">
        <f t="shared" si="3"/>
        <v>-0.0399999999990541</v>
      </c>
    </row>
    <row r="13" hidden="1" customHeight="1" spans="1:50">
      <c r="B13" s="717"/>
      <c r="C13" s="707"/>
      <c r="D13" s="667"/>
      <c r="E13" s="667"/>
      <c r="F13" s="667"/>
      <c r="G13" s="667"/>
      <c r="K13" s="687"/>
      <c r="L13" s="687"/>
      <c r="M13" s="688"/>
      <c r="N13" s="688"/>
      <c r="O13" s="688"/>
      <c r="P13" s="688"/>
      <c r="Q13" s="687"/>
      <c r="R13" s="699"/>
      <c r="U13" s="720" t="s">
        <v>1103</v>
      </c>
      <c r="V13" s="694" t="s">
        <v>1117</v>
      </c>
      <c r="W13" s="687" t="s">
        <v>1118</v>
      </c>
      <c r="X13" s="695">
        <v>1153846.16</v>
      </c>
      <c r="Y13" s="696">
        <v>42005</v>
      </c>
      <c r="Z13" s="693">
        <v>120</v>
      </c>
      <c r="AA13" s="693" t="s">
        <v>1097</v>
      </c>
      <c r="AB13" s="695">
        <v>1153846.2</v>
      </c>
      <c r="AC13" s="695">
        <v>63942.34</v>
      </c>
      <c r="AD13" s="695">
        <f t="shared" si="1"/>
        <v>1089903.86</v>
      </c>
      <c r="AE13" s="696">
        <v>42005</v>
      </c>
      <c r="AF13" s="695">
        <v>1153846.16</v>
      </c>
      <c r="AG13" s="695">
        <f>ROUND(AF13-AD13,2)</f>
        <v>63942.3</v>
      </c>
      <c r="AH13" s="695">
        <v>63942.3</v>
      </c>
      <c r="AI13" s="695">
        <f t="shared" si="2"/>
        <v>0</v>
      </c>
      <c r="AJ13" s="695"/>
      <c r="AK13" s="695"/>
      <c r="AL13" s="695">
        <f>ROUND(AH13/Z13*11,2)</f>
        <v>5861.38</v>
      </c>
      <c r="AM13" s="695">
        <f>ROUND(AH13/10,2)</f>
        <v>6394.23</v>
      </c>
      <c r="AN13" s="695">
        <f t="shared" si="4"/>
        <v>6394.23</v>
      </c>
      <c r="AO13" s="695">
        <f t="shared" si="4"/>
        <v>6394.23</v>
      </c>
      <c r="AP13" s="695">
        <f t="shared" si="4"/>
        <v>6394.23</v>
      </c>
      <c r="AQ13" s="695">
        <f t="shared" si="4"/>
        <v>6394.23</v>
      </c>
      <c r="AR13" s="695">
        <f t="shared" si="4"/>
        <v>6394.23</v>
      </c>
      <c r="AS13" s="695">
        <f t="shared" si="4"/>
        <v>6394.23</v>
      </c>
      <c r="AT13" s="695">
        <f t="shared" si="4"/>
        <v>6394.23</v>
      </c>
      <c r="AU13" s="695">
        <f t="shared" si="4"/>
        <v>6394.23</v>
      </c>
      <c r="AV13" s="695">
        <f>ROUND(AH13/Z13,2)</f>
        <v>532.85</v>
      </c>
      <c r="AW13" s="697">
        <f t="shared" si="3"/>
        <v>0</v>
      </c>
    </row>
    <row r="14" hidden="1" customHeight="1" spans="1:50">
      <c r="B14" s="717"/>
      <c r="C14" s="707"/>
      <c r="D14" s="667"/>
      <c r="E14" s="667"/>
      <c r="F14" s="667"/>
      <c r="G14" s="667"/>
      <c r="K14" s="687"/>
      <c r="L14" s="687"/>
      <c r="M14" s="688"/>
      <c r="N14" s="688"/>
      <c r="O14" s="688"/>
      <c r="P14" s="688"/>
      <c r="Q14" s="687"/>
      <c r="R14" s="689"/>
      <c r="S14" s="666" t="s">
        <v>1119</v>
      </c>
      <c r="U14" s="720" t="s">
        <v>1103</v>
      </c>
      <c r="V14" s="687" t="s">
        <v>1120</v>
      </c>
      <c r="W14" s="687" t="s">
        <v>1121</v>
      </c>
      <c r="X14" s="695">
        <v>1290598.3</v>
      </c>
      <c r="Y14" s="696">
        <v>42005</v>
      </c>
      <c r="Z14" s="693">
        <v>120</v>
      </c>
      <c r="AA14" s="693" t="s">
        <v>1097</v>
      </c>
      <c r="AB14" s="695">
        <v>1290598.3</v>
      </c>
      <c r="AC14" s="695">
        <v>91955.17</v>
      </c>
      <c r="AD14" s="695">
        <f t="shared" si="1"/>
        <v>1198643.13</v>
      </c>
      <c r="AE14" s="696">
        <v>42005</v>
      </c>
      <c r="AF14" s="695">
        <v>1290598.3</v>
      </c>
      <c r="AG14" s="695">
        <f>ROUND(AF14-AD14,2)</f>
        <v>91955.17</v>
      </c>
      <c r="AH14" s="695">
        <v>91955.1700000002</v>
      </c>
      <c r="AI14" s="695">
        <f t="shared" si="2"/>
        <v>-2.7648638933897e-10</v>
      </c>
      <c r="AJ14" s="695"/>
      <c r="AK14" s="695"/>
      <c r="AL14" s="695">
        <f>ROUND(AH14/Z14*11,2)</f>
        <v>8429.22</v>
      </c>
      <c r="AM14" s="695">
        <f>ROUND(AH14/10,2)</f>
        <v>9195.52</v>
      </c>
      <c r="AN14" s="695">
        <f t="shared" si="4"/>
        <v>9195.52</v>
      </c>
      <c r="AO14" s="695">
        <f t="shared" si="4"/>
        <v>9195.52</v>
      </c>
      <c r="AP14" s="695">
        <f t="shared" si="4"/>
        <v>9195.52</v>
      </c>
      <c r="AQ14" s="695">
        <f t="shared" si="4"/>
        <v>9195.52</v>
      </c>
      <c r="AR14" s="695">
        <f t="shared" si="4"/>
        <v>9195.52</v>
      </c>
      <c r="AS14" s="695">
        <f t="shared" si="4"/>
        <v>9195.52</v>
      </c>
      <c r="AT14" s="695">
        <f t="shared" si="4"/>
        <v>9195.52</v>
      </c>
      <c r="AU14" s="695">
        <f t="shared" si="4"/>
        <v>9195.52</v>
      </c>
      <c r="AV14" s="695">
        <f>ROUND(AH14/Z14,2)</f>
        <v>766.29</v>
      </c>
      <c r="AW14" s="697">
        <f t="shared" si="3"/>
        <v>0.0199999998148996</v>
      </c>
    </row>
    <row r="15" hidden="1" customHeight="1" spans="1:50">
      <c r="K15" s="687"/>
      <c r="L15" s="687"/>
      <c r="M15" s="688"/>
      <c r="N15" s="688"/>
      <c r="O15" s="688"/>
      <c r="P15" s="688"/>
      <c r="Q15" s="688"/>
      <c r="R15" s="689"/>
      <c r="S15" s="666" t="s">
        <v>1122</v>
      </c>
      <c r="U15" s="687"/>
      <c r="V15" s="687" t="s">
        <v>1123</v>
      </c>
      <c r="W15" s="687"/>
      <c r="X15" s="695">
        <v>2603.34</v>
      </c>
      <c r="Y15" s="696">
        <v>42949</v>
      </c>
      <c r="Z15" s="693">
        <v>60</v>
      </c>
      <c r="AA15" s="693" t="s">
        <v>1097</v>
      </c>
      <c r="AB15" s="695"/>
      <c r="AC15" s="721">
        <v>1396.66</v>
      </c>
      <c r="AD15" s="695"/>
      <c r="AE15" s="696">
        <v>42948</v>
      </c>
      <c r="AF15" s="695">
        <v>4000</v>
      </c>
      <c r="AG15" s="695">
        <f>ROUND(AF15-AC15,2)</f>
        <v>2603.34</v>
      </c>
      <c r="AH15" s="695">
        <f>AF15-AC15</f>
        <v>2603.34</v>
      </c>
      <c r="AI15" s="695">
        <f t="shared" si="2"/>
        <v>0</v>
      </c>
      <c r="AJ15" s="695"/>
      <c r="AK15" s="695"/>
      <c r="AL15" s="695"/>
      <c r="AM15" s="695"/>
      <c r="AN15" s="695">
        <v>2603.34</v>
      </c>
      <c r="AO15" s="695"/>
      <c r="AP15" s="695"/>
      <c r="AQ15" s="695"/>
      <c r="AR15" s="695"/>
      <c r="AS15" s="695"/>
      <c r="AT15" s="695"/>
      <c r="AU15" s="695"/>
      <c r="AV15" s="695"/>
      <c r="AW15" s="697">
        <f t="shared" si="3"/>
        <v>0</v>
      </c>
    </row>
    <row r="16" hidden="1" customHeight="1" spans="1:50">
      <c r="A16" s="674"/>
      <c r="B16" s="674"/>
      <c r="C16" s="679"/>
      <c r="D16" s="680"/>
      <c r="E16" s="680"/>
      <c r="F16" s="680"/>
      <c r="G16" s="680"/>
      <c r="H16" s="680"/>
      <c r="I16" s="681"/>
      <c r="K16" s="689"/>
      <c r="L16" s="689"/>
      <c r="M16" s="691"/>
      <c r="N16" s="691"/>
      <c r="O16" s="691"/>
      <c r="P16" s="691"/>
      <c r="Q16" s="691"/>
      <c r="R16" s="691"/>
      <c r="U16" s="693" t="s">
        <v>1124</v>
      </c>
      <c r="V16" s="687"/>
      <c r="W16" s="687"/>
      <c r="X16" s="695"/>
      <c r="Y16" s="687"/>
      <c r="Z16" s="693"/>
      <c r="AA16" s="687"/>
      <c r="AB16" s="695"/>
      <c r="AC16" s="695"/>
      <c r="AD16" s="695"/>
      <c r="AE16" s="696"/>
      <c r="AF16" s="695"/>
      <c r="AG16" s="695"/>
      <c r="AH16" s="695"/>
      <c r="AI16" s="695">
        <f t="shared" ref="AI16:AW16" si="5">SUM(AI4:AI15)</f>
        <v>0.120000000646542</v>
      </c>
      <c r="AJ16" s="695">
        <f t="shared" si="5"/>
        <v>0</v>
      </c>
      <c r="AK16" s="695">
        <f t="shared" si="5"/>
        <v>33701.02</v>
      </c>
      <c r="AL16" s="695">
        <f t="shared" si="5"/>
        <v>107376.283166667</v>
      </c>
      <c r="AM16" s="695">
        <f t="shared" si="5"/>
        <v>120046.526</v>
      </c>
      <c r="AN16" s="695">
        <f t="shared" si="5"/>
        <v>122649.866</v>
      </c>
      <c r="AO16" s="695">
        <f t="shared" si="5"/>
        <v>120046.526</v>
      </c>
      <c r="AP16" s="695">
        <f t="shared" si="5"/>
        <v>120046.526</v>
      </c>
      <c r="AQ16" s="695">
        <f t="shared" si="5"/>
        <v>120046.526</v>
      </c>
      <c r="AR16" s="695">
        <f t="shared" si="5"/>
        <v>120046.526</v>
      </c>
      <c r="AS16" s="695">
        <f t="shared" si="5"/>
        <v>120046.526</v>
      </c>
      <c r="AT16" s="695">
        <f t="shared" si="5"/>
        <v>120046.526</v>
      </c>
      <c r="AU16" s="695">
        <f t="shared" si="5"/>
        <v>86345.5138333333</v>
      </c>
      <c r="AV16" s="695">
        <f t="shared" si="5"/>
        <v>12670.23</v>
      </c>
      <c r="AW16" s="695">
        <f t="shared" si="5"/>
        <v>0.0150000000041928</v>
      </c>
    </row>
    <row r="17" hidden="1" customHeight="1" spans="1:49">
      <c r="A17" s="674"/>
      <c r="B17" s="674"/>
      <c r="C17" s="674"/>
      <c r="D17" s="674"/>
      <c r="E17" s="674"/>
      <c r="F17" s="674"/>
      <c r="G17" s="674"/>
      <c r="H17" s="682"/>
      <c r="I17" s="683"/>
      <c r="AB17" s="667"/>
      <c r="AC17" s="667"/>
      <c r="AD17" s="667"/>
      <c r="AF17" s="667"/>
      <c r="AG17" s="667"/>
    </row>
    <row r="18" hidden="1" customHeight="1" spans="1:49">
      <c r="A18" s="687"/>
      <c r="B18" s="687"/>
      <c r="C18" s="688"/>
      <c r="D18" s="688"/>
      <c r="E18" s="688"/>
      <c r="F18" s="688"/>
      <c r="G18" s="688"/>
      <c r="H18" s="688"/>
      <c r="I18" s="722"/>
      <c r="U18" s="720" t="s">
        <v>1125</v>
      </c>
      <c r="V18" s="694" t="s">
        <v>1126</v>
      </c>
      <c r="W18" s="687"/>
      <c r="X18" s="723">
        <v>815322.2</v>
      </c>
      <c r="Y18" s="724">
        <v>42675</v>
      </c>
      <c r="Z18" s="693"/>
      <c r="AA18" s="720" t="s">
        <v>1102</v>
      </c>
      <c r="AB18" s="688">
        <v>1179487.15</v>
      </c>
      <c r="AC18" s="688">
        <f>364164.97-0.02</f>
        <v>364164.95</v>
      </c>
      <c r="AD18" s="688">
        <f>AB18-AC18</f>
        <v>815322.2</v>
      </c>
      <c r="AE18" s="696">
        <v>42675</v>
      </c>
      <c r="AF18" s="688">
        <v>815322.2</v>
      </c>
      <c r="AG18" s="688">
        <v>0</v>
      </c>
      <c r="AH18" s="691">
        <f>AG18</f>
        <v>0</v>
      </c>
      <c r="AI18" s="695">
        <f t="shared" ref="AI18:AI23" si="6">X18-AD18-AH18</f>
        <v>0</v>
      </c>
      <c r="AJ18" s="687"/>
      <c r="AK18" s="695">
        <f>ROUND(AH18/$Z$4*5,2)</f>
        <v>0</v>
      </c>
      <c r="AL18" s="695">
        <f>ROUND(AH18/10,2)</f>
        <v>0</v>
      </c>
      <c r="AM18" s="695">
        <f t="shared" ref="AM18:AT20" si="7">AL18</f>
        <v>0</v>
      </c>
      <c r="AN18" s="695">
        <f t="shared" si="7"/>
        <v>0</v>
      </c>
      <c r="AO18" s="695">
        <f t="shared" si="7"/>
        <v>0</v>
      </c>
      <c r="AP18" s="695">
        <f t="shared" si="7"/>
        <v>0</v>
      </c>
      <c r="AQ18" s="695">
        <f t="shared" si="7"/>
        <v>0</v>
      </c>
      <c r="AR18" s="695">
        <f t="shared" si="7"/>
        <v>0</v>
      </c>
      <c r="AS18" s="695">
        <f t="shared" si="7"/>
        <v>0</v>
      </c>
      <c r="AT18" s="695">
        <f t="shared" si="7"/>
        <v>0</v>
      </c>
      <c r="AU18" s="695">
        <f>ROUND(AH18/$Z$4*7,2)</f>
        <v>0</v>
      </c>
      <c r="AV18" s="695">
        <v>0</v>
      </c>
      <c r="AW18" s="687"/>
    </row>
    <row r="19" hidden="1" customHeight="1" spans="1:49">
      <c r="A19" s="687"/>
      <c r="B19" s="687"/>
      <c r="C19" s="688"/>
      <c r="D19" s="688"/>
      <c r="E19" s="688"/>
      <c r="F19" s="688"/>
      <c r="G19" s="688"/>
      <c r="H19" s="688"/>
      <c r="I19" s="725"/>
      <c r="U19" s="720" t="s">
        <v>1125</v>
      </c>
      <c r="V19" s="694" t="s">
        <v>1127</v>
      </c>
      <c r="W19" s="687"/>
      <c r="X19" s="723">
        <v>216480.97</v>
      </c>
      <c r="Y19" s="724">
        <v>42676</v>
      </c>
      <c r="Z19" s="693"/>
      <c r="AA19" s="720" t="s">
        <v>1102</v>
      </c>
      <c r="AB19" s="688">
        <v>247863.25</v>
      </c>
      <c r="AC19" s="688">
        <v>31382.28</v>
      </c>
      <c r="AD19" s="688">
        <f>AB19-AC19</f>
        <v>216480.97</v>
      </c>
      <c r="AE19" s="696">
        <v>42675</v>
      </c>
      <c r="AF19" s="688">
        <v>216480.97</v>
      </c>
      <c r="AG19" s="688">
        <v>0</v>
      </c>
      <c r="AH19" s="691">
        <f t="shared" ref="AH19:AH34" si="8">AG19</f>
        <v>0</v>
      </c>
      <c r="AI19" s="695">
        <f t="shared" si="6"/>
        <v>0</v>
      </c>
      <c r="AJ19" s="687"/>
      <c r="AK19" s="695">
        <f>ROUND(AH19/$Z$4*5,2)</f>
        <v>0</v>
      </c>
      <c r="AL19" s="695">
        <f>ROUND(AH19/10,2)</f>
        <v>0</v>
      </c>
      <c r="AM19" s="695">
        <f t="shared" si="7"/>
        <v>0</v>
      </c>
      <c r="AN19" s="695">
        <f t="shared" si="7"/>
        <v>0</v>
      </c>
      <c r="AO19" s="695">
        <f t="shared" si="7"/>
        <v>0</v>
      </c>
      <c r="AP19" s="695">
        <f t="shared" si="7"/>
        <v>0</v>
      </c>
      <c r="AQ19" s="695">
        <f t="shared" si="7"/>
        <v>0</v>
      </c>
      <c r="AR19" s="695">
        <f t="shared" si="7"/>
        <v>0</v>
      </c>
      <c r="AS19" s="695">
        <f t="shared" si="7"/>
        <v>0</v>
      </c>
      <c r="AT19" s="695">
        <f t="shared" si="7"/>
        <v>0</v>
      </c>
      <c r="AU19" s="695">
        <f>ROUND(AH19/$Z$4*7,2)</f>
        <v>0</v>
      </c>
      <c r="AV19" s="695"/>
      <c r="AW19" s="687"/>
    </row>
    <row r="20" hidden="1" customHeight="1" spans="1:49">
      <c r="A20" s="687"/>
      <c r="B20" s="687"/>
      <c r="C20" s="688"/>
      <c r="D20" s="688"/>
      <c r="E20" s="688"/>
      <c r="F20" s="688"/>
      <c r="G20" s="688"/>
      <c r="H20" s="688"/>
      <c r="I20" s="722"/>
      <c r="U20" s="720" t="s">
        <v>1125</v>
      </c>
      <c r="V20" s="694" t="s">
        <v>1128</v>
      </c>
      <c r="W20" s="687"/>
      <c r="X20" s="723">
        <v>65066.68</v>
      </c>
      <c r="Y20" s="724">
        <v>42677</v>
      </c>
      <c r="Z20" s="693"/>
      <c r="AA20" s="720" t="s">
        <v>1102</v>
      </c>
      <c r="AB20" s="688">
        <v>107692.3</v>
      </c>
      <c r="AC20" s="688">
        <v>42625.62</v>
      </c>
      <c r="AD20" s="688">
        <f>AB20-AC20</f>
        <v>65066.68</v>
      </c>
      <c r="AE20" s="696">
        <v>42675</v>
      </c>
      <c r="AF20" s="688">
        <v>65066.68</v>
      </c>
      <c r="AG20" s="688">
        <v>0</v>
      </c>
      <c r="AH20" s="691">
        <f t="shared" si="8"/>
        <v>0</v>
      </c>
      <c r="AI20" s="695">
        <f t="shared" si="6"/>
        <v>0</v>
      </c>
      <c r="AJ20" s="687"/>
      <c r="AK20" s="695">
        <f>ROUND(AH20/$Z$4*5,2)</f>
        <v>0</v>
      </c>
      <c r="AL20" s="695">
        <f>ROUND(AH20/10,2)</f>
        <v>0</v>
      </c>
      <c r="AM20" s="695">
        <f t="shared" si="7"/>
        <v>0</v>
      </c>
      <c r="AN20" s="695">
        <f t="shared" si="7"/>
        <v>0</v>
      </c>
      <c r="AO20" s="695">
        <f t="shared" si="7"/>
        <v>0</v>
      </c>
      <c r="AP20" s="695">
        <f t="shared" si="7"/>
        <v>0</v>
      </c>
      <c r="AQ20" s="695">
        <f t="shared" si="7"/>
        <v>0</v>
      </c>
      <c r="AR20" s="695">
        <f t="shared" si="7"/>
        <v>0</v>
      </c>
      <c r="AS20" s="695">
        <f t="shared" si="7"/>
        <v>0</v>
      </c>
      <c r="AT20" s="695">
        <f t="shared" si="7"/>
        <v>0</v>
      </c>
      <c r="AU20" s="695">
        <f>ROUND(AH20/$Z$4*7,2)</f>
        <v>0</v>
      </c>
      <c r="AV20" s="695"/>
      <c r="AW20" s="687"/>
    </row>
    <row r="21" hidden="1" customHeight="1" spans="1:49">
      <c r="A21" s="687"/>
      <c r="B21" s="687"/>
      <c r="C21" s="688"/>
      <c r="D21" s="688"/>
      <c r="E21" s="688"/>
      <c r="F21" s="688"/>
      <c r="G21" s="688"/>
      <c r="H21" s="688"/>
      <c r="I21" s="725"/>
      <c r="U21" s="720" t="s">
        <v>1125</v>
      </c>
      <c r="V21" s="694" t="s">
        <v>1129</v>
      </c>
      <c r="W21" s="687"/>
      <c r="X21" s="723">
        <v>50186.36</v>
      </c>
      <c r="Y21" s="724">
        <v>41183</v>
      </c>
      <c r="Z21" s="693">
        <v>120</v>
      </c>
      <c r="AA21" s="720" t="s">
        <v>1102</v>
      </c>
      <c r="AB21" s="688">
        <v>88888.89</v>
      </c>
      <c r="AC21" s="726">
        <v>39406.17</v>
      </c>
      <c r="AD21" s="688">
        <f>AB21-AC21</f>
        <v>49482.72</v>
      </c>
      <c r="AE21" s="696">
        <v>42887</v>
      </c>
      <c r="AF21" s="688">
        <v>50186.36</v>
      </c>
      <c r="AG21" s="688">
        <v>703.639999999999</v>
      </c>
      <c r="AH21" s="691">
        <f t="shared" si="8"/>
        <v>703.639999999999</v>
      </c>
      <c r="AI21" s="695">
        <f t="shared" si="6"/>
        <v>0</v>
      </c>
      <c r="AJ21" s="687"/>
      <c r="AK21" s="695">
        <v>0</v>
      </c>
      <c r="AL21" s="695"/>
      <c r="AM21" s="695"/>
      <c r="AN21" s="695">
        <f>AH21</f>
        <v>703.639999999999</v>
      </c>
      <c r="AO21" s="695"/>
      <c r="AP21" s="695"/>
      <c r="AQ21" s="695"/>
      <c r="AR21" s="695"/>
      <c r="AS21" s="695"/>
      <c r="AT21" s="695"/>
      <c r="AU21" s="695"/>
      <c r="AV21" s="716"/>
      <c r="AW21" s="697">
        <f>SUM(AJ21:AV21)-AH21</f>
        <v>0</v>
      </c>
    </row>
    <row r="22" hidden="1" customHeight="1" spans="1:49">
      <c r="A22" s="687"/>
      <c r="B22" s="687"/>
      <c r="C22" s="688"/>
      <c r="D22" s="688"/>
      <c r="E22" s="688"/>
      <c r="F22" s="688"/>
      <c r="G22" s="688"/>
      <c r="H22" s="688"/>
      <c r="I22" s="727"/>
      <c r="U22" s="720" t="s">
        <v>1125</v>
      </c>
      <c r="V22" s="694" t="s">
        <v>1130</v>
      </c>
      <c r="W22" s="687"/>
      <c r="X22" s="723">
        <v>8075.08</v>
      </c>
      <c r="Y22" s="724">
        <v>42278</v>
      </c>
      <c r="Z22" s="693"/>
      <c r="AA22" s="720" t="s">
        <v>1102</v>
      </c>
      <c r="AB22" s="688">
        <v>14102.56</v>
      </c>
      <c r="AC22" s="728">
        <v>6027.48</v>
      </c>
      <c r="AD22" s="688">
        <f>AB22-AC22</f>
        <v>8075.08</v>
      </c>
      <c r="AE22" s="696">
        <v>43070</v>
      </c>
      <c r="AF22" s="688">
        <v>8075.08</v>
      </c>
      <c r="AG22" s="688">
        <v>0</v>
      </c>
      <c r="AH22" s="691">
        <f t="shared" si="8"/>
        <v>0</v>
      </c>
      <c r="AI22" s="695">
        <f t="shared" si="6"/>
        <v>0</v>
      </c>
      <c r="AJ22" s="687"/>
      <c r="AK22" s="695">
        <f>ROUND(AH22/$Z$4*5,2)</f>
        <v>0</v>
      </c>
      <c r="AL22" s="695">
        <f>ROUND(AH22/10,2)</f>
        <v>0</v>
      </c>
      <c r="AM22" s="695">
        <f t="shared" ref="AM22:AT23" si="9">AL22</f>
        <v>0</v>
      </c>
      <c r="AN22" s="695">
        <f t="shared" si="9"/>
        <v>0</v>
      </c>
      <c r="AO22" s="695">
        <f t="shared" si="9"/>
        <v>0</v>
      </c>
      <c r="AP22" s="695">
        <f t="shared" si="9"/>
        <v>0</v>
      </c>
      <c r="AQ22" s="695">
        <f t="shared" si="9"/>
        <v>0</v>
      </c>
      <c r="AR22" s="695">
        <f t="shared" si="9"/>
        <v>0</v>
      </c>
      <c r="AS22" s="695">
        <f t="shared" si="9"/>
        <v>0</v>
      </c>
      <c r="AT22" s="695">
        <f t="shared" si="9"/>
        <v>0</v>
      </c>
      <c r="AU22" s="695">
        <f>ROUND(AH22/$Z$4*7,2)</f>
        <v>0</v>
      </c>
      <c r="AV22" s="695"/>
      <c r="AW22" s="687"/>
    </row>
    <row r="23" hidden="1" customHeight="1" spans="1:49">
      <c r="A23" s="687"/>
      <c r="B23" s="687"/>
      <c r="C23" s="688"/>
      <c r="D23" s="688"/>
      <c r="E23" s="688"/>
      <c r="F23" s="688"/>
      <c r="G23" s="688"/>
      <c r="H23" s="688"/>
      <c r="I23" s="706"/>
      <c r="U23" s="720" t="s">
        <v>1125</v>
      </c>
      <c r="V23" s="694" t="s">
        <v>1131</v>
      </c>
      <c r="W23" s="687"/>
      <c r="X23" s="723">
        <v>41852.58</v>
      </c>
      <c r="Y23" s="724">
        <v>42678</v>
      </c>
      <c r="Z23" s="693"/>
      <c r="AA23" s="720" t="s">
        <v>1102</v>
      </c>
      <c r="AB23" s="688">
        <v>68376.07</v>
      </c>
      <c r="AC23" s="688">
        <v>26523.49</v>
      </c>
      <c r="AD23" s="688">
        <v>41852.58</v>
      </c>
      <c r="AE23" s="696">
        <v>42675</v>
      </c>
      <c r="AF23" s="688">
        <v>41852.58</v>
      </c>
      <c r="AG23" s="688">
        <v>0</v>
      </c>
      <c r="AH23" s="691">
        <f t="shared" si="8"/>
        <v>0</v>
      </c>
      <c r="AI23" s="695">
        <f t="shared" si="6"/>
        <v>0</v>
      </c>
      <c r="AJ23" s="687"/>
      <c r="AK23" s="695">
        <f>ROUND(AH23/$Z$4*5,2)</f>
        <v>0</v>
      </c>
      <c r="AL23" s="695">
        <f>ROUND(AH23/10,2)</f>
        <v>0</v>
      </c>
      <c r="AM23" s="695">
        <f t="shared" si="9"/>
        <v>0</v>
      </c>
      <c r="AN23" s="695">
        <f t="shared" si="9"/>
        <v>0</v>
      </c>
      <c r="AO23" s="695">
        <f t="shared" si="9"/>
        <v>0</v>
      </c>
      <c r="AP23" s="695">
        <f t="shared" si="9"/>
        <v>0</v>
      </c>
      <c r="AQ23" s="695">
        <f t="shared" si="9"/>
        <v>0</v>
      </c>
      <c r="AR23" s="695">
        <f t="shared" si="9"/>
        <v>0</v>
      </c>
      <c r="AS23" s="695">
        <f t="shared" si="9"/>
        <v>0</v>
      </c>
      <c r="AT23" s="695">
        <f t="shared" si="9"/>
        <v>0</v>
      </c>
      <c r="AU23" s="695">
        <f>ROUND(AH23/$Z$4*7,2)</f>
        <v>0</v>
      </c>
      <c r="AV23" s="695"/>
      <c r="AW23" s="687"/>
    </row>
    <row r="24" hidden="1" customHeight="1" spans="1:49">
      <c r="A24" s="693"/>
      <c r="B24" s="693"/>
      <c r="C24" s="688"/>
      <c r="D24" s="688"/>
      <c r="E24" s="688"/>
      <c r="F24" s="688"/>
      <c r="G24" s="688"/>
      <c r="H24" s="688"/>
      <c r="I24" s="706"/>
      <c r="Y24" s="724"/>
      <c r="AF24" s="667"/>
      <c r="AG24" s="688">
        <v>0</v>
      </c>
      <c r="AH24" s="691">
        <f t="shared" si="8"/>
        <v>0</v>
      </c>
    </row>
    <row r="25" hidden="1" customHeight="1" spans="1:49">
      <c r="C25" s="729"/>
      <c r="U25" s="720" t="s">
        <v>1102</v>
      </c>
      <c r="V25" s="687" t="s">
        <v>1132</v>
      </c>
      <c r="W25" s="687"/>
      <c r="X25" s="723">
        <v>66665.27</v>
      </c>
      <c r="Y25" s="724">
        <v>42680</v>
      </c>
      <c r="Z25" s="693"/>
      <c r="AA25" s="693" t="s">
        <v>1097</v>
      </c>
      <c r="AB25" s="688">
        <v>246153.83</v>
      </c>
      <c r="AC25" s="688">
        <v>179488.56</v>
      </c>
      <c r="AD25" s="688">
        <f>AB25-AC25</f>
        <v>66665.27</v>
      </c>
      <c r="AE25" s="724">
        <v>42680</v>
      </c>
      <c r="AF25" s="688">
        <f>X25</f>
        <v>66665.27</v>
      </c>
      <c r="AG25" s="688">
        <v>0</v>
      </c>
      <c r="AH25" s="691">
        <f t="shared" si="8"/>
        <v>0</v>
      </c>
      <c r="AI25" s="687"/>
      <c r="AJ25" s="687"/>
      <c r="AK25" s="687"/>
      <c r="AL25" s="687"/>
      <c r="AM25" s="687"/>
      <c r="AN25" s="687"/>
      <c r="AO25" s="687"/>
      <c r="AP25" s="687"/>
      <c r="AQ25" s="687"/>
      <c r="AR25" s="687"/>
      <c r="AS25" s="687"/>
      <c r="AT25" s="687"/>
      <c r="AU25" s="687"/>
      <c r="AV25" s="687"/>
      <c r="AW25" s="687"/>
    </row>
    <row r="26" hidden="1" customHeight="1" spans="1:49">
      <c r="A26" s="707"/>
      <c r="I26" s="730"/>
      <c r="U26" s="720" t="s">
        <v>1102</v>
      </c>
      <c r="V26" s="687" t="s">
        <v>1133</v>
      </c>
      <c r="W26" s="687"/>
      <c r="X26" s="723">
        <v>96047.18</v>
      </c>
      <c r="Y26" s="724">
        <v>42681</v>
      </c>
      <c r="Z26" s="693"/>
      <c r="AA26" s="693" t="s">
        <v>1097</v>
      </c>
      <c r="AB26" s="688">
        <v>256410.26</v>
      </c>
      <c r="AC26" s="688">
        <v>160363.08</v>
      </c>
      <c r="AD26" s="688">
        <f t="shared" ref="AD26:AD34" si="10">AB26-AC26</f>
        <v>96047.18</v>
      </c>
      <c r="AE26" s="724">
        <v>42681</v>
      </c>
      <c r="AF26" s="688">
        <f t="shared" ref="AF26:AF33" si="11">X26</f>
        <v>96047.18</v>
      </c>
      <c r="AG26" s="688">
        <v>0</v>
      </c>
      <c r="AH26" s="691">
        <f t="shared" si="8"/>
        <v>0</v>
      </c>
      <c r="AI26" s="687"/>
      <c r="AJ26" s="687"/>
      <c r="AK26" s="687"/>
      <c r="AL26" s="687"/>
      <c r="AM26" s="687"/>
      <c r="AN26" s="687"/>
      <c r="AO26" s="687"/>
      <c r="AP26" s="687"/>
      <c r="AQ26" s="687"/>
      <c r="AR26" s="687"/>
      <c r="AS26" s="687"/>
      <c r="AT26" s="687"/>
      <c r="AU26" s="687"/>
      <c r="AV26" s="687"/>
      <c r="AW26" s="687"/>
    </row>
    <row r="27" hidden="1" customHeight="1" spans="1:49">
      <c r="B27" s="717"/>
      <c r="C27" s="707"/>
      <c r="D27" s="667"/>
      <c r="E27" s="667"/>
      <c r="F27" s="718"/>
      <c r="G27" s="719"/>
      <c r="I27" s="730"/>
      <c r="U27" s="720" t="s">
        <v>1102</v>
      </c>
      <c r="V27" s="687" t="s">
        <v>1134</v>
      </c>
      <c r="W27" s="687"/>
      <c r="X27" s="723">
        <v>160078.42</v>
      </c>
      <c r="Y27" s="724">
        <v>42677</v>
      </c>
      <c r="Z27" s="693"/>
      <c r="AA27" s="693" t="s">
        <v>1097</v>
      </c>
      <c r="AB27" s="688">
        <v>427350.43</v>
      </c>
      <c r="AC27" s="688">
        <v>267272.01</v>
      </c>
      <c r="AD27" s="688">
        <f t="shared" si="10"/>
        <v>160078.42</v>
      </c>
      <c r="AE27" s="724">
        <v>42677</v>
      </c>
      <c r="AF27" s="688">
        <f t="shared" si="11"/>
        <v>160078.42</v>
      </c>
      <c r="AG27" s="688">
        <v>0</v>
      </c>
      <c r="AH27" s="691">
        <f t="shared" si="8"/>
        <v>0</v>
      </c>
      <c r="AI27" s="687"/>
      <c r="AJ27" s="687"/>
      <c r="AK27" s="687"/>
      <c r="AL27" s="687"/>
      <c r="AM27" s="687"/>
      <c r="AN27" s="687"/>
      <c r="AO27" s="687"/>
      <c r="AP27" s="687"/>
      <c r="AQ27" s="687"/>
      <c r="AR27" s="687"/>
      <c r="AS27" s="687"/>
      <c r="AT27" s="687"/>
      <c r="AU27" s="687"/>
      <c r="AV27" s="687"/>
      <c r="AW27" s="687"/>
    </row>
    <row r="28" hidden="1" customHeight="1" spans="1:49">
      <c r="B28" s="717"/>
      <c r="C28" s="707"/>
      <c r="D28" s="667"/>
      <c r="E28" s="667"/>
      <c r="F28" s="718"/>
      <c r="G28" s="719"/>
      <c r="U28" s="720" t="s">
        <v>1102</v>
      </c>
      <c r="V28" s="687" t="s">
        <v>1134</v>
      </c>
      <c r="W28" s="687"/>
      <c r="X28" s="723">
        <v>110256.55</v>
      </c>
      <c r="Y28" s="724">
        <v>42678</v>
      </c>
      <c r="Z28" s="693"/>
      <c r="AA28" s="693" t="s">
        <v>1097</v>
      </c>
      <c r="AB28" s="688">
        <v>256410.26</v>
      </c>
      <c r="AC28" s="688">
        <v>146153.71</v>
      </c>
      <c r="AD28" s="688">
        <f t="shared" si="10"/>
        <v>110256.55</v>
      </c>
      <c r="AE28" s="724">
        <v>42678</v>
      </c>
      <c r="AF28" s="688">
        <f t="shared" si="11"/>
        <v>110256.55</v>
      </c>
      <c r="AG28" s="688">
        <v>0</v>
      </c>
      <c r="AH28" s="691">
        <f t="shared" si="8"/>
        <v>0</v>
      </c>
      <c r="AI28" s="687"/>
      <c r="AJ28" s="687"/>
      <c r="AK28" s="687"/>
      <c r="AL28" s="687"/>
      <c r="AM28" s="687"/>
      <c r="AN28" s="687"/>
      <c r="AO28" s="687"/>
      <c r="AP28" s="687"/>
      <c r="AQ28" s="687"/>
      <c r="AR28" s="687"/>
      <c r="AS28" s="687"/>
      <c r="AT28" s="687"/>
      <c r="AU28" s="687"/>
      <c r="AV28" s="687"/>
      <c r="AW28" s="687"/>
    </row>
    <row r="29" hidden="1" customHeight="1" spans="1:49">
      <c r="B29" s="717"/>
      <c r="C29" s="707"/>
      <c r="D29" s="667"/>
      <c r="E29" s="667"/>
      <c r="F29" s="667"/>
      <c r="G29" s="667"/>
      <c r="U29" s="720" t="s">
        <v>1102</v>
      </c>
      <c r="V29" s="687" t="s">
        <v>1135</v>
      </c>
      <c r="W29" s="687"/>
      <c r="X29" s="723">
        <v>32911.01</v>
      </c>
      <c r="Y29" s="724">
        <v>42679</v>
      </c>
      <c r="Z29" s="693"/>
      <c r="AA29" s="693" t="s">
        <v>1097</v>
      </c>
      <c r="AB29" s="688">
        <v>70085.48</v>
      </c>
      <c r="AC29" s="688">
        <v>37174.47</v>
      </c>
      <c r="AD29" s="688">
        <f t="shared" si="10"/>
        <v>32911.01</v>
      </c>
      <c r="AE29" s="724">
        <v>42679</v>
      </c>
      <c r="AF29" s="688">
        <f t="shared" si="11"/>
        <v>32911.01</v>
      </c>
      <c r="AG29" s="688">
        <v>0</v>
      </c>
      <c r="AH29" s="691">
        <f t="shared" si="8"/>
        <v>0</v>
      </c>
      <c r="AI29" s="687"/>
      <c r="AJ29" s="687"/>
      <c r="AK29" s="687"/>
      <c r="AL29" s="687"/>
      <c r="AM29" s="687"/>
      <c r="AN29" s="687"/>
      <c r="AO29" s="687"/>
      <c r="AP29" s="687"/>
      <c r="AQ29" s="687"/>
      <c r="AR29" s="687"/>
      <c r="AS29" s="687"/>
      <c r="AT29" s="687"/>
      <c r="AU29" s="687"/>
      <c r="AV29" s="687"/>
      <c r="AW29" s="687"/>
    </row>
    <row r="30" hidden="1" customHeight="1" spans="1:49">
      <c r="B30" s="717"/>
      <c r="C30" s="707"/>
      <c r="D30" s="667"/>
      <c r="E30" s="667"/>
      <c r="F30" s="667"/>
      <c r="G30" s="667"/>
      <c r="U30" s="720" t="s">
        <v>1102</v>
      </c>
      <c r="V30" s="687" t="s">
        <v>1136</v>
      </c>
      <c r="W30" s="687"/>
      <c r="X30" s="723">
        <v>6013.98</v>
      </c>
      <c r="Y30" s="724">
        <v>42680</v>
      </c>
      <c r="Z30" s="693"/>
      <c r="AA30" s="693" t="s">
        <v>1097</v>
      </c>
      <c r="AB30" s="688">
        <v>37393.16</v>
      </c>
      <c r="AC30" s="688">
        <v>31379.18</v>
      </c>
      <c r="AD30" s="688">
        <f t="shared" si="10"/>
        <v>6013.98</v>
      </c>
      <c r="AE30" s="724">
        <v>42680</v>
      </c>
      <c r="AF30" s="688">
        <f t="shared" si="11"/>
        <v>6013.98</v>
      </c>
      <c r="AG30" s="688">
        <v>0</v>
      </c>
      <c r="AH30" s="691">
        <f t="shared" si="8"/>
        <v>0</v>
      </c>
      <c r="AI30" s="687"/>
      <c r="AJ30" s="687"/>
      <c r="AK30" s="687"/>
      <c r="AL30" s="687"/>
      <c r="AM30" s="687"/>
      <c r="AN30" s="687"/>
      <c r="AO30" s="687"/>
      <c r="AP30" s="687"/>
      <c r="AQ30" s="687"/>
      <c r="AR30" s="687"/>
      <c r="AS30" s="687"/>
      <c r="AT30" s="687"/>
      <c r="AU30" s="687"/>
      <c r="AV30" s="687"/>
      <c r="AW30" s="687"/>
    </row>
    <row r="31" hidden="1" customHeight="1" spans="1:49">
      <c r="B31" s="717"/>
      <c r="C31" s="707"/>
      <c r="D31" s="667"/>
      <c r="E31" s="667"/>
      <c r="F31" s="667"/>
      <c r="G31" s="667"/>
      <c r="U31" s="720" t="s">
        <v>1102</v>
      </c>
      <c r="V31" s="687" t="s">
        <v>1137</v>
      </c>
      <c r="W31" s="687"/>
      <c r="X31" s="723">
        <v>2489102.55</v>
      </c>
      <c r="Y31" s="724">
        <v>42681</v>
      </c>
      <c r="Z31" s="693"/>
      <c r="AA31" s="693" t="s">
        <v>1097</v>
      </c>
      <c r="AB31" s="688">
        <v>4230769.23</v>
      </c>
      <c r="AC31" s="688">
        <v>1741666.68</v>
      </c>
      <c r="AD31" s="688">
        <f t="shared" si="10"/>
        <v>2489102.55</v>
      </c>
      <c r="AE31" s="724">
        <v>42680</v>
      </c>
      <c r="AF31" s="688">
        <f t="shared" si="11"/>
        <v>2489102.55</v>
      </c>
      <c r="AG31" s="688">
        <v>0</v>
      </c>
      <c r="AH31" s="691">
        <f t="shared" si="8"/>
        <v>0</v>
      </c>
      <c r="AI31" s="687"/>
      <c r="AJ31" s="687"/>
      <c r="AK31" s="687"/>
      <c r="AL31" s="687"/>
      <c r="AM31" s="687"/>
      <c r="AN31" s="687"/>
      <c r="AO31" s="687"/>
      <c r="AP31" s="687"/>
      <c r="AQ31" s="687"/>
      <c r="AR31" s="687"/>
      <c r="AS31" s="687"/>
      <c r="AT31" s="687"/>
      <c r="AU31" s="687"/>
      <c r="AV31" s="687"/>
      <c r="AW31" s="687"/>
    </row>
    <row r="32" hidden="1" customHeight="1" spans="1:49">
      <c r="D32" s="729"/>
      <c r="E32" s="729"/>
      <c r="U32" s="720" t="s">
        <v>1102</v>
      </c>
      <c r="V32" s="687" t="s">
        <v>1138</v>
      </c>
      <c r="W32" s="687"/>
      <c r="X32" s="723">
        <v>6200</v>
      </c>
      <c r="Y32" s="724">
        <v>42682</v>
      </c>
      <c r="Z32" s="693"/>
      <c r="AA32" s="693" t="s">
        <v>1097</v>
      </c>
      <c r="AB32" s="688">
        <v>10000</v>
      </c>
      <c r="AC32" s="688">
        <v>3800</v>
      </c>
      <c r="AD32" s="688">
        <f t="shared" si="10"/>
        <v>6200</v>
      </c>
      <c r="AE32" s="724">
        <v>42681</v>
      </c>
      <c r="AF32" s="688">
        <f t="shared" si="11"/>
        <v>6200</v>
      </c>
      <c r="AG32" s="688">
        <v>0</v>
      </c>
      <c r="AH32" s="691">
        <f t="shared" si="8"/>
        <v>0</v>
      </c>
      <c r="AI32" s="687"/>
      <c r="AJ32" s="687"/>
      <c r="AK32" s="687"/>
      <c r="AL32" s="687"/>
      <c r="AM32" s="687"/>
      <c r="AN32" s="687"/>
      <c r="AO32" s="687"/>
      <c r="AP32" s="687"/>
      <c r="AQ32" s="687"/>
      <c r="AR32" s="687"/>
      <c r="AS32" s="687"/>
      <c r="AT32" s="687"/>
      <c r="AU32" s="687"/>
      <c r="AV32" s="687"/>
      <c r="AW32" s="687"/>
    </row>
    <row r="33" hidden="1" customHeight="1" spans="1:50">
      <c r="A33" s="674"/>
      <c r="B33" s="674"/>
      <c r="C33" s="679"/>
      <c r="D33" s="680"/>
      <c r="E33" s="680"/>
      <c r="F33" s="680"/>
      <c r="G33" s="680"/>
      <c r="H33" s="680"/>
      <c r="I33" s="681"/>
      <c r="U33" s="720" t="s">
        <v>1102</v>
      </c>
      <c r="V33" s="687" t="s">
        <v>1139</v>
      </c>
      <c r="W33" s="687"/>
      <c r="X33" s="723">
        <v>69907.36</v>
      </c>
      <c r="Y33" s="724">
        <v>42683</v>
      </c>
      <c r="Z33" s="693"/>
      <c r="AA33" s="693" t="s">
        <v>1097</v>
      </c>
      <c r="AB33" s="688">
        <v>85470.08</v>
      </c>
      <c r="AC33" s="688">
        <v>15562.72</v>
      </c>
      <c r="AD33" s="688">
        <f t="shared" si="10"/>
        <v>69907.36</v>
      </c>
      <c r="AE33" s="724">
        <v>42677</v>
      </c>
      <c r="AF33" s="688">
        <f t="shared" si="11"/>
        <v>69907.36</v>
      </c>
      <c r="AG33" s="688">
        <v>0</v>
      </c>
      <c r="AH33" s="691">
        <f t="shared" si="8"/>
        <v>0</v>
      </c>
      <c r="AI33" s="687"/>
      <c r="AJ33" s="687"/>
      <c r="AK33" s="687"/>
      <c r="AL33" s="687"/>
      <c r="AM33" s="687"/>
      <c r="AN33" s="687"/>
      <c r="AO33" s="687"/>
      <c r="AP33" s="687"/>
      <c r="AQ33" s="687"/>
      <c r="AR33" s="687"/>
      <c r="AS33" s="687"/>
      <c r="AT33" s="687"/>
      <c r="AU33" s="687"/>
      <c r="AV33" s="687"/>
      <c r="AW33" s="687"/>
    </row>
    <row r="34" hidden="1" customHeight="1" spans="1:50">
      <c r="A34" s="674"/>
      <c r="B34" s="674"/>
      <c r="C34" s="674"/>
      <c r="D34" s="674"/>
      <c r="E34" s="674"/>
      <c r="F34" s="674"/>
      <c r="G34" s="674"/>
      <c r="H34" s="731"/>
      <c r="I34" s="683"/>
      <c r="U34" s="720" t="s">
        <v>1102</v>
      </c>
      <c r="V34" s="687" t="s">
        <v>1140</v>
      </c>
      <c r="W34" s="687"/>
      <c r="X34" s="688">
        <v>212517.76</v>
      </c>
      <c r="Y34" s="688"/>
      <c r="Z34" s="689"/>
      <c r="AA34" s="689" t="s">
        <v>1125</v>
      </c>
      <c r="AB34" s="688">
        <v>264957.26</v>
      </c>
      <c r="AC34" s="728">
        <v>52439.5</v>
      </c>
      <c r="AD34" s="688">
        <f t="shared" si="10"/>
        <v>212517.76</v>
      </c>
      <c r="AE34" s="732">
        <v>42917</v>
      </c>
      <c r="AF34" s="688">
        <v>212517.26</v>
      </c>
      <c r="AG34" s="688">
        <f>AF34-AD34</f>
        <v>-0.5</v>
      </c>
      <c r="AH34" s="691">
        <f t="shared" si="8"/>
        <v>-0.5</v>
      </c>
      <c r="AI34" s="695">
        <f>X34-AD34-AH34</f>
        <v>0.5</v>
      </c>
      <c r="AJ34" s="687"/>
      <c r="AK34" s="687"/>
      <c r="AL34" s="687"/>
      <c r="AM34" s="687"/>
      <c r="AN34" s="687"/>
      <c r="AO34" s="687"/>
      <c r="AP34" s="687"/>
      <c r="AQ34" s="687"/>
      <c r="AR34" s="687"/>
      <c r="AS34" s="687"/>
      <c r="AT34" s="687"/>
      <c r="AU34" s="687"/>
      <c r="AV34" s="687"/>
      <c r="AW34" s="687"/>
    </row>
    <row r="35" ht="19.5" hidden="1" customHeight="1" spans="1:50">
      <c r="A35" s="687"/>
      <c r="B35" s="687"/>
      <c r="C35" s="695"/>
      <c r="D35" s="695"/>
      <c r="E35" s="695"/>
      <c r="F35" s="688"/>
      <c r="G35" s="688"/>
      <c r="H35" s="695"/>
      <c r="I35" s="722"/>
      <c r="U35" s="733"/>
      <c r="V35" s="734"/>
      <c r="W35" s="734"/>
      <c r="X35" s="735"/>
      <c r="Y35" s="735"/>
      <c r="Z35" s="736"/>
      <c r="AA35" s="736"/>
      <c r="AB35" s="735"/>
      <c r="AC35" s="737"/>
      <c r="AD35" s="735"/>
      <c r="AE35" s="738"/>
      <c r="AF35" s="735"/>
      <c r="AG35" s="735"/>
      <c r="AH35" s="739"/>
      <c r="AI35" s="740"/>
      <c r="AJ35" s="734"/>
      <c r="AK35" s="734"/>
      <c r="AL35" s="734"/>
      <c r="AM35" s="734"/>
      <c r="AN35" s="734"/>
      <c r="AO35" s="734"/>
      <c r="AP35" s="734"/>
      <c r="AQ35" s="734"/>
      <c r="AR35" s="734"/>
      <c r="AS35" s="734"/>
      <c r="AT35" s="734"/>
      <c r="AU35" s="734"/>
      <c r="AV35" s="734"/>
      <c r="AW35" s="734"/>
    </row>
    <row r="36" hidden="1" customHeight="1" spans="1:50">
      <c r="A36" s="694"/>
      <c r="B36" s="687"/>
      <c r="C36" s="703"/>
      <c r="D36" s="695"/>
      <c r="E36" s="695"/>
      <c r="F36" s="688"/>
      <c r="G36" s="688"/>
      <c r="H36" s="695"/>
      <c r="I36" s="725"/>
      <c r="U36" s="684"/>
      <c r="V36" s="684" t="s">
        <v>1141</v>
      </c>
      <c r="W36" s="684" t="s">
        <v>786</v>
      </c>
      <c r="X36" s="684" t="s">
        <v>787</v>
      </c>
      <c r="Y36" s="684" t="s">
        <v>1142</v>
      </c>
      <c r="Z36" s="684"/>
      <c r="AA36" s="684" t="s">
        <v>1020</v>
      </c>
      <c r="AB36" s="684" t="s">
        <v>1143</v>
      </c>
      <c r="AC36" s="684" t="s">
        <v>899</v>
      </c>
      <c r="AD36" s="684" t="s">
        <v>1144</v>
      </c>
      <c r="AE36" s="684" t="s">
        <v>784</v>
      </c>
      <c r="AF36" s="684" t="s">
        <v>1145</v>
      </c>
      <c r="AG36" s="684" t="s">
        <v>1146</v>
      </c>
      <c r="AH36" s="684" t="s">
        <v>1147</v>
      </c>
      <c r="AI36" s="741"/>
      <c r="AJ36" s="742" t="s">
        <v>1148</v>
      </c>
      <c r="AK36" s="743"/>
      <c r="AL36" s="743"/>
      <c r="AM36" s="743"/>
      <c r="AN36" s="743"/>
      <c r="AO36" s="743"/>
      <c r="AP36" s="743"/>
      <c r="AQ36" s="743"/>
      <c r="AR36" s="743"/>
      <c r="AS36" s="743"/>
      <c r="AT36" s="743"/>
      <c r="AU36" s="743"/>
      <c r="AV36" s="743"/>
      <c r="AW36" s="744"/>
      <c r="AX36" s="684"/>
    </row>
    <row r="37" hidden="1" customHeight="1" spans="1:50">
      <c r="A37" s="687"/>
      <c r="B37" s="687"/>
      <c r="C37" s="695"/>
      <c r="D37" s="695"/>
      <c r="E37" s="695"/>
      <c r="F37" s="688"/>
      <c r="G37" s="688"/>
      <c r="H37" s="695"/>
      <c r="I37" s="722"/>
      <c r="U37" s="720" t="s">
        <v>1149</v>
      </c>
      <c r="V37" s="687" t="s">
        <v>1150</v>
      </c>
      <c r="W37" s="688">
        <v>140086.21</v>
      </c>
      <c r="X37" s="688">
        <v>86206.9</v>
      </c>
      <c r="Y37" s="724"/>
      <c r="Z37" s="720"/>
      <c r="AA37" s="720" t="s">
        <v>1125</v>
      </c>
      <c r="AB37" s="745" t="s">
        <v>1151</v>
      </c>
      <c r="AC37" s="689">
        <f>W37</f>
        <v>140086.21</v>
      </c>
      <c r="AD37" s="746"/>
      <c r="AE37" s="746"/>
      <c r="AF37" s="688" t="s">
        <v>1152</v>
      </c>
      <c r="AG37" s="724"/>
      <c r="AH37" s="688"/>
      <c r="AI37" s="691"/>
      <c r="AJ37" s="687"/>
      <c r="AK37" s="687"/>
      <c r="AL37" s="687"/>
      <c r="AM37" s="687"/>
      <c r="AN37" s="687"/>
      <c r="AO37" s="687"/>
      <c r="AP37" s="687"/>
      <c r="AQ37" s="687"/>
      <c r="AR37" s="687"/>
      <c r="AS37" s="687"/>
      <c r="AT37" s="687"/>
      <c r="AU37" s="687"/>
      <c r="AV37" s="687"/>
      <c r="AW37" s="687"/>
      <c r="AX37" s="687"/>
    </row>
    <row r="38" hidden="1" customHeight="1" spans="1:50">
      <c r="A38" s="687"/>
      <c r="B38" s="687"/>
      <c r="C38" s="695"/>
      <c r="D38" s="695"/>
      <c r="E38" s="695"/>
      <c r="F38" s="688"/>
      <c r="G38" s="688"/>
      <c r="H38" s="695"/>
      <c r="I38" s="725"/>
      <c r="U38" s="720" t="s">
        <v>1149</v>
      </c>
      <c r="V38" s="687" t="s">
        <v>1153</v>
      </c>
      <c r="W38" s="688">
        <v>4551945.16</v>
      </c>
      <c r="X38" s="688">
        <v>5689949.23</v>
      </c>
      <c r="Y38" s="724"/>
      <c r="Z38" s="747"/>
      <c r="AA38" s="720" t="s">
        <v>1125</v>
      </c>
      <c r="AB38" s="689" t="s">
        <v>1154</v>
      </c>
      <c r="AC38" s="689">
        <v>4551945.16</v>
      </c>
      <c r="AD38" s="689">
        <v>36036.23</v>
      </c>
      <c r="AE38" s="689">
        <f>AD38</f>
        <v>36036.23</v>
      </c>
      <c r="AF38" s="748" t="s">
        <v>1154</v>
      </c>
      <c r="AG38" s="688">
        <v>0.05</v>
      </c>
      <c r="AH38" s="688">
        <v>120</v>
      </c>
      <c r="AI38" s="691"/>
      <c r="AJ38" s="687"/>
      <c r="AK38" s="687"/>
      <c r="AL38" s="687"/>
      <c r="AM38" s="687"/>
      <c r="AN38" s="687"/>
      <c r="AO38" s="687"/>
      <c r="AP38" s="688"/>
      <c r="AQ38" s="687"/>
      <c r="AR38" s="687"/>
      <c r="AS38" s="687"/>
      <c r="AT38" s="687"/>
      <c r="AU38" s="687"/>
      <c r="AV38" s="687"/>
      <c r="AW38" s="687"/>
      <c r="AX38" s="687"/>
    </row>
    <row r="39" hidden="1" customHeight="1" spans="1:50">
      <c r="A39" s="687"/>
      <c r="B39" s="687"/>
      <c r="C39" s="695"/>
      <c r="D39" s="695"/>
      <c r="E39" s="695"/>
      <c r="F39" s="688"/>
      <c r="G39" s="688"/>
      <c r="H39" s="695"/>
      <c r="I39" s="706"/>
      <c r="U39" s="720" t="s">
        <v>1125</v>
      </c>
      <c r="V39" s="694" t="s">
        <v>1151</v>
      </c>
      <c r="W39" s="688">
        <v>51138.14</v>
      </c>
      <c r="X39" s="688">
        <v>46564.39</v>
      </c>
      <c r="Y39" s="688"/>
      <c r="Z39" s="746"/>
      <c r="AA39" s="689" t="s">
        <v>1149</v>
      </c>
      <c r="AB39" s="689" t="s">
        <v>1155</v>
      </c>
      <c r="AC39" s="688">
        <f>X39</f>
        <v>46564.39</v>
      </c>
      <c r="AD39" s="728"/>
      <c r="AE39" s="728"/>
      <c r="AF39" s="748" t="s">
        <v>125</v>
      </c>
      <c r="AG39" s="732"/>
      <c r="AH39" s="688"/>
      <c r="AI39" s="691"/>
      <c r="AJ39" s="695"/>
      <c r="AK39" s="687"/>
      <c r="AL39" s="687"/>
      <c r="AM39" s="687"/>
      <c r="AN39" s="687"/>
      <c r="AO39" s="687"/>
      <c r="AP39" s="687"/>
      <c r="AQ39" s="687"/>
      <c r="AR39" s="687"/>
      <c r="AS39" s="687"/>
      <c r="AT39" s="687"/>
      <c r="AU39" s="687"/>
      <c r="AV39" s="687"/>
      <c r="AW39" s="687"/>
      <c r="AX39" s="687"/>
    </row>
    <row r="40" hidden="1" customHeight="1" spans="1:50">
      <c r="A40" s="687"/>
      <c r="B40" s="687"/>
      <c r="C40" s="695"/>
      <c r="D40" s="695"/>
      <c r="E40" s="695"/>
      <c r="F40" s="688"/>
      <c r="G40" s="688"/>
      <c r="H40" s="688"/>
      <c r="I40" s="706"/>
    </row>
    <row r="41" ht="16.5" hidden="1" customHeight="1" spans="1:50">
      <c r="A41" s="687"/>
      <c r="B41" s="687"/>
      <c r="C41" s="695"/>
      <c r="D41" s="695"/>
      <c r="E41" s="695"/>
      <c r="F41" s="688"/>
      <c r="G41" s="688"/>
      <c r="H41" s="688"/>
      <c r="I41" s="722"/>
      <c r="U41" s="749" t="s">
        <v>1156</v>
      </c>
      <c r="V41" s="554"/>
      <c r="W41" s="750"/>
      <c r="X41" s="554"/>
      <c r="Y41" s="582">
        <f>W37-X37</f>
        <v>53879.31</v>
      </c>
      <c r="Z41" s="751" t="s">
        <v>1157</v>
      </c>
      <c r="AA41" s="729" t="s">
        <v>1150</v>
      </c>
      <c r="AC41" s="729">
        <f>AC37+AC38</f>
        <v>4692031.37</v>
      </c>
      <c r="AD41" s="667"/>
    </row>
    <row r="42" ht="20.25" hidden="1" customHeight="1" spans="1:50">
      <c r="A42" s="687"/>
      <c r="B42" s="687"/>
      <c r="C42" s="695"/>
      <c r="D42" s="695"/>
      <c r="E42" s="695"/>
      <c r="F42" s="688"/>
      <c r="G42" s="688"/>
      <c r="H42" s="688"/>
      <c r="I42" s="725"/>
      <c r="U42" s="749" t="s">
        <v>1158</v>
      </c>
      <c r="Y42" s="582">
        <f>W38-X38</f>
        <v>-1138004.07</v>
      </c>
      <c r="Z42" s="752" t="s">
        <v>1157</v>
      </c>
      <c r="AA42" s="729" t="s">
        <v>1153</v>
      </c>
    </row>
    <row r="43" hidden="1" customHeight="1" spans="1:50">
      <c r="A43" s="693"/>
      <c r="B43" s="693"/>
      <c r="C43" s="695"/>
      <c r="D43" s="695"/>
      <c r="E43" s="695"/>
      <c r="F43" s="688"/>
      <c r="G43" s="688"/>
      <c r="H43" s="695"/>
      <c r="I43" s="706"/>
      <c r="U43" s="749" t="s">
        <v>1159</v>
      </c>
      <c r="Y43" s="582">
        <v>-1138004.07</v>
      </c>
      <c r="Z43" s="752"/>
      <c r="AA43" s="729">
        <f>W39-X39</f>
        <v>4573.75</v>
      </c>
    </row>
    <row r="44" hidden="1" customHeight="1" spans="1:50">
      <c r="H44" s="753"/>
      <c r="U44" s="749" t="s">
        <v>154</v>
      </c>
      <c r="V44" s="749" t="s">
        <v>1160</v>
      </c>
      <c r="W44" s="582">
        <f>-ROUND(Y42*50%,2)</f>
        <v>569002.04</v>
      </c>
      <c r="X44" s="554"/>
      <c r="Y44" s="749" t="s">
        <v>1161</v>
      </c>
      <c r="Z44" s="754"/>
      <c r="AB44" s="667"/>
    </row>
    <row r="45" hidden="1" customHeight="1" spans="1:50">
      <c r="A45" s="707"/>
      <c r="I45" s="753"/>
      <c r="U45" s="749" t="s">
        <v>791</v>
      </c>
      <c r="V45" s="554"/>
      <c r="W45" s="554"/>
      <c r="X45" s="582">
        <f>W44</f>
        <v>569002.04</v>
      </c>
      <c r="Y45" s="749" t="s">
        <v>1161</v>
      </c>
      <c r="AA45" s="755"/>
      <c r="AB45" s="667"/>
    </row>
    <row r="46" hidden="1" customHeight="1" spans="1:50">
      <c r="B46" s="717"/>
      <c r="C46" s="707"/>
      <c r="D46" s="667"/>
      <c r="E46" s="667"/>
      <c r="F46" s="718"/>
      <c r="G46" s="719"/>
      <c r="U46" s="749" t="s">
        <v>1162</v>
      </c>
      <c r="Y46" s="749" t="s">
        <v>1161</v>
      </c>
      <c r="AA46" s="707"/>
      <c r="AB46" s="667"/>
    </row>
    <row r="47" hidden="1" customHeight="1" spans="1:50">
      <c r="B47" s="717"/>
      <c r="C47" s="707"/>
      <c r="D47" s="667"/>
      <c r="E47" s="667"/>
      <c r="F47" s="718"/>
      <c r="G47" s="719"/>
      <c r="U47" s="749" t="s">
        <v>154</v>
      </c>
      <c r="V47" s="707"/>
      <c r="W47" s="582">
        <f>ROUND(Y42*AD38/W38*50%,2)</f>
        <v>-4504.6</v>
      </c>
      <c r="X47" s="582"/>
      <c r="Y47" s="749" t="s">
        <v>1161</v>
      </c>
    </row>
    <row r="48" hidden="1" customHeight="1" spans="1:50">
      <c r="B48" s="717"/>
      <c r="C48" s="707"/>
      <c r="D48" s="667"/>
      <c r="E48" s="667"/>
      <c r="F48" s="718"/>
      <c r="G48" s="719"/>
      <c r="U48" s="749" t="s">
        <v>791</v>
      </c>
      <c r="W48" s="582"/>
      <c r="X48" s="582">
        <f>W47</f>
        <v>-4504.6</v>
      </c>
      <c r="Y48" s="749" t="s">
        <v>1161</v>
      </c>
      <c r="AC48" s="707"/>
    </row>
    <row r="49" hidden="1" customHeight="1" spans="1:27">
      <c r="B49" s="717"/>
      <c r="C49" s="707"/>
      <c r="D49" s="667"/>
      <c r="E49" s="667"/>
      <c r="F49" s="718"/>
      <c r="G49" s="719"/>
      <c r="U49" s="756" t="s">
        <v>1163</v>
      </c>
      <c r="V49" s="757"/>
      <c r="W49" s="758"/>
      <c r="X49" s="758"/>
      <c r="Y49" s="749" t="s">
        <v>1161</v>
      </c>
    </row>
    <row r="50" hidden="1" customHeight="1" spans="1:27">
      <c r="D50" s="729"/>
      <c r="E50" s="729"/>
      <c r="H50" s="753"/>
      <c r="U50" s="756" t="s">
        <v>154</v>
      </c>
      <c r="V50" s="758" t="s">
        <v>1160</v>
      </c>
      <c r="W50" s="759">
        <f>Y42*50%</f>
        <v>-569002.035</v>
      </c>
      <c r="X50" s="758"/>
      <c r="Y50" s="749" t="s">
        <v>1161</v>
      </c>
    </row>
    <row r="51" hidden="1" customHeight="1" spans="1:27">
      <c r="A51" s="674"/>
      <c r="B51" s="674"/>
      <c r="C51" s="679"/>
      <c r="D51" s="680"/>
      <c r="E51" s="680"/>
      <c r="F51" s="680"/>
      <c r="G51" s="680"/>
      <c r="H51" s="680"/>
      <c r="I51" s="681"/>
      <c r="U51" s="756" t="s">
        <v>1154</v>
      </c>
      <c r="V51" s="758"/>
      <c r="W51" s="758"/>
      <c r="X51" s="759">
        <f>W50</f>
        <v>-569002.035</v>
      </c>
      <c r="Y51" s="749" t="s">
        <v>1161</v>
      </c>
    </row>
    <row r="52" hidden="1" customHeight="1" spans="1:27">
      <c r="A52" s="674"/>
      <c r="B52" s="674"/>
      <c r="C52" s="679"/>
      <c r="D52" s="680"/>
      <c r="E52" s="680"/>
      <c r="F52" s="680"/>
      <c r="G52" s="680"/>
      <c r="H52" s="680"/>
      <c r="I52" s="681"/>
      <c r="U52" s="756" t="s">
        <v>1164</v>
      </c>
      <c r="V52" s="758"/>
      <c r="W52" s="758"/>
      <c r="X52" s="759"/>
      <c r="Y52" s="749" t="s">
        <v>1161</v>
      </c>
    </row>
    <row r="53" hidden="1" customHeight="1" spans="1:27">
      <c r="A53" s="674"/>
      <c r="B53" s="674"/>
      <c r="C53" s="679"/>
      <c r="D53" s="680"/>
      <c r="E53" s="680"/>
      <c r="F53" s="680"/>
      <c r="G53" s="680"/>
      <c r="H53" s="680"/>
      <c r="I53" s="681"/>
      <c r="U53" s="756" t="s">
        <v>154</v>
      </c>
      <c r="V53" s="758" t="s">
        <v>1160</v>
      </c>
      <c r="W53" s="759">
        <f>X54</f>
        <v>4504.6</v>
      </c>
      <c r="X53" s="759"/>
      <c r="Y53" s="749" t="s">
        <v>1161</v>
      </c>
      <c r="Z53" s="760"/>
      <c r="AA53" s="729"/>
    </row>
    <row r="54" hidden="1" customHeight="1" spans="1:27">
      <c r="A54" s="674"/>
      <c r="B54" s="674"/>
      <c r="C54" s="679"/>
      <c r="D54" s="680"/>
      <c r="E54" s="680"/>
      <c r="F54" s="680"/>
      <c r="G54" s="680"/>
      <c r="H54" s="680"/>
      <c r="I54" s="681"/>
      <c r="U54" s="756" t="s">
        <v>784</v>
      </c>
      <c r="V54" s="758"/>
      <c r="W54" s="758"/>
      <c r="X54" s="759">
        <f>-X48</f>
        <v>4504.6</v>
      </c>
      <c r="Y54" s="749" t="s">
        <v>1161</v>
      </c>
    </row>
    <row r="55" hidden="1" customHeight="1" spans="1:27">
      <c r="A55" s="674"/>
      <c r="B55" s="674"/>
      <c r="C55" s="679"/>
      <c r="D55" s="680"/>
      <c r="E55" s="680"/>
      <c r="F55" s="680"/>
      <c r="G55" s="680"/>
      <c r="H55" s="680"/>
      <c r="I55" s="681"/>
      <c r="U55" s="756" t="s">
        <v>1165</v>
      </c>
      <c r="V55" s="758"/>
      <c r="W55" s="758"/>
      <c r="X55" s="758"/>
      <c r="Y55" s="749" t="s">
        <v>1161</v>
      </c>
    </row>
    <row r="56" hidden="1" customHeight="1" spans="1:27">
      <c r="A56" s="674"/>
      <c r="B56" s="674"/>
      <c r="C56" s="674"/>
      <c r="D56" s="674"/>
      <c r="E56" s="674"/>
      <c r="F56" s="674"/>
      <c r="G56" s="674"/>
      <c r="H56" s="731"/>
      <c r="I56" s="683"/>
      <c r="U56" s="761" t="s">
        <v>159</v>
      </c>
      <c r="V56" s="758"/>
      <c r="W56" s="758"/>
      <c r="X56" s="759">
        <f>-ROUND((X51+X54)*15%,2)</f>
        <v>84674.62</v>
      </c>
      <c r="Y56" s="749" t="s">
        <v>1161</v>
      </c>
      <c r="Z56" s="752"/>
    </row>
    <row r="57" hidden="1" customHeight="1" spans="1:27">
      <c r="A57" s="687"/>
      <c r="B57" s="687"/>
      <c r="C57" s="695"/>
      <c r="D57" s="762"/>
      <c r="E57" s="762"/>
      <c r="F57" s="688"/>
      <c r="G57" s="688"/>
      <c r="H57" s="695"/>
      <c r="I57" s="722"/>
      <c r="U57" s="761" t="s">
        <v>796</v>
      </c>
      <c r="V57" s="758"/>
      <c r="W57" s="759">
        <f>X56</f>
        <v>84674.62</v>
      </c>
      <c r="X57" s="759"/>
      <c r="Y57" s="749" t="s">
        <v>1161</v>
      </c>
      <c r="Z57" s="751"/>
    </row>
    <row r="58" hidden="1" customHeight="1" spans="1:27">
      <c r="A58" s="687"/>
      <c r="B58" s="687"/>
      <c r="C58" s="703"/>
      <c r="D58" s="695"/>
      <c r="E58" s="695"/>
      <c r="F58" s="688"/>
      <c r="G58" s="763"/>
      <c r="H58" s="695"/>
      <c r="I58" s="725"/>
      <c r="L58" s="764"/>
    </row>
    <row r="59" ht="21" hidden="1" customHeight="1" spans="1:27">
      <c r="A59" s="687"/>
      <c r="B59" s="687"/>
      <c r="C59" s="762"/>
      <c r="D59" s="695"/>
      <c r="E59" s="695"/>
      <c r="F59" s="688"/>
      <c r="G59" s="688"/>
      <c r="H59" s="695"/>
      <c r="I59" s="722"/>
      <c r="U59" s="554" t="s">
        <v>1166</v>
      </c>
      <c r="V59" s="554"/>
      <c r="W59" s="554"/>
      <c r="X59" s="554"/>
      <c r="Y59" s="554"/>
    </row>
    <row r="60" hidden="1" customHeight="1" spans="1:27">
      <c r="A60" s="687"/>
      <c r="B60" s="687"/>
      <c r="C60" s="695"/>
      <c r="D60" s="695"/>
      <c r="E60" s="695"/>
      <c r="F60" s="763"/>
      <c r="G60" s="688"/>
      <c r="H60" s="695"/>
      <c r="I60" s="725"/>
      <c r="U60" s="554" t="s">
        <v>1167</v>
      </c>
      <c r="Y60" s="582"/>
    </row>
    <row r="61" hidden="1" customHeight="1" spans="1:27">
      <c r="A61" s="687"/>
      <c r="B61" s="687"/>
      <c r="C61" s="695"/>
      <c r="D61" s="695"/>
      <c r="E61" s="695"/>
      <c r="F61" s="763"/>
      <c r="G61" s="688"/>
      <c r="H61" s="695"/>
      <c r="I61" s="706"/>
      <c r="U61" s="554" t="s">
        <v>154</v>
      </c>
      <c r="V61" s="707" t="s">
        <v>1160</v>
      </c>
      <c r="W61" s="667">
        <f>-(W39-X39)*50%</f>
        <v>-2286.875</v>
      </c>
      <c r="Y61" s="554"/>
    </row>
    <row r="62" hidden="1" customHeight="1" spans="1:27">
      <c r="A62" s="687"/>
      <c r="B62" s="687"/>
      <c r="C62" s="762"/>
      <c r="D62" s="695"/>
      <c r="E62" s="695"/>
      <c r="F62" s="688"/>
      <c r="G62" s="688"/>
      <c r="H62" s="695"/>
      <c r="I62" s="706"/>
      <c r="U62" s="554" t="s">
        <v>791</v>
      </c>
      <c r="X62" s="729">
        <f>W61</f>
        <v>-2286.875</v>
      </c>
      <c r="Y62" s="707"/>
    </row>
    <row r="63" hidden="1" customHeight="1" spans="1:27">
      <c r="A63" s="687"/>
      <c r="B63" s="687"/>
      <c r="C63" s="695"/>
      <c r="D63" s="762"/>
      <c r="E63" s="762"/>
      <c r="F63" s="688"/>
      <c r="G63" s="688"/>
      <c r="H63" s="688"/>
      <c r="I63" s="765"/>
      <c r="U63" s="554" t="s">
        <v>1168</v>
      </c>
    </row>
    <row r="64" hidden="1" customHeight="1" spans="1:27">
      <c r="A64" s="687"/>
      <c r="B64" s="687"/>
      <c r="C64" s="695"/>
      <c r="D64" s="695"/>
      <c r="E64" s="695"/>
      <c r="F64" s="688"/>
      <c r="G64" s="763"/>
      <c r="H64" s="688"/>
      <c r="I64" s="725"/>
      <c r="U64" s="749" t="s">
        <v>786</v>
      </c>
      <c r="V64" s="554"/>
      <c r="W64" s="582">
        <f>ROUND(W39*50%,2)</f>
        <v>25569.07</v>
      </c>
      <c r="X64" s="554"/>
    </row>
    <row r="65" hidden="1" customHeight="1" spans="1:24">
      <c r="A65" s="693"/>
      <c r="B65" s="693"/>
      <c r="C65" s="695"/>
      <c r="D65" s="695"/>
      <c r="E65" s="695"/>
      <c r="F65" s="688"/>
      <c r="G65" s="688"/>
      <c r="H65" s="695"/>
      <c r="I65" s="706"/>
      <c r="U65" s="749" t="s">
        <v>787</v>
      </c>
      <c r="V65" s="554"/>
      <c r="W65" s="554"/>
      <c r="X65" s="582">
        <f>ROUND(X39*50%,2)</f>
        <v>23282.2</v>
      </c>
    </row>
    <row r="66" hidden="1" customHeight="1" spans="1:24">
      <c r="A66" s="707"/>
      <c r="U66" s="749" t="s">
        <v>791</v>
      </c>
      <c r="W66" s="707"/>
      <c r="X66" s="582">
        <f>W64-X65</f>
        <v>2286.87</v>
      </c>
    </row>
    <row r="67" hidden="1" customHeight="1" spans="1:24">
      <c r="A67" s="707"/>
    </row>
    <row r="68" hidden="1" customHeight="1" spans="1:24">
      <c r="B68" s="717"/>
      <c r="C68" s="707"/>
      <c r="D68" s="667"/>
      <c r="E68" s="667"/>
      <c r="F68" s="718"/>
      <c r="G68" s="719"/>
    </row>
    <row r="69" hidden="1" customHeight="1" spans="1:24">
      <c r="B69" s="717"/>
      <c r="C69" s="707"/>
      <c r="D69" s="667"/>
      <c r="E69" s="667"/>
      <c r="F69" s="718"/>
      <c r="G69" s="719"/>
    </row>
    <row r="70" hidden="1" customHeight="1" spans="1:24">
      <c r="B70" s="717"/>
      <c r="C70" s="707"/>
      <c r="D70" s="667"/>
      <c r="E70" s="667"/>
      <c r="F70" s="718"/>
      <c r="G70" s="719"/>
    </row>
    <row r="71" hidden="1" customHeight="1" spans="1:24">
      <c r="B71" s="717"/>
      <c r="C71" s="707"/>
      <c r="D71" s="667"/>
      <c r="E71" s="667"/>
      <c r="F71" s="718"/>
      <c r="G71" s="719"/>
    </row>
    <row r="72" hidden="1" customHeight="1"/>
    <row r="73" hidden="1" customHeight="1"/>
    <row r="74" hidden="1" customHeight="1" spans="1:24">
      <c r="A74" s="674"/>
      <c r="B74" s="674"/>
      <c r="C74" s="679"/>
      <c r="D74" s="680"/>
      <c r="E74" s="680"/>
      <c r="F74" s="680"/>
      <c r="G74" s="680"/>
      <c r="H74" s="680"/>
      <c r="I74" s="681"/>
    </row>
    <row r="75" ht="51" hidden="1" customHeight="1" spans="1:24">
      <c r="A75" s="674"/>
      <c r="B75" s="674"/>
      <c r="C75" s="674"/>
      <c r="D75" s="674"/>
      <c r="E75" s="674"/>
      <c r="F75" s="674"/>
      <c r="G75" s="674"/>
      <c r="H75" s="731"/>
      <c r="I75" s="683"/>
    </row>
    <row r="76" hidden="1" customHeight="1" spans="1:24">
      <c r="A76" s="694"/>
      <c r="B76" s="694"/>
      <c r="C76" s="695"/>
      <c r="D76" s="762"/>
      <c r="E76" s="762"/>
      <c r="F76" s="688"/>
      <c r="G76" s="688"/>
      <c r="H76" s="695"/>
      <c r="I76" s="722"/>
    </row>
    <row r="77" hidden="1" customHeight="1" spans="1:24">
      <c r="A77" s="694"/>
      <c r="B77" s="694"/>
      <c r="C77" s="703"/>
      <c r="D77" s="695"/>
      <c r="E77" s="695"/>
      <c r="F77" s="688"/>
      <c r="G77" s="763"/>
      <c r="H77" s="695"/>
      <c r="I77" s="725"/>
    </row>
    <row r="78" hidden="1" customHeight="1" spans="1:24">
      <c r="A78" s="687"/>
      <c r="B78" s="694"/>
      <c r="C78" s="766"/>
      <c r="D78" s="695"/>
      <c r="E78" s="695"/>
      <c r="F78" s="688"/>
      <c r="G78" s="688"/>
      <c r="H78" s="767"/>
      <c r="I78" s="722"/>
    </row>
    <row r="79" hidden="1" customHeight="1" spans="1:24">
      <c r="A79" s="687"/>
      <c r="B79" s="687"/>
      <c r="C79" s="695"/>
      <c r="D79" s="695"/>
      <c r="E79" s="695"/>
      <c r="F79" s="768"/>
      <c r="G79" s="688"/>
      <c r="H79" s="695"/>
      <c r="I79" s="725"/>
    </row>
    <row r="80" hidden="1" customHeight="1" spans="1:24">
      <c r="A80" s="687"/>
      <c r="B80" s="687"/>
      <c r="C80" s="695"/>
      <c r="D80" s="695"/>
      <c r="E80" s="695"/>
      <c r="F80" s="763"/>
      <c r="G80" s="688"/>
      <c r="H80" s="695"/>
      <c r="I80" s="706"/>
    </row>
    <row r="81" hidden="1" customHeight="1" spans="1:9">
      <c r="A81" s="687"/>
      <c r="B81" s="687"/>
      <c r="C81" s="762"/>
      <c r="D81" s="695"/>
      <c r="E81" s="695"/>
      <c r="F81" s="688"/>
      <c r="G81" s="688"/>
      <c r="H81" s="695"/>
      <c r="I81" s="706"/>
    </row>
    <row r="82" hidden="1" customHeight="1" spans="1:9">
      <c r="A82" s="687"/>
      <c r="B82" s="687"/>
      <c r="C82" s="695"/>
      <c r="D82" s="762"/>
      <c r="E82" s="762"/>
      <c r="F82" s="688"/>
      <c r="G82" s="688"/>
      <c r="H82" s="688"/>
      <c r="I82" s="765"/>
    </row>
    <row r="83" hidden="1" customHeight="1" spans="1:9">
      <c r="A83" s="687"/>
      <c r="B83" s="687"/>
      <c r="C83" s="695"/>
      <c r="D83" s="695"/>
      <c r="E83" s="695"/>
      <c r="F83" s="688"/>
      <c r="G83" s="763"/>
      <c r="H83" s="688"/>
      <c r="I83" s="725"/>
    </row>
    <row r="84" hidden="1" customHeight="1" spans="1:9">
      <c r="A84" s="693"/>
      <c r="B84" s="693"/>
      <c r="C84" s="695"/>
      <c r="D84" s="695"/>
      <c r="E84" s="695"/>
      <c r="F84" s="688"/>
      <c r="G84" s="688"/>
      <c r="H84" s="695"/>
      <c r="I84" s="706"/>
    </row>
    <row r="85" hidden="1" customHeight="1"/>
    <row r="86" hidden="1" customHeight="1" spans="1:9">
      <c r="A86" s="707"/>
    </row>
    <row r="87" hidden="1" customHeight="1" spans="1:9">
      <c r="B87" s="717"/>
      <c r="C87" s="707"/>
      <c r="D87" s="667"/>
      <c r="E87" s="667"/>
      <c r="F87" s="718"/>
      <c r="G87" s="719"/>
    </row>
    <row r="88" hidden="1" customHeight="1" spans="1:9">
      <c r="B88" s="717"/>
      <c r="C88" s="707"/>
      <c r="D88" s="667"/>
      <c r="E88" s="667"/>
      <c r="F88" s="718"/>
      <c r="G88" s="719"/>
    </row>
    <row r="89" hidden="1" customHeight="1" spans="1:9">
      <c r="B89" s="717"/>
      <c r="C89" s="707"/>
      <c r="D89" s="667"/>
      <c r="E89" s="667"/>
      <c r="F89" s="718"/>
      <c r="G89" s="719"/>
    </row>
    <row r="90" hidden="1" customHeight="1" spans="1:9">
      <c r="B90" s="717"/>
      <c r="C90" s="707"/>
      <c r="D90" s="667"/>
      <c r="E90" s="667"/>
      <c r="F90" s="718"/>
      <c r="G90" s="719"/>
    </row>
    <row r="91" hidden="1" customHeight="1" spans="1:9">
      <c r="B91" s="717"/>
      <c r="C91" s="707"/>
      <c r="D91" s="729"/>
      <c r="E91" s="729"/>
    </row>
    <row r="93" customHeight="1" spans="1:9">
      <c r="A93" s="674" t="s">
        <v>1169</v>
      </c>
      <c r="B93" s="674" t="s">
        <v>1170</v>
      </c>
      <c r="C93" s="679" t="s">
        <v>1093</v>
      </c>
      <c r="D93" s="680"/>
      <c r="E93" s="680"/>
      <c r="F93" s="680"/>
      <c r="G93" s="680"/>
      <c r="H93" s="680"/>
      <c r="I93" s="681"/>
    </row>
    <row r="94" customHeight="1" spans="1:9">
      <c r="A94" s="674"/>
      <c r="B94" s="674"/>
      <c r="C94" s="674" t="s">
        <v>1171</v>
      </c>
      <c r="D94" s="674" t="s">
        <v>1172</v>
      </c>
      <c r="E94" s="684" t="s">
        <v>88</v>
      </c>
      <c r="F94" s="674" t="s">
        <v>1173</v>
      </c>
      <c r="G94" s="674" t="s">
        <v>1174</v>
      </c>
      <c r="H94" s="731" t="s">
        <v>79</v>
      </c>
      <c r="I94" s="683"/>
    </row>
    <row r="95" customHeight="1" spans="1:9">
      <c r="A95" s="687" t="s">
        <v>92</v>
      </c>
      <c r="B95" s="687" t="s">
        <v>94</v>
      </c>
      <c r="C95" s="703">
        <v>16692550.33</v>
      </c>
      <c r="D95" s="703"/>
      <c r="E95" s="769"/>
      <c r="F95" s="770">
        <f>-C96-E96</f>
        <v>-43040604.68</v>
      </c>
      <c r="G95" s="771">
        <f>-D96</f>
        <v>0</v>
      </c>
      <c r="H95" s="703">
        <f>SUM(C95:G96)</f>
        <v>0</v>
      </c>
      <c r="I95" s="772"/>
    </row>
    <row r="96" customHeight="1" spans="1:9">
      <c r="A96" s="687" t="s">
        <v>94</v>
      </c>
      <c r="B96" s="687" t="s">
        <v>92</v>
      </c>
      <c r="C96" s="703">
        <v>42596710.34</v>
      </c>
      <c r="D96" s="703"/>
      <c r="E96" s="703">
        <v>443894.34</v>
      </c>
      <c r="F96" s="771">
        <f>-C95-D95-E95</f>
        <v>-16692550.33</v>
      </c>
      <c r="G96" s="771"/>
      <c r="H96" s="703"/>
      <c r="I96" s="772"/>
    </row>
    <row r="97" customHeight="1" spans="1:9">
      <c r="A97" s="687" t="s">
        <v>92</v>
      </c>
      <c r="B97" s="687" t="s">
        <v>130</v>
      </c>
      <c r="C97" s="769">
        <v>1890394.5</v>
      </c>
      <c r="D97" s="773"/>
      <c r="E97" s="773"/>
      <c r="F97" s="771">
        <f>-C98</f>
        <v>-11725</v>
      </c>
      <c r="G97" s="771">
        <f>-D98</f>
        <v>0</v>
      </c>
      <c r="H97" s="703">
        <f>SUM(C97:G98)</f>
        <v>0</v>
      </c>
      <c r="I97" s="772"/>
    </row>
    <row r="98" customHeight="1" spans="1:9">
      <c r="A98" s="687" t="s">
        <v>130</v>
      </c>
      <c r="B98" s="687" t="s">
        <v>92</v>
      </c>
      <c r="C98" s="703">
        <v>11725</v>
      </c>
      <c r="D98" s="703"/>
      <c r="E98" s="703"/>
      <c r="F98" s="771">
        <f>-C97</f>
        <v>-1890394.5</v>
      </c>
      <c r="G98" s="771">
        <f>-D97</f>
        <v>0</v>
      </c>
      <c r="H98" s="767"/>
      <c r="I98" s="772"/>
    </row>
    <row r="99" customHeight="1" spans="1:9">
      <c r="A99" s="694" t="s">
        <v>94</v>
      </c>
      <c r="B99" s="694" t="s">
        <v>1034</v>
      </c>
      <c r="C99" s="703">
        <v>13475010.61</v>
      </c>
      <c r="D99" s="703"/>
      <c r="E99" s="703"/>
      <c r="F99" s="771">
        <f>-C100</f>
        <v>-6494961.72</v>
      </c>
      <c r="G99" s="771"/>
      <c r="H99" s="771"/>
      <c r="I99" s="774"/>
    </row>
    <row r="100" customHeight="1" spans="1:9">
      <c r="A100" s="694" t="s">
        <v>1034</v>
      </c>
      <c r="B100" s="694" t="s">
        <v>94</v>
      </c>
      <c r="C100" s="703">
        <v>6494961.72</v>
      </c>
      <c r="D100" s="703"/>
      <c r="E100" s="703"/>
      <c r="F100" s="771">
        <f>-C99</f>
        <v>-13475010.61</v>
      </c>
      <c r="G100" s="771"/>
      <c r="H100" s="771">
        <f>SUM(C99:G100)</f>
        <v>0</v>
      </c>
      <c r="I100" s="772"/>
    </row>
    <row r="101" customHeight="1" spans="1:9">
      <c r="A101" s="687" t="s">
        <v>92</v>
      </c>
      <c r="B101" s="694" t="s">
        <v>1034</v>
      </c>
      <c r="C101" s="703">
        <v>1769102.84</v>
      </c>
      <c r="D101" s="703"/>
      <c r="E101" s="703"/>
      <c r="F101" s="771">
        <f>-C102</f>
        <v>-55587</v>
      </c>
      <c r="G101" s="771"/>
      <c r="H101" s="771"/>
      <c r="I101" s="772"/>
    </row>
    <row r="102" customHeight="1" spans="1:9">
      <c r="A102" s="694" t="s">
        <v>1034</v>
      </c>
      <c r="B102" s="687" t="s">
        <v>92</v>
      </c>
      <c r="C102" s="703">
        <v>55587</v>
      </c>
      <c r="D102" s="703"/>
      <c r="E102" s="703"/>
      <c r="F102" s="771">
        <f>-C101</f>
        <v>-1769102.84</v>
      </c>
      <c r="G102" s="771"/>
      <c r="H102" s="771">
        <f>SUM(C101:G102)</f>
        <v>0</v>
      </c>
      <c r="I102" s="772"/>
    </row>
    <row r="103" customHeight="1" spans="1:9">
      <c r="A103" s="702" t="s">
        <v>94</v>
      </c>
      <c r="B103" s="702" t="s">
        <v>130</v>
      </c>
      <c r="C103" s="703">
        <v>522790.2</v>
      </c>
      <c r="D103" s="703"/>
      <c r="E103" s="703"/>
      <c r="F103" s="771">
        <f>-C104</f>
        <v>-213690</v>
      </c>
      <c r="G103" s="771"/>
      <c r="H103" s="703">
        <f>SUM(C103:G104)</f>
        <v>0</v>
      </c>
      <c r="I103" s="706"/>
    </row>
    <row r="104" customHeight="1" spans="1:9">
      <c r="A104" s="702" t="s">
        <v>130</v>
      </c>
      <c r="B104" s="702" t="s">
        <v>94</v>
      </c>
      <c r="C104" s="703">
        <v>213690</v>
      </c>
      <c r="D104" s="703"/>
      <c r="E104" s="703"/>
      <c r="F104" s="771">
        <f>-C103</f>
        <v>-522790.2</v>
      </c>
      <c r="G104" s="771"/>
      <c r="H104" s="703"/>
      <c r="I104" s="706"/>
    </row>
    <row r="105" customHeight="1" spans="1:9">
      <c r="A105" s="693" t="s">
        <v>1124</v>
      </c>
      <c r="B105" s="693"/>
      <c r="C105" s="703">
        <f t="shared" ref="C105:H105" si="12">SUM(C95:C104)</f>
        <v>83722522.54</v>
      </c>
      <c r="D105" s="703">
        <f t="shared" si="12"/>
        <v>0</v>
      </c>
      <c r="E105" s="703">
        <f t="shared" si="12"/>
        <v>443894.34</v>
      </c>
      <c r="F105" s="703">
        <f t="shared" si="12"/>
        <v>-84166416.88</v>
      </c>
      <c r="G105" s="703">
        <f t="shared" si="12"/>
        <v>0</v>
      </c>
      <c r="H105" s="703">
        <f t="shared" si="12"/>
        <v>0</v>
      </c>
      <c r="I105" s="706"/>
    </row>
    <row r="106" customHeight="1" spans="1:9">
      <c r="C106" s="775"/>
      <c r="D106" s="775"/>
      <c r="E106" s="775"/>
      <c r="F106" s="775"/>
      <c r="G106" s="775"/>
      <c r="H106" s="776"/>
    </row>
    <row r="107" customHeight="1" spans="1:9">
      <c r="A107" s="707" t="s">
        <v>1175</v>
      </c>
    </row>
    <row r="108" customHeight="1" spans="1:9">
      <c r="B108" s="717" t="s">
        <v>1176</v>
      </c>
      <c r="C108" s="707" t="s">
        <v>113</v>
      </c>
      <c r="D108" s="667">
        <f>-F105</f>
        <v>84166416.88</v>
      </c>
      <c r="E108" s="667"/>
    </row>
    <row r="109" customHeight="1" spans="1:9">
      <c r="B109" s="717" t="s">
        <v>1176</v>
      </c>
      <c r="C109" s="707" t="s">
        <v>126</v>
      </c>
      <c r="D109" s="667">
        <f>-G105</f>
        <v>0</v>
      </c>
      <c r="E109" s="667"/>
    </row>
    <row r="110" customHeight="1" spans="1:9">
      <c r="B110" s="717" t="s">
        <v>1177</v>
      </c>
      <c r="C110" s="707" t="s">
        <v>116</v>
      </c>
      <c r="D110" s="667">
        <f>C105</f>
        <v>83722522.54</v>
      </c>
      <c r="E110" s="667"/>
    </row>
    <row r="111" customHeight="1" spans="1:9">
      <c r="B111" s="717" t="s">
        <v>1177</v>
      </c>
      <c r="C111" s="707" t="s">
        <v>123</v>
      </c>
      <c r="D111" s="667">
        <f>D105</f>
        <v>0</v>
      </c>
      <c r="E111" s="667"/>
    </row>
    <row r="112" customHeight="1" spans="1:9">
      <c r="B112" s="717" t="s">
        <v>1177</v>
      </c>
      <c r="C112" s="707" t="str">
        <f>E94</f>
        <v>合同负债</v>
      </c>
      <c r="D112" s="729">
        <f>E96</f>
        <v>443894.34</v>
      </c>
      <c r="E112" s="729"/>
    </row>
    <row r="115" hidden="1" customHeight="1"/>
    <row r="116" hidden="1" customHeight="1" spans="1:5">
      <c r="A116" s="666" t="s">
        <v>1178</v>
      </c>
    </row>
    <row r="117" hidden="1" customHeight="1" spans="1:5">
      <c r="A117" s="666" t="s">
        <v>1179</v>
      </c>
    </row>
    <row r="118" hidden="1" customHeight="1" spans="1:5">
      <c r="A118" s="666" t="s">
        <v>1180</v>
      </c>
    </row>
    <row r="119" hidden="1" customHeight="1" spans="1:5">
      <c r="A119" s="666" t="s">
        <v>1181</v>
      </c>
    </row>
    <row r="120" hidden="1" customHeight="1"/>
    <row r="121" hidden="1" customHeight="1"/>
    <row r="125" customHeight="1" spans="1:5">
      <c r="D125" s="777"/>
      <c r="E125" s="777"/>
    </row>
  </sheetData>
  <autoFilter xmlns:etc="http://www.wps.cn/officeDocument/2017/etCustomData" ref="A94:AX105" etc:filterBottomFollowUsedRange="0">
    <extLst/>
  </autoFilter>
  <mergeCells count="43">
    <mergeCell ref="C2:I2"/>
    <mergeCell ref="M2:R2"/>
    <mergeCell ref="U2:Z2"/>
    <mergeCell ref="AA2:AG2"/>
    <mergeCell ref="AJ2:AW2"/>
    <mergeCell ref="A8:B8"/>
    <mergeCell ref="K8:L8"/>
    <mergeCell ref="M10:R10"/>
    <mergeCell ref="C16:I16"/>
    <mergeCell ref="K16:L16"/>
    <mergeCell ref="C33:I33"/>
    <mergeCell ref="AJ36:AW36"/>
    <mergeCell ref="C51:I51"/>
    <mergeCell ref="C55:I55"/>
    <mergeCell ref="C74:I74"/>
    <mergeCell ref="C93:I93"/>
    <mergeCell ref="A2:A3"/>
    <mergeCell ref="B2:B3"/>
    <mergeCell ref="H4:H5"/>
    <mergeCell ref="H6:H7"/>
    <mergeCell ref="I4:I5"/>
    <mergeCell ref="I6:I7"/>
    <mergeCell ref="I18:I19"/>
    <mergeCell ref="I20:I21"/>
    <mergeCell ref="I35:I36"/>
    <mergeCell ref="I37:I38"/>
    <mergeCell ref="I41:I42"/>
    <mergeCell ref="I59:I60"/>
    <mergeCell ref="I63:I64"/>
    <mergeCell ref="I78:I79"/>
    <mergeCell ref="I82:I83"/>
    <mergeCell ref="I97:I98"/>
    <mergeCell ref="I99:I100"/>
    <mergeCell ref="K2:K3"/>
    <mergeCell ref="K10:K11"/>
    <mergeCell ref="L2:L3"/>
    <mergeCell ref="L10:L11"/>
    <mergeCell ref="R4:R5"/>
    <mergeCell ref="R6:R7"/>
    <mergeCell ref="R12:R13"/>
    <mergeCell ref="R14:R15"/>
    <mergeCell ref="AH2:AH3"/>
    <mergeCell ref="AI2:AI3"/>
  </mergeCells>
  <pageMargins left="0.699305555555556" right="0.699305555555556" top="0.75" bottom="0.75" header="0.3" footer="0.3"/>
  <pageSetup paperSize="9" orientation="portrait" horizontalDpi="300" verticalDpi="300"/>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FF00"/>
  </sheetPr>
  <dimension ref="A1:V33"/>
  <sheetViews>
    <sheetView workbookViewId="0">
      <pane xSplit="1" ySplit="1" topLeftCell="B2" activePane="bottomRight" state="frozen"/>
      <selection/>
      <selection pane="topRight"/>
      <selection pane="bottomLeft"/>
      <selection pane="bottomRight" activeCell="Y20" sqref="Y20"/>
    </sheetView>
  </sheetViews>
  <sheetFormatPr defaultColWidth="9" defaultRowHeight="15" customHeight="1"/>
  <cols>
    <col min="1" max="1" width="10.375" style="616" customWidth="1"/>
    <col min="2" max="2" width="9.625" style="616" customWidth="1"/>
    <col min="3" max="3" width="12.625" style="616" customWidth="1"/>
    <col min="4" max="4" width="10.75" style="616" customWidth="1"/>
    <col min="5" max="5" width="11.375" style="616" customWidth="1"/>
    <col min="6" max="6" width="12.75" style="616" customWidth="1"/>
    <col min="7" max="7" width="11.375" style="616" customWidth="1"/>
    <col min="8" max="8" width="8" style="616" customWidth="1"/>
    <col min="9" max="9" width="9.125" style="616" customWidth="1"/>
    <col min="10" max="10" width="8" style="616" customWidth="1"/>
    <col min="11" max="11" width="13" style="616" customWidth="1"/>
    <col min="12" max="12" width="13.375" style="616" customWidth="1"/>
    <col min="13" max="13" width="13.125" style="616" customWidth="1"/>
    <col min="14" max="14" width="12.625" style="616" customWidth="1"/>
    <col min="15" max="15" width="13.625" style="616" customWidth="1"/>
    <col min="16" max="16" width="9.125" style="616" customWidth="1"/>
    <col min="17" max="17" width="13.75" style="616" customWidth="1"/>
    <col min="18" max="18" width="13.375" style="616" customWidth="1"/>
    <col min="19" max="19" width="15.375" style="616" customWidth="1"/>
    <col min="20" max="20" width="10.625" style="616" customWidth="1"/>
    <col min="21" max="21" width="13" style="616" customWidth="1"/>
    <col min="22" max="22" width="13.625" style="616" customWidth="1"/>
    <col min="23" max="16384" width="9" style="616"/>
  </cols>
  <sheetData>
    <row r="1" s="614" customFormat="1" ht="30.75" customHeight="1" spans="1:22">
      <c r="A1" s="617" t="s">
        <v>1182</v>
      </c>
      <c r="B1" s="617" t="s">
        <v>1183</v>
      </c>
      <c r="C1" s="617" t="s">
        <v>1184</v>
      </c>
      <c r="D1" s="618" t="s">
        <v>1185</v>
      </c>
      <c r="E1" s="618" t="s">
        <v>1186</v>
      </c>
      <c r="F1" s="619" t="s">
        <v>1187</v>
      </c>
      <c r="G1" s="620" t="s">
        <v>1188</v>
      </c>
      <c r="H1" s="621" t="s">
        <v>1189</v>
      </c>
      <c r="I1" s="620" t="s">
        <v>1190</v>
      </c>
      <c r="J1" s="622" t="s">
        <v>1191</v>
      </c>
      <c r="K1" s="622" t="s">
        <v>1192</v>
      </c>
      <c r="L1" s="619" t="s">
        <v>1193</v>
      </c>
      <c r="M1" s="619" t="s">
        <v>1194</v>
      </c>
      <c r="N1" s="619" t="s">
        <v>1195</v>
      </c>
      <c r="O1" s="619" t="s">
        <v>79</v>
      </c>
      <c r="P1" s="619" t="s">
        <v>1196</v>
      </c>
      <c r="Q1" s="619" t="s">
        <v>1197</v>
      </c>
      <c r="R1" s="619" t="s">
        <v>1198</v>
      </c>
      <c r="S1" s="619" t="s">
        <v>79</v>
      </c>
      <c r="T1" s="619" t="s">
        <v>1196</v>
      </c>
      <c r="U1" s="619" t="s">
        <v>1199</v>
      </c>
      <c r="V1" s="619" t="s">
        <v>79</v>
      </c>
    </row>
    <row r="2" s="615" customFormat="1" ht="15.75" spans="1:22">
      <c r="A2" s="623"/>
      <c r="B2" s="624"/>
      <c r="C2" s="623"/>
      <c r="D2" s="625"/>
      <c r="E2" s="626"/>
      <c r="F2" s="627">
        <v>0</v>
      </c>
      <c r="G2" s="627">
        <f t="shared" ref="G2:G7" si="0">ROUND($D2*C11,2)</f>
        <v>0</v>
      </c>
      <c r="H2" s="627">
        <f t="shared" ref="H2:I6" si="1">-ROUND($D2*D11,2)</f>
        <v>0</v>
      </c>
      <c r="I2" s="627">
        <f t="shared" si="1"/>
        <v>0</v>
      </c>
      <c r="J2" s="627">
        <f>ROUND($E2*F11,2)</f>
        <v>0</v>
      </c>
      <c r="K2" s="627"/>
      <c r="L2" s="627">
        <f>SUM(F2:K2)</f>
        <v>0</v>
      </c>
      <c r="M2" s="627">
        <v>0</v>
      </c>
      <c r="N2" s="627">
        <f t="shared" ref="N2:N7" si="2">ROUND(M2*D2,2)</f>
        <v>0</v>
      </c>
      <c r="O2" s="627">
        <f>N2-F2</f>
        <v>0</v>
      </c>
      <c r="P2" s="628"/>
      <c r="Q2" s="629"/>
      <c r="R2" s="629">
        <f t="shared" ref="R2:R7" si="3">ROUND(Q2*E2,2)</f>
        <v>0</v>
      </c>
      <c r="S2" s="627">
        <f>R2-L2</f>
        <v>0</v>
      </c>
      <c r="T2" s="627" t="s">
        <v>1200</v>
      </c>
      <c r="U2" s="627">
        <v>972459.9</v>
      </c>
      <c r="V2" s="630">
        <f>L2-U2</f>
        <v>-972459.9</v>
      </c>
    </row>
    <row r="3" s="615" customFormat="1" ht="15.75" spans="1:22">
      <c r="A3" s="623"/>
      <c r="B3" s="624"/>
      <c r="C3" s="623"/>
      <c r="D3" s="625"/>
      <c r="E3" s="626"/>
      <c r="F3" s="631"/>
      <c r="G3" s="627">
        <f t="shared" si="0"/>
        <v>0</v>
      </c>
      <c r="H3" s="627">
        <f t="shared" si="1"/>
        <v>0</v>
      </c>
      <c r="I3" s="627">
        <f t="shared" si="1"/>
        <v>0</v>
      </c>
      <c r="J3" s="627">
        <f>ROUND($E3*F12,2)</f>
        <v>0</v>
      </c>
      <c r="K3" s="627"/>
      <c r="L3" s="627">
        <f>SUM(F3:K3)</f>
        <v>0</v>
      </c>
      <c r="M3" s="627"/>
      <c r="N3" s="627">
        <f t="shared" si="2"/>
        <v>0</v>
      </c>
      <c r="O3" s="627">
        <f>N3-F3</f>
        <v>0</v>
      </c>
      <c r="P3" s="632" t="s">
        <v>1200</v>
      </c>
      <c r="Q3" s="629"/>
      <c r="R3" s="629">
        <f t="shared" si="3"/>
        <v>0</v>
      </c>
      <c r="S3" s="627">
        <f>R3-L3</f>
        <v>0</v>
      </c>
      <c r="T3" s="627" t="s">
        <v>1200</v>
      </c>
      <c r="U3" s="627">
        <v>13743239.82</v>
      </c>
      <c r="V3" s="630">
        <f>L3-U3</f>
        <v>-13743239.82</v>
      </c>
    </row>
    <row r="4" s="615" customFormat="1" ht="15.75" spans="1:22">
      <c r="A4" s="623">
        <v>2018</v>
      </c>
      <c r="B4" s="624" t="s">
        <v>9</v>
      </c>
      <c r="C4" s="623"/>
      <c r="D4" s="625">
        <v>0.2222</v>
      </c>
      <c r="E4" s="625">
        <v>0.2222</v>
      </c>
      <c r="F4" s="631"/>
      <c r="G4" s="627"/>
      <c r="H4" s="627">
        <f t="shared" si="1"/>
        <v>0</v>
      </c>
      <c r="I4" s="633">
        <f t="shared" si="1"/>
        <v>0</v>
      </c>
      <c r="J4" s="627">
        <f>ROUND($E4*F13,2)</f>
        <v>0</v>
      </c>
      <c r="K4" s="627">
        <v>2257549.98</v>
      </c>
      <c r="L4" s="627">
        <f>SUM(F4:K4)</f>
        <v>2257549.98</v>
      </c>
      <c r="M4" s="627"/>
      <c r="N4" s="627">
        <f t="shared" si="2"/>
        <v>0</v>
      </c>
      <c r="O4" s="627">
        <f>N4-F4</f>
        <v>0</v>
      </c>
      <c r="P4" s="632" t="s">
        <v>1200</v>
      </c>
      <c r="Q4" s="629">
        <v>10158190.75</v>
      </c>
      <c r="R4" s="629">
        <f t="shared" si="3"/>
        <v>2257149.98</v>
      </c>
      <c r="S4" s="627">
        <f>R4-L4</f>
        <v>-400</v>
      </c>
      <c r="T4" s="627" t="s">
        <v>1200</v>
      </c>
      <c r="U4" s="627">
        <f>合并试算平衡表!AO116</f>
        <v>0</v>
      </c>
      <c r="V4" s="630">
        <f>L4-U4</f>
        <v>2257549.98</v>
      </c>
    </row>
    <row r="5" s="615" customFormat="1" ht="15.75" spans="1:22">
      <c r="A5" s="634">
        <v>2019</v>
      </c>
      <c r="B5" s="624" t="s">
        <v>9</v>
      </c>
      <c r="C5" s="634"/>
      <c r="D5" s="625">
        <v>0.2222</v>
      </c>
      <c r="E5" s="625">
        <v>0.2222</v>
      </c>
      <c r="F5" s="631">
        <f>L4</f>
        <v>2257549.98</v>
      </c>
      <c r="G5" s="631">
        <f t="shared" si="0"/>
        <v>536351</v>
      </c>
      <c r="H5" s="631">
        <f t="shared" si="1"/>
        <v>0</v>
      </c>
      <c r="I5" s="635">
        <f t="shared" si="1"/>
        <v>0</v>
      </c>
      <c r="J5" s="631">
        <f>ROUND($E5*F14,2)</f>
        <v>0</v>
      </c>
      <c r="K5" s="631">
        <v>0</v>
      </c>
      <c r="L5" s="631">
        <f>SUM(F5:K5)</f>
        <v>2793900.98</v>
      </c>
      <c r="M5" s="631">
        <v>10158190.75</v>
      </c>
      <c r="N5" s="631">
        <f t="shared" si="2"/>
        <v>2257149.98</v>
      </c>
      <c r="O5" s="631">
        <f>N5-F5</f>
        <v>-400</v>
      </c>
      <c r="P5" s="636" t="s">
        <v>1200</v>
      </c>
      <c r="Q5" s="637">
        <v>12572011.61</v>
      </c>
      <c r="R5" s="637">
        <f t="shared" si="3"/>
        <v>2793500.98</v>
      </c>
      <c r="S5" s="631">
        <f>R5-L5</f>
        <v>-400</v>
      </c>
      <c r="T5" s="631" t="s">
        <v>1200</v>
      </c>
      <c r="U5" s="631">
        <f>合并试算平衡表!AE116</f>
        <v>3006884.16</v>
      </c>
      <c r="V5" s="638">
        <f>L5-U5</f>
        <v>-212983.18</v>
      </c>
    </row>
    <row r="6" customHeight="1" spans="1:22">
      <c r="A6" s="634">
        <v>2020</v>
      </c>
      <c r="B6" s="624" t="s">
        <v>9</v>
      </c>
      <c r="C6" s="639"/>
      <c r="D6" s="625">
        <v>0.2222</v>
      </c>
      <c r="E6" s="625">
        <v>0.2222</v>
      </c>
      <c r="F6" s="640">
        <f>L5</f>
        <v>2793900.98</v>
      </c>
      <c r="G6" s="641">
        <f t="shared" si="0"/>
        <v>212983.18</v>
      </c>
      <c r="H6" s="641">
        <f t="shared" si="1"/>
        <v>0</v>
      </c>
      <c r="I6" s="642">
        <f t="shared" si="1"/>
        <v>0</v>
      </c>
      <c r="J6" s="641">
        <f>ROUND($E6*F15,2)</f>
        <v>0</v>
      </c>
      <c r="K6" s="640">
        <v>0</v>
      </c>
      <c r="L6" s="641">
        <f>SUM(F6:K6)</f>
        <v>3006884.16</v>
      </c>
      <c r="M6" s="643">
        <v>12572011.61</v>
      </c>
      <c r="N6" s="641">
        <f t="shared" si="2"/>
        <v>2793500.98</v>
      </c>
      <c r="O6" s="641">
        <f>N6-F6</f>
        <v>-400</v>
      </c>
      <c r="P6" s="644" t="s">
        <v>1200</v>
      </c>
      <c r="Q6" s="645">
        <v>13530531.78</v>
      </c>
      <c r="R6" s="645">
        <f t="shared" si="3"/>
        <v>3006484.16</v>
      </c>
      <c r="S6" s="641">
        <f>R6-L6</f>
        <v>-400</v>
      </c>
      <c r="T6" s="641" t="s">
        <v>1200</v>
      </c>
      <c r="U6" s="643">
        <f>合并试算平衡表!U116</f>
        <v>1859448.65</v>
      </c>
      <c r="V6" s="646">
        <f>L6-U6</f>
        <v>1147435.51</v>
      </c>
    </row>
    <row r="7" customHeight="1" spans="1:22">
      <c r="A7" s="634">
        <v>2021</v>
      </c>
      <c r="B7" s="624" t="s">
        <v>9</v>
      </c>
      <c r="C7" s="639"/>
      <c r="D7" s="625">
        <v>0.2222</v>
      </c>
      <c r="E7" s="625">
        <v>0.2222</v>
      </c>
      <c r="F7" s="640">
        <f t="shared" ref="F7" si="4">L6</f>
        <v>3006884.16</v>
      </c>
      <c r="G7" s="641">
        <f t="shared" si="0"/>
        <v>43251.88</v>
      </c>
      <c r="H7" s="641">
        <f t="shared" ref="H7:I7" si="5">-ROUND($D7*D17,2)</f>
        <v>0</v>
      </c>
      <c r="I7" s="642">
        <f t="shared" si="5"/>
        <v>0</v>
      </c>
      <c r="J7" s="641">
        <f>ROUND($E7*F17,2)</f>
        <v>0</v>
      </c>
      <c r="K7" s="640">
        <v>0</v>
      </c>
      <c r="L7" s="641">
        <f t="shared" ref="L7" si="6">SUM(F7:K7)</f>
        <v>3050136.04</v>
      </c>
      <c r="M7" s="643">
        <v>13530531.78</v>
      </c>
      <c r="N7" s="641">
        <f t="shared" si="2"/>
        <v>3006484.16</v>
      </c>
      <c r="O7" s="641">
        <f t="shared" ref="O7" si="7">N7-F7</f>
        <v>-400</v>
      </c>
      <c r="P7" s="644" t="s">
        <v>1200</v>
      </c>
      <c r="Q7" s="645">
        <f>合并试算平衡表!D117</f>
        <v>8052203.76</v>
      </c>
      <c r="R7" s="645">
        <f t="shared" si="3"/>
        <v>1789199.68</v>
      </c>
      <c r="S7" s="641">
        <f t="shared" ref="S7" si="8">R7-L7</f>
        <v>-1260936.36</v>
      </c>
      <c r="T7" s="641" t="s">
        <v>1200</v>
      </c>
      <c r="U7" s="643">
        <f>合并试算平衡表!K116</f>
        <v>1789588.52</v>
      </c>
      <c r="V7" s="646">
        <f t="shared" ref="V7" si="9">L7-U7</f>
        <v>1260547.52</v>
      </c>
    </row>
    <row r="8" customHeight="1" spans="1:22">
      <c r="A8" s="634"/>
      <c r="B8" s="647"/>
      <c r="C8" s="639"/>
      <c r="D8" s="648"/>
      <c r="E8" s="648"/>
      <c r="F8" s="640"/>
      <c r="G8" s="641"/>
      <c r="H8" s="641"/>
      <c r="I8" s="642"/>
      <c r="J8" s="641"/>
      <c r="K8" s="640"/>
      <c r="L8" s="641"/>
      <c r="M8" s="643"/>
      <c r="N8" s="641"/>
      <c r="O8" s="641"/>
      <c r="P8" s="644"/>
      <c r="Q8" s="645"/>
      <c r="R8" s="645"/>
      <c r="S8" s="641"/>
      <c r="T8" s="641"/>
      <c r="U8" s="643"/>
      <c r="V8" s="646"/>
    </row>
    <row r="9" customHeight="1" spans="1:22">
      <c r="F9" s="649"/>
      <c r="G9" s="649"/>
      <c r="H9" s="649"/>
      <c r="I9" s="649"/>
      <c r="J9" s="649"/>
      <c r="K9" s="649"/>
      <c r="L9" s="649"/>
    </row>
    <row r="10" ht="30.75" customHeight="1" spans="1:22">
      <c r="A10" s="650" t="s">
        <v>1182</v>
      </c>
      <c r="B10" s="651" t="s">
        <v>1201</v>
      </c>
      <c r="C10" s="652" t="s">
        <v>1202</v>
      </c>
      <c r="D10" s="652" t="s">
        <v>1189</v>
      </c>
      <c r="E10" s="653" t="s">
        <v>1190</v>
      </c>
      <c r="F10" s="652" t="s">
        <v>1203</v>
      </c>
      <c r="G10" s="654"/>
      <c r="H10" s="649"/>
      <c r="I10" s="654"/>
      <c r="J10" s="654"/>
      <c r="K10" s="654"/>
      <c r="L10" s="654"/>
    </row>
    <row r="11" customHeight="1" spans="1:22">
      <c r="A11" s="639"/>
      <c r="B11" s="624" t="s">
        <v>9</v>
      </c>
      <c r="C11" s="655">
        <v>0</v>
      </c>
      <c r="D11" s="640">
        <v>0</v>
      </c>
      <c r="E11" s="656">
        <v>0</v>
      </c>
      <c r="F11" s="641">
        <v>0</v>
      </c>
      <c r="G11" s="654"/>
      <c r="H11" s="654"/>
      <c r="I11" s="654"/>
      <c r="J11" s="654"/>
      <c r="K11" s="654"/>
      <c r="L11" s="654"/>
      <c r="M11" s="657">
        <f>M4-Q3</f>
        <v>0</v>
      </c>
    </row>
    <row r="12" customHeight="1" spans="1:22">
      <c r="A12" s="639"/>
      <c r="B12" s="624" t="s">
        <v>9</v>
      </c>
      <c r="C12" s="655"/>
      <c r="D12" s="640">
        <v>0</v>
      </c>
      <c r="E12" s="656">
        <v>0</v>
      </c>
      <c r="F12" s="641">
        <v>0</v>
      </c>
      <c r="G12" s="654"/>
      <c r="H12" s="654"/>
      <c r="I12" s="654"/>
      <c r="J12" s="654"/>
      <c r="K12" s="654"/>
      <c r="L12" s="654"/>
      <c r="M12" s="657">
        <f>M5-Q4</f>
        <v>0</v>
      </c>
    </row>
    <row r="13" customHeight="1" spans="1:22">
      <c r="A13" s="639">
        <v>2018</v>
      </c>
      <c r="B13" s="624" t="s">
        <v>9</v>
      </c>
      <c r="C13" s="655">
        <v>535590.02</v>
      </c>
      <c r="D13" s="640">
        <v>0</v>
      </c>
      <c r="E13" s="656">
        <v>0</v>
      </c>
      <c r="F13" s="641">
        <v>0</v>
      </c>
      <c r="G13" s="654"/>
      <c r="H13" s="654"/>
      <c r="I13" s="654"/>
      <c r="J13" s="654"/>
      <c r="K13" s="654"/>
      <c r="L13" s="654"/>
      <c r="M13" s="657">
        <f>M6-Q5</f>
        <v>0</v>
      </c>
    </row>
    <row r="14" customHeight="1" spans="1:22">
      <c r="A14" s="639">
        <v>2019</v>
      </c>
      <c r="B14" s="624" t="s">
        <v>9</v>
      </c>
      <c r="C14" s="655">
        <v>2413820.86</v>
      </c>
      <c r="D14" s="640">
        <v>0</v>
      </c>
      <c r="E14" s="656">
        <v>0</v>
      </c>
      <c r="F14" s="641">
        <v>0</v>
      </c>
      <c r="G14" s="654"/>
      <c r="H14" s="654"/>
      <c r="I14" s="654"/>
      <c r="J14" s="654"/>
      <c r="K14" s="654"/>
      <c r="L14" s="654"/>
    </row>
    <row r="15" customHeight="1" spans="1:22">
      <c r="A15" s="639">
        <v>2020</v>
      </c>
      <c r="B15" s="624" t="s">
        <v>9</v>
      </c>
      <c r="C15" s="643">
        <v>958520.17</v>
      </c>
      <c r="D15" s="643">
        <f t="shared" ref="D15:F16" si="10">SUM(D11:D14)</f>
        <v>0</v>
      </c>
      <c r="E15" s="643">
        <f t="shared" si="10"/>
        <v>0</v>
      </c>
      <c r="F15" s="643">
        <f t="shared" si="10"/>
        <v>0</v>
      </c>
      <c r="G15" s="654"/>
      <c r="L15" s="654"/>
    </row>
    <row r="16" customHeight="1" spans="1:22">
      <c r="A16" s="639">
        <v>2021</v>
      </c>
      <c r="B16" s="624" t="s">
        <v>9</v>
      </c>
      <c r="C16" s="643">
        <f>合并试算平衡表!D149</f>
        <v>194652.94</v>
      </c>
      <c r="D16" s="643">
        <f t="shared" si="10"/>
        <v>0</v>
      </c>
      <c r="E16" s="643">
        <f t="shared" si="10"/>
        <v>0</v>
      </c>
      <c r="F16" s="643">
        <f t="shared" si="10"/>
        <v>0</v>
      </c>
      <c r="G16" s="654"/>
      <c r="L16" s="654"/>
    </row>
    <row r="17" customHeight="1" spans="2:7">
      <c r="B17" s="658"/>
      <c r="C17" s="657"/>
      <c r="D17" s="657">
        <f>SUM(D12:D15)</f>
        <v>0</v>
      </c>
      <c r="E17" s="657">
        <f>SUM(E12:E15)</f>
        <v>0</v>
      </c>
      <c r="F17" s="657">
        <f>SUM(F12:F15)</f>
        <v>0</v>
      </c>
    </row>
    <row r="21" customHeight="1" spans="2:7">
      <c r="E21" s="659"/>
      <c r="F21" s="659"/>
      <c r="G21" s="659"/>
    </row>
    <row r="22" customHeight="1" spans="2:7">
      <c r="E22" s="660"/>
      <c r="F22" s="661"/>
      <c r="G22" s="662"/>
    </row>
    <row r="23" customHeight="1" spans="2:7">
      <c r="E23" s="660"/>
      <c r="F23" s="662"/>
      <c r="G23" s="662"/>
    </row>
    <row r="24" customHeight="1" spans="2:7">
      <c r="E24" s="660"/>
      <c r="F24" s="662"/>
      <c r="G24" s="663"/>
    </row>
    <row r="25" customHeight="1" spans="2:7">
      <c r="E25" s="660"/>
      <c r="F25" s="662"/>
      <c r="G25" s="663"/>
    </row>
    <row r="26" customHeight="1" spans="2:7">
      <c r="E26" s="660"/>
      <c r="F26" s="662"/>
      <c r="G26" s="663"/>
    </row>
    <row r="27" customHeight="1" spans="2:7">
      <c r="E27" s="660"/>
      <c r="F27" s="662"/>
      <c r="G27" s="663"/>
    </row>
    <row r="28" customHeight="1" spans="2:7">
      <c r="E28" s="660"/>
      <c r="F28" s="662"/>
      <c r="G28" s="662"/>
    </row>
    <row r="29" customHeight="1" spans="2:7">
      <c r="E29" s="660"/>
      <c r="F29" s="662"/>
      <c r="G29" s="662"/>
    </row>
    <row r="30" customHeight="1" spans="2:7">
      <c r="E30" s="660"/>
      <c r="F30" s="662"/>
      <c r="G30" s="663"/>
    </row>
    <row r="31" customHeight="1" spans="2:7">
      <c r="E31" s="660"/>
      <c r="F31" s="662"/>
      <c r="G31" s="663"/>
    </row>
    <row r="32" customHeight="1" spans="2:7">
      <c r="E32" s="663"/>
      <c r="F32" s="662"/>
      <c r="G32" s="663"/>
    </row>
    <row r="33" customHeight="1" spans="5:7">
      <c r="E33" s="660"/>
      <c r="F33" s="662"/>
      <c r="G33" s="663"/>
    </row>
  </sheetData>
  <pageMargins left="0.699305555555556" right="0.699305555555556"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rgb="FF92D050"/>
  </sheetPr>
  <dimension ref="A1:I103"/>
  <sheetViews>
    <sheetView showGridLines="0" zoomScale="115" zoomScaleNormal="115" topLeftCell="A34" workbookViewId="0">
      <selection activeCell="D3" sqref="D3"/>
    </sheetView>
  </sheetViews>
  <sheetFormatPr defaultColWidth="8.325" defaultRowHeight="14.25"/>
  <cols>
    <col min="1" max="1" width="19.975" style="383" customWidth="1"/>
    <col min="2" max="3" width="17.7583333333333" style="383" customWidth="1"/>
    <col min="4" max="4" width="19.975" style="383" customWidth="1"/>
    <col min="5" max="6" width="17.7583333333333" style="383" customWidth="1"/>
    <col min="7" max="7" width="8.325" style="122"/>
    <col min="8" max="8" width="19.8416666666667" style="122"/>
    <col min="9" max="16384" width="8.325" style="122"/>
  </cols>
  <sheetData>
    <row r="1" ht="43.2" customHeight="1" spans="1:6">
      <c r="A1" s="385"/>
      <c r="B1" s="385"/>
      <c r="C1" s="396" t="s">
        <v>100</v>
      </c>
      <c r="D1" s="397" t="s">
        <v>1204</v>
      </c>
      <c r="E1" s="385"/>
      <c r="F1" s="385"/>
    </row>
    <row r="2" ht="18" customHeight="1" spans="1:6">
      <c r="A2" s="386"/>
      <c r="B2" s="386"/>
      <c r="C2" s="386"/>
      <c r="D2" s="386"/>
      <c r="E2" s="386"/>
      <c r="F2" s="398" t="s">
        <v>97</v>
      </c>
    </row>
    <row r="3" ht="18" customHeight="1" spans="1:6">
      <c r="A3" s="387" t="s">
        <v>1205</v>
      </c>
      <c r="B3" s="387"/>
      <c r="C3" s="386" t="s">
        <v>195</v>
      </c>
      <c r="D3" s="610">
        <f>基本信息!B14</f>
        <v>45991</v>
      </c>
      <c r="E3" s="386" t="s">
        <v>196</v>
      </c>
      <c r="F3" s="387" t="s">
        <v>197</v>
      </c>
    </row>
    <row r="4" ht="7.2" customHeight="1"/>
    <row r="5" ht="18" customHeight="1" spans="1:6">
      <c r="A5" s="387" t="s">
        <v>1206</v>
      </c>
      <c r="B5" s="387"/>
    </row>
    <row r="6" ht="7.2" customHeight="1"/>
    <row r="7" ht="18" customHeight="1" spans="1:6">
      <c r="A7" s="390" t="s">
        <v>100</v>
      </c>
      <c r="B7" s="390" t="s">
        <v>101</v>
      </c>
      <c r="C7" s="390" t="s">
        <v>102</v>
      </c>
      <c r="D7" s="390" t="s">
        <v>198</v>
      </c>
      <c r="E7" s="390" t="s">
        <v>101</v>
      </c>
      <c r="F7" s="390" t="s">
        <v>102</v>
      </c>
    </row>
    <row r="8" ht="18" customHeight="1" spans="1:6">
      <c r="A8" s="391" t="s">
        <v>104</v>
      </c>
      <c r="B8" s="608">
        <v>0</v>
      </c>
      <c r="C8" s="608">
        <v>0</v>
      </c>
      <c r="D8" s="391" t="s">
        <v>105</v>
      </c>
      <c r="E8" s="608">
        <v>0</v>
      </c>
      <c r="F8" s="608">
        <v>0</v>
      </c>
    </row>
    <row r="9" ht="18" customHeight="1" spans="1:6">
      <c r="A9" s="391" t="s">
        <v>199</v>
      </c>
      <c r="B9" s="608">
        <v>1463763.67</v>
      </c>
      <c r="C9" s="608">
        <v>1306279.93</v>
      </c>
      <c r="D9" s="391" t="s">
        <v>200</v>
      </c>
      <c r="E9" s="608">
        <v>6006319.45</v>
      </c>
      <c r="F9" s="608">
        <v>6872069.19</v>
      </c>
    </row>
    <row r="10" ht="18" customHeight="1" spans="1:6">
      <c r="A10" s="391" t="s">
        <v>201</v>
      </c>
      <c r="B10" s="608">
        <v>1463763.67</v>
      </c>
      <c r="C10" s="608">
        <v>1306279.93</v>
      </c>
      <c r="D10" s="391" t="s">
        <v>202</v>
      </c>
      <c r="E10" s="608">
        <v>0</v>
      </c>
      <c r="F10" s="608"/>
    </row>
    <row r="11" ht="18" customHeight="1" spans="1:6">
      <c r="A11" s="391" t="s">
        <v>203</v>
      </c>
      <c r="B11" s="608">
        <v>0</v>
      </c>
      <c r="C11" s="608"/>
      <c r="D11" s="391" t="s">
        <v>204</v>
      </c>
      <c r="E11" s="608">
        <v>0</v>
      </c>
      <c r="F11" s="608"/>
    </row>
    <row r="12" ht="18" customHeight="1" spans="1:6">
      <c r="A12" s="391" t="s">
        <v>205</v>
      </c>
      <c r="B12" s="608">
        <v>0</v>
      </c>
      <c r="C12" s="608"/>
      <c r="D12" s="391" t="s">
        <v>206</v>
      </c>
      <c r="E12" s="608">
        <v>3993067.4</v>
      </c>
      <c r="F12" s="608">
        <v>6099688.6</v>
      </c>
    </row>
    <row r="13" ht="18" customHeight="1" spans="1:6">
      <c r="A13" s="391" t="s">
        <v>207</v>
      </c>
      <c r="B13" s="608">
        <v>3247751.3</v>
      </c>
      <c r="C13" s="608">
        <v>508150.86</v>
      </c>
      <c r="D13" s="391" t="s">
        <v>208</v>
      </c>
      <c r="E13" s="608">
        <v>0</v>
      </c>
      <c r="F13" s="608">
        <v>17730</v>
      </c>
    </row>
    <row r="14" ht="18" customHeight="1" spans="1:6">
      <c r="A14" s="391" t="s">
        <v>209</v>
      </c>
      <c r="B14" s="608">
        <v>8476406.3</v>
      </c>
      <c r="C14" s="608">
        <v>8564840.48</v>
      </c>
      <c r="D14" s="391" t="s">
        <v>210</v>
      </c>
      <c r="E14" s="608">
        <v>176978.65</v>
      </c>
      <c r="F14" s="608">
        <v>176978.65</v>
      </c>
    </row>
    <row r="15" ht="18" customHeight="1" spans="1:6">
      <c r="A15" s="391" t="s">
        <v>211</v>
      </c>
      <c r="B15" s="608">
        <v>666.17</v>
      </c>
      <c r="C15" s="608"/>
      <c r="D15" s="391" t="s">
        <v>212</v>
      </c>
      <c r="E15" s="608">
        <v>366556.9</v>
      </c>
      <c r="F15" s="608">
        <v>501580.68</v>
      </c>
    </row>
    <row r="16" ht="18" customHeight="1" spans="1:6">
      <c r="A16" s="391" t="s">
        <v>213</v>
      </c>
      <c r="B16" s="608">
        <v>148033.26</v>
      </c>
      <c r="C16" s="608">
        <v>150161.06</v>
      </c>
      <c r="D16" s="391" t="s">
        <v>214</v>
      </c>
      <c r="E16" s="608">
        <v>196025.77</v>
      </c>
      <c r="F16" s="608">
        <v>-22570.11</v>
      </c>
    </row>
    <row r="17" ht="18" customHeight="1" spans="1:9">
      <c r="A17" s="391" t="s">
        <v>215</v>
      </c>
      <c r="B17" s="608">
        <v>0</v>
      </c>
      <c r="C17" s="608"/>
      <c r="D17" s="391" t="s">
        <v>216</v>
      </c>
      <c r="E17" s="608">
        <v>0</v>
      </c>
      <c r="F17" s="608">
        <v>4744.44</v>
      </c>
    </row>
    <row r="18" ht="18" customHeight="1" spans="1:9">
      <c r="A18" s="391" t="s">
        <v>217</v>
      </c>
      <c r="B18" s="608">
        <v>0</v>
      </c>
      <c r="C18" s="608"/>
      <c r="D18" s="391" t="s">
        <v>218</v>
      </c>
      <c r="E18" s="608">
        <v>0</v>
      </c>
      <c r="F18" s="608"/>
    </row>
    <row r="19" ht="18" customHeight="1" spans="1:9">
      <c r="A19" s="391" t="s">
        <v>219</v>
      </c>
      <c r="B19" s="608">
        <v>196767.5</v>
      </c>
      <c r="C19" s="608">
        <v>233520.98</v>
      </c>
      <c r="D19" s="391" t="s">
        <v>220</v>
      </c>
      <c r="E19" s="608">
        <v>275934.23</v>
      </c>
      <c r="F19" s="608">
        <v>262920.15</v>
      </c>
    </row>
    <row r="20" ht="18" customHeight="1" spans="1:9">
      <c r="A20" s="391" t="s">
        <v>221</v>
      </c>
      <c r="B20" s="608">
        <v>4231996.56</v>
      </c>
      <c r="C20" s="608">
        <v>8214116.1</v>
      </c>
      <c r="D20" s="391" t="s">
        <v>222</v>
      </c>
      <c r="E20" s="608">
        <v>0</v>
      </c>
      <c r="F20" s="608"/>
    </row>
    <row r="21" ht="18" customHeight="1" spans="1:9">
      <c r="A21" s="391" t="s">
        <v>223</v>
      </c>
      <c r="B21" s="608">
        <v>36286.8</v>
      </c>
      <c r="C21" s="608">
        <v>39373.27</v>
      </c>
      <c r="D21" s="391" t="s">
        <v>224</v>
      </c>
      <c r="E21" s="608">
        <v>1574471.54</v>
      </c>
      <c r="F21" s="608">
        <v>1276.99</v>
      </c>
    </row>
    <row r="22" ht="18" customHeight="1" spans="1:9">
      <c r="A22" s="391" t="s">
        <v>225</v>
      </c>
      <c r="B22" s="608">
        <v>4149504.18</v>
      </c>
      <c r="C22" s="608">
        <v>7965394.25</v>
      </c>
      <c r="D22" s="391"/>
      <c r="E22" s="608">
        <v>0</v>
      </c>
      <c r="F22" s="608"/>
      <c r="H22" s="121">
        <f>(C22-B22)/0.75/10000</f>
        <v>508.785342666667</v>
      </c>
      <c r="I22" s="122" t="s">
        <v>133</v>
      </c>
    </row>
    <row r="23" ht="18" customHeight="1" spans="1:9">
      <c r="A23" s="391" t="s">
        <v>226</v>
      </c>
      <c r="B23" s="608">
        <v>0</v>
      </c>
      <c r="C23" s="608">
        <v>139684.5</v>
      </c>
      <c r="D23" s="391"/>
      <c r="E23" s="608">
        <v>0</v>
      </c>
      <c r="F23" s="608"/>
      <c r="H23" s="121">
        <f>((C23-B23)/0.75+精铸PL新!D9)/10000</f>
        <v>753.810968</v>
      </c>
      <c r="I23" s="122" t="s">
        <v>135</v>
      </c>
    </row>
    <row r="24" ht="18" customHeight="1" spans="1:9">
      <c r="A24" s="391" t="s">
        <v>227</v>
      </c>
      <c r="B24" s="608">
        <v>46205.58</v>
      </c>
      <c r="C24" s="608">
        <v>69664.08</v>
      </c>
      <c r="D24" s="391"/>
      <c r="E24" s="608">
        <v>0</v>
      </c>
      <c r="F24" s="608"/>
      <c r="H24" s="121">
        <f>H22+H23</f>
        <v>1262.59631066667</v>
      </c>
      <c r="I24" s="122" t="s">
        <v>137</v>
      </c>
    </row>
    <row r="25" ht="18" customHeight="1" spans="1:9">
      <c r="A25" s="391" t="s">
        <v>228</v>
      </c>
      <c r="B25" s="608">
        <v>0</v>
      </c>
      <c r="C25" s="608">
        <v>30771.11</v>
      </c>
      <c r="D25" s="611" t="s">
        <v>229</v>
      </c>
      <c r="E25" s="612">
        <v>12589353.94</v>
      </c>
      <c r="F25" s="612">
        <v>13914418.59</v>
      </c>
      <c r="H25" s="121">
        <f>H22/1.13+H23</f>
        <v>1204.06348363422</v>
      </c>
      <c r="I25" s="122" t="s">
        <v>145</v>
      </c>
    </row>
    <row r="26" ht="18" customHeight="1" spans="1:9">
      <c r="A26" s="391" t="s">
        <v>230</v>
      </c>
      <c r="B26" s="608">
        <v>0</v>
      </c>
      <c r="C26" s="608"/>
      <c r="D26" s="391" t="s">
        <v>144</v>
      </c>
      <c r="E26" s="608">
        <v>0</v>
      </c>
      <c r="F26" s="608"/>
    </row>
    <row r="27" ht="18" customHeight="1" spans="1:9">
      <c r="A27" s="391" t="s">
        <v>232</v>
      </c>
      <c r="B27" s="608">
        <v>0</v>
      </c>
      <c r="C27" s="608"/>
      <c r="D27" s="391" t="s">
        <v>233</v>
      </c>
      <c r="E27" s="608">
        <v>0</v>
      </c>
      <c r="F27" s="608"/>
    </row>
    <row r="28" ht="18" customHeight="1" spans="1:9">
      <c r="A28" s="391" t="s">
        <v>234</v>
      </c>
      <c r="B28" s="608">
        <v>0</v>
      </c>
      <c r="C28" s="608"/>
      <c r="D28" s="391" t="s">
        <v>235</v>
      </c>
      <c r="E28" s="608">
        <v>0</v>
      </c>
      <c r="F28" s="608"/>
    </row>
    <row r="29" ht="18" customHeight="1" spans="1:9">
      <c r="A29" s="611" t="s">
        <v>236</v>
      </c>
      <c r="B29" s="612">
        <v>17765384.76</v>
      </c>
      <c r="C29" s="612">
        <v>19007840.52</v>
      </c>
      <c r="D29" s="391" t="s">
        <v>237</v>
      </c>
      <c r="E29" s="608">
        <v>0</v>
      </c>
      <c r="F29" s="608"/>
    </row>
    <row r="30" ht="18" customHeight="1" spans="1:9">
      <c r="A30" s="391"/>
      <c r="B30" s="608">
        <v>0</v>
      </c>
      <c r="C30" s="608"/>
      <c r="D30" s="391" t="s">
        <v>238</v>
      </c>
      <c r="E30" s="608">
        <v>0</v>
      </c>
      <c r="F30" s="608"/>
    </row>
    <row r="31" ht="18" customHeight="1" spans="1:9">
      <c r="A31" s="391"/>
      <c r="B31" s="608">
        <v>0</v>
      </c>
      <c r="C31" s="608"/>
      <c r="D31" s="391" t="s">
        <v>239</v>
      </c>
      <c r="E31" s="608">
        <v>0</v>
      </c>
      <c r="F31" s="608"/>
    </row>
    <row r="32" ht="18" customHeight="1" spans="1:9">
      <c r="A32" s="391"/>
      <c r="B32" s="608">
        <v>0</v>
      </c>
      <c r="C32" s="608"/>
      <c r="D32" s="391" t="s">
        <v>240</v>
      </c>
      <c r="E32" s="608">
        <v>0</v>
      </c>
      <c r="F32" s="608"/>
    </row>
    <row r="33" ht="18" customHeight="1" spans="1:8">
      <c r="A33" s="391" t="s">
        <v>146</v>
      </c>
      <c r="B33" s="608">
        <v>0</v>
      </c>
      <c r="C33" s="608"/>
      <c r="D33" s="391" t="s">
        <v>241</v>
      </c>
      <c r="E33" s="608">
        <v>0</v>
      </c>
      <c r="F33" s="608"/>
    </row>
    <row r="34" ht="18" customHeight="1" spans="1:8">
      <c r="A34" s="391" t="s">
        <v>242</v>
      </c>
      <c r="B34" s="608">
        <v>0</v>
      </c>
      <c r="C34" s="608"/>
      <c r="D34" s="391" t="s">
        <v>243</v>
      </c>
      <c r="E34" s="608">
        <v>0</v>
      </c>
      <c r="F34" s="608"/>
    </row>
    <row r="35" ht="18" customHeight="1" spans="1:8">
      <c r="A35" s="391" t="s">
        <v>244</v>
      </c>
      <c r="B35" s="608">
        <v>0</v>
      </c>
      <c r="C35" s="608"/>
      <c r="D35" s="611" t="s">
        <v>245</v>
      </c>
      <c r="E35" s="612">
        <v>0</v>
      </c>
      <c r="F35" s="612"/>
    </row>
    <row r="36" ht="18" customHeight="1" spans="1:8">
      <c r="A36" s="391" t="s">
        <v>246</v>
      </c>
      <c r="B36" s="608">
        <v>0</v>
      </c>
      <c r="C36" s="608"/>
      <c r="D36" s="611" t="s">
        <v>247</v>
      </c>
      <c r="E36" s="612">
        <v>12589353.94</v>
      </c>
      <c r="F36" s="612">
        <v>13914418.59</v>
      </c>
    </row>
    <row r="37" ht="18" customHeight="1" spans="1:8">
      <c r="A37" s="391" t="s">
        <v>248</v>
      </c>
      <c r="B37" s="608">
        <v>0</v>
      </c>
      <c r="C37" s="608"/>
      <c r="D37" s="391"/>
      <c r="E37" s="608">
        <v>0</v>
      </c>
      <c r="F37" s="608"/>
    </row>
    <row r="38" ht="18" customHeight="1" spans="1:8">
      <c r="A38" s="391" t="s">
        <v>249</v>
      </c>
      <c r="B38" s="608">
        <v>0</v>
      </c>
      <c r="C38" s="608"/>
      <c r="D38" s="391"/>
      <c r="E38" s="608">
        <v>0</v>
      </c>
      <c r="F38" s="608"/>
    </row>
    <row r="39" ht="18" customHeight="1" spans="1:8">
      <c r="A39" s="391" t="s">
        <v>250</v>
      </c>
      <c r="B39" s="608">
        <v>0</v>
      </c>
      <c r="C39" s="608"/>
      <c r="D39" s="391" t="s">
        <v>169</v>
      </c>
      <c r="E39" s="608">
        <v>0</v>
      </c>
      <c r="F39" s="608"/>
    </row>
    <row r="40" ht="18" customHeight="1" spans="1:8">
      <c r="A40" s="391" t="s">
        <v>251</v>
      </c>
      <c r="B40" s="608">
        <v>9940107.81</v>
      </c>
      <c r="C40" s="608">
        <v>10718249.4</v>
      </c>
      <c r="D40" s="391" t="s">
        <v>252</v>
      </c>
      <c r="E40" s="608">
        <v>18000000</v>
      </c>
      <c r="F40" s="608">
        <v>18000000</v>
      </c>
    </row>
    <row r="41" ht="18" customHeight="1" spans="1:8">
      <c r="A41" s="391" t="s">
        <v>253</v>
      </c>
      <c r="B41" s="608">
        <v>7258587.81</v>
      </c>
      <c r="C41" s="608">
        <v>7759467.57</v>
      </c>
      <c r="D41" s="391" t="s">
        <v>254</v>
      </c>
      <c r="E41" s="608">
        <v>0</v>
      </c>
      <c r="F41" s="608"/>
    </row>
    <row r="42" ht="18" customHeight="1" spans="1:8">
      <c r="A42" s="391" t="s">
        <v>255</v>
      </c>
      <c r="B42" s="608">
        <v>2681520</v>
      </c>
      <c r="C42" s="608">
        <v>2958781.83</v>
      </c>
      <c r="D42" s="391" t="s">
        <v>256</v>
      </c>
      <c r="E42" s="608">
        <v>0</v>
      </c>
      <c r="F42" s="608"/>
    </row>
    <row r="43" ht="18" customHeight="1" spans="1:8">
      <c r="A43" s="391" t="s">
        <v>257</v>
      </c>
      <c r="B43" s="608">
        <v>0</v>
      </c>
      <c r="C43" s="608"/>
      <c r="D43" s="391" t="s">
        <v>258</v>
      </c>
      <c r="E43" s="608">
        <v>0</v>
      </c>
      <c r="F43" s="608"/>
    </row>
    <row r="44" ht="18" customHeight="1" spans="1:8">
      <c r="A44" s="391" t="s">
        <v>259</v>
      </c>
      <c r="B44" s="608">
        <v>0</v>
      </c>
      <c r="C44" s="608"/>
      <c r="D44" s="391" t="s">
        <v>260</v>
      </c>
      <c r="E44" s="608">
        <v>-10142449.18</v>
      </c>
      <c r="F44" s="608">
        <v>-9947796.24</v>
      </c>
      <c r="H44" s="121">
        <f>F44-E44-精铸PL新!D36</f>
        <v>-5.23868948221207e-10</v>
      </c>
    </row>
    <row r="45" ht="18" customHeight="1" spans="1:8">
      <c r="A45" s="391" t="s">
        <v>261</v>
      </c>
      <c r="B45" s="608">
        <v>0</v>
      </c>
      <c r="C45" s="608"/>
      <c r="D45" s="611" t="s">
        <v>266</v>
      </c>
      <c r="E45" s="612">
        <v>7857550.82</v>
      </c>
      <c r="F45" s="612">
        <v>8052203.76</v>
      </c>
    </row>
    <row r="46" ht="18" customHeight="1" spans="1:8">
      <c r="A46" s="391" t="s">
        <v>263</v>
      </c>
      <c r="B46" s="608">
        <v>0</v>
      </c>
      <c r="C46" s="608"/>
      <c r="D46" s="391"/>
      <c r="E46" s="608">
        <v>0</v>
      </c>
      <c r="F46" s="608"/>
      <c r="H46" s="613"/>
    </row>
    <row r="47" ht="18" customHeight="1" spans="1:8">
      <c r="A47" s="391" t="s">
        <v>265</v>
      </c>
      <c r="B47" s="608">
        <v>0</v>
      </c>
      <c r="C47" s="608"/>
      <c r="D47" s="391"/>
      <c r="E47" s="608">
        <v>0</v>
      </c>
      <c r="F47" s="608"/>
    </row>
    <row r="48" ht="18" customHeight="1" spans="1:8">
      <c r="A48" s="391" t="s">
        <v>267</v>
      </c>
      <c r="B48" s="608">
        <v>0</v>
      </c>
      <c r="C48" s="608"/>
      <c r="D48" s="391"/>
      <c r="E48" s="608">
        <v>0</v>
      </c>
      <c r="F48" s="608"/>
    </row>
    <row r="49" ht="18" customHeight="1" spans="1:6">
      <c r="A49" s="391" t="s">
        <v>268</v>
      </c>
      <c r="B49" s="608">
        <v>0</v>
      </c>
      <c r="C49" s="608"/>
      <c r="D49" s="391"/>
      <c r="E49" s="608">
        <v>0</v>
      </c>
      <c r="F49" s="608"/>
    </row>
    <row r="50" ht="18" customHeight="1" spans="1:6">
      <c r="A50" s="391" t="s">
        <v>269</v>
      </c>
      <c r="B50" s="608">
        <v>0</v>
      </c>
      <c r="C50" s="608"/>
      <c r="D50" s="391"/>
      <c r="E50" s="608">
        <v>0</v>
      </c>
      <c r="F50" s="608"/>
    </row>
    <row r="51" ht="18" customHeight="1" spans="1:6">
      <c r="A51" s="391" t="s">
        <v>270</v>
      </c>
      <c r="B51" s="608">
        <v>0</v>
      </c>
      <c r="C51" s="608"/>
      <c r="D51" s="391"/>
      <c r="E51" s="608">
        <v>0</v>
      </c>
      <c r="F51" s="608"/>
    </row>
    <row r="52" ht="18" customHeight="1" spans="1:6">
      <c r="A52" s="391" t="s">
        <v>271</v>
      </c>
      <c r="B52" s="608">
        <v>0</v>
      </c>
      <c r="C52" s="608"/>
      <c r="D52" s="391"/>
      <c r="E52" s="608">
        <v>0</v>
      </c>
      <c r="F52" s="608"/>
    </row>
    <row r="53" ht="18" customHeight="1" spans="1:6">
      <c r="A53" s="611" t="s">
        <v>272</v>
      </c>
      <c r="B53" s="612">
        <v>2681520</v>
      </c>
      <c r="C53" s="612">
        <v>2958781.83</v>
      </c>
      <c r="D53" s="391"/>
      <c r="E53" s="608">
        <v>0</v>
      </c>
      <c r="F53" s="608"/>
    </row>
    <row r="54" ht="18" customHeight="1" spans="1:6">
      <c r="A54" s="611" t="s">
        <v>273</v>
      </c>
      <c r="B54" s="612">
        <v>20446904.76</v>
      </c>
      <c r="C54" s="612">
        <v>21966622.35</v>
      </c>
      <c r="D54" s="611" t="s">
        <v>274</v>
      </c>
      <c r="E54" s="612">
        <v>20446904.76</v>
      </c>
      <c r="F54" s="612">
        <v>21966622.35</v>
      </c>
    </row>
    <row r="55" ht="20.15" customHeight="1" spans="1:6">
      <c r="A55" s="390" t="s">
        <v>198</v>
      </c>
      <c r="B55" s="390" t="s">
        <v>101</v>
      </c>
      <c r="C55" s="390" t="s">
        <v>102</v>
      </c>
      <c r="E55" s="407">
        <f>B54-E54</f>
        <v>0</v>
      </c>
      <c r="F55" s="407">
        <f>C54-F54</f>
        <v>0</v>
      </c>
    </row>
    <row r="56" ht="15.8" customHeight="1" spans="1:6">
      <c r="A56" s="391" t="s">
        <v>105</v>
      </c>
      <c r="B56" s="408">
        <f>E8</f>
        <v>0</v>
      </c>
      <c r="C56" s="408">
        <f>F8</f>
        <v>0</v>
      </c>
      <c r="D56" s="387"/>
      <c r="E56" s="386"/>
      <c r="F56" s="387"/>
    </row>
    <row r="57" ht="15.1" customHeight="1" spans="1:6">
      <c r="A57" s="391" t="s">
        <v>200</v>
      </c>
      <c r="B57" s="408">
        <f t="shared" ref="B57:B102" si="0">E9</f>
        <v>6006319.45</v>
      </c>
      <c r="C57" s="408">
        <f t="shared" ref="C57:C102" si="1">F9</f>
        <v>6872069.19</v>
      </c>
    </row>
    <row r="58" spans="1:6">
      <c r="A58" s="391" t="s">
        <v>202</v>
      </c>
      <c r="B58" s="408">
        <f t="shared" si="0"/>
        <v>0</v>
      </c>
      <c r="C58" s="408">
        <f t="shared" si="1"/>
        <v>0</v>
      </c>
    </row>
    <row r="59" spans="1:6">
      <c r="A59" s="391" t="s">
        <v>204</v>
      </c>
      <c r="B59" s="408">
        <f t="shared" si="0"/>
        <v>0</v>
      </c>
      <c r="C59" s="408">
        <f t="shared" si="1"/>
        <v>0</v>
      </c>
    </row>
    <row r="60" spans="1:6">
      <c r="A60" s="391" t="s">
        <v>206</v>
      </c>
      <c r="B60" s="408">
        <f t="shared" si="0"/>
        <v>3993067.4</v>
      </c>
      <c r="C60" s="408">
        <f t="shared" si="1"/>
        <v>6099688.6</v>
      </c>
    </row>
    <row r="61" spans="1:6">
      <c r="A61" s="391" t="s">
        <v>208</v>
      </c>
      <c r="B61" s="408">
        <f t="shared" si="0"/>
        <v>0</v>
      </c>
      <c r="C61" s="408">
        <f t="shared" si="1"/>
        <v>17730</v>
      </c>
    </row>
    <row r="62" spans="1:6">
      <c r="A62" s="391" t="s">
        <v>210</v>
      </c>
      <c r="B62" s="408">
        <f t="shared" si="0"/>
        <v>176978.65</v>
      </c>
      <c r="C62" s="408">
        <f t="shared" si="1"/>
        <v>176978.65</v>
      </c>
    </row>
    <row r="63" spans="1:6">
      <c r="A63" s="391" t="s">
        <v>212</v>
      </c>
      <c r="B63" s="408">
        <f t="shared" si="0"/>
        <v>366556.9</v>
      </c>
      <c r="C63" s="408">
        <f t="shared" si="1"/>
        <v>501580.68</v>
      </c>
    </row>
    <row r="64" spans="1:6">
      <c r="A64" s="391" t="s">
        <v>214</v>
      </c>
      <c r="B64" s="408">
        <f t="shared" si="0"/>
        <v>196025.77</v>
      </c>
      <c r="C64" s="408">
        <f t="shared" si="1"/>
        <v>-22570.11</v>
      </c>
    </row>
    <row r="65" spans="1:3">
      <c r="A65" s="391" t="s">
        <v>216</v>
      </c>
      <c r="B65" s="408">
        <f t="shared" si="0"/>
        <v>0</v>
      </c>
      <c r="C65" s="408">
        <f t="shared" si="1"/>
        <v>4744.44</v>
      </c>
    </row>
    <row r="66" spans="1:3">
      <c r="A66" s="391" t="s">
        <v>218</v>
      </c>
      <c r="B66" s="408">
        <f t="shared" si="0"/>
        <v>0</v>
      </c>
      <c r="C66" s="408">
        <f t="shared" si="1"/>
        <v>0</v>
      </c>
    </row>
    <row r="67" spans="1:3">
      <c r="A67" s="391" t="s">
        <v>220</v>
      </c>
      <c r="B67" s="408">
        <f t="shared" si="0"/>
        <v>275934.23</v>
      </c>
      <c r="C67" s="408">
        <f t="shared" si="1"/>
        <v>262920.15</v>
      </c>
    </row>
    <row r="68" spans="1:3">
      <c r="A68" s="391" t="s">
        <v>222</v>
      </c>
      <c r="B68" s="408">
        <f t="shared" si="0"/>
        <v>0</v>
      </c>
      <c r="C68" s="408">
        <f t="shared" si="1"/>
        <v>0</v>
      </c>
    </row>
    <row r="69" spans="1:3">
      <c r="A69" s="391" t="s">
        <v>224</v>
      </c>
      <c r="B69" s="408">
        <f t="shared" si="0"/>
        <v>1574471.54</v>
      </c>
      <c r="C69" s="408">
        <f t="shared" si="1"/>
        <v>1276.99</v>
      </c>
    </row>
    <row r="70" spans="1:3">
      <c r="A70" s="391"/>
      <c r="B70" s="408">
        <f t="shared" si="0"/>
        <v>0</v>
      </c>
      <c r="C70" s="408">
        <f t="shared" si="1"/>
        <v>0</v>
      </c>
    </row>
    <row r="71" spans="1:3">
      <c r="A71" s="391"/>
      <c r="B71" s="408">
        <f t="shared" si="0"/>
        <v>0</v>
      </c>
      <c r="C71" s="408">
        <f t="shared" si="1"/>
        <v>0</v>
      </c>
    </row>
    <row r="72" spans="1:3">
      <c r="A72" s="391"/>
      <c r="B72" s="408">
        <f t="shared" si="0"/>
        <v>0</v>
      </c>
      <c r="C72" s="408">
        <f t="shared" si="1"/>
        <v>0</v>
      </c>
    </row>
    <row r="73" spans="1:3">
      <c r="A73" s="611" t="s">
        <v>229</v>
      </c>
      <c r="B73" s="408">
        <f t="shared" si="0"/>
        <v>12589353.94</v>
      </c>
      <c r="C73" s="408">
        <f t="shared" si="1"/>
        <v>13914418.59</v>
      </c>
    </row>
    <row r="74" spans="1:3">
      <c r="A74" s="391" t="s">
        <v>144</v>
      </c>
      <c r="B74" s="408">
        <f t="shared" si="0"/>
        <v>0</v>
      </c>
      <c r="C74" s="408">
        <f t="shared" si="1"/>
        <v>0</v>
      </c>
    </row>
    <row r="75" spans="1:3">
      <c r="A75" s="391" t="s">
        <v>233</v>
      </c>
      <c r="B75" s="408">
        <f t="shared" si="0"/>
        <v>0</v>
      </c>
      <c r="C75" s="408">
        <f t="shared" si="1"/>
        <v>0</v>
      </c>
    </row>
    <row r="76" spans="1:3">
      <c r="A76" s="391" t="s">
        <v>235</v>
      </c>
      <c r="B76" s="408">
        <f t="shared" si="0"/>
        <v>0</v>
      </c>
      <c r="C76" s="408">
        <f t="shared" si="1"/>
        <v>0</v>
      </c>
    </row>
    <row r="77" spans="1:3">
      <c r="A77" s="391" t="s">
        <v>237</v>
      </c>
      <c r="B77" s="408">
        <f t="shared" si="0"/>
        <v>0</v>
      </c>
      <c r="C77" s="408">
        <f t="shared" si="1"/>
        <v>0</v>
      </c>
    </row>
    <row r="78" spans="1:3">
      <c r="A78" s="391" t="s">
        <v>238</v>
      </c>
      <c r="B78" s="408">
        <f t="shared" si="0"/>
        <v>0</v>
      </c>
      <c r="C78" s="408">
        <f t="shared" si="1"/>
        <v>0</v>
      </c>
    </row>
    <row r="79" spans="1:3">
      <c r="A79" s="391" t="s">
        <v>239</v>
      </c>
      <c r="B79" s="408">
        <f t="shared" si="0"/>
        <v>0</v>
      </c>
      <c r="C79" s="408">
        <f t="shared" si="1"/>
        <v>0</v>
      </c>
    </row>
    <row r="80" spans="1:3">
      <c r="A80" s="391" t="s">
        <v>240</v>
      </c>
      <c r="B80" s="408">
        <f t="shared" si="0"/>
        <v>0</v>
      </c>
      <c r="C80" s="408">
        <f t="shared" si="1"/>
        <v>0</v>
      </c>
    </row>
    <row r="81" spans="1:3">
      <c r="A81" s="391" t="s">
        <v>241</v>
      </c>
      <c r="B81" s="408">
        <f t="shared" si="0"/>
        <v>0</v>
      </c>
      <c r="C81" s="408">
        <f t="shared" si="1"/>
        <v>0</v>
      </c>
    </row>
    <row r="82" spans="1:3">
      <c r="A82" s="391" t="s">
        <v>243</v>
      </c>
      <c r="B82" s="408">
        <f t="shared" si="0"/>
        <v>0</v>
      </c>
      <c r="C82" s="408">
        <f t="shared" si="1"/>
        <v>0</v>
      </c>
    </row>
    <row r="83" spans="1:3">
      <c r="A83" s="611" t="s">
        <v>245</v>
      </c>
      <c r="B83" s="408">
        <f t="shared" si="0"/>
        <v>0</v>
      </c>
      <c r="C83" s="408">
        <f t="shared" si="1"/>
        <v>0</v>
      </c>
    </row>
    <row r="84" spans="1:3">
      <c r="A84" s="611" t="s">
        <v>247</v>
      </c>
      <c r="B84" s="408">
        <f t="shared" si="0"/>
        <v>12589353.94</v>
      </c>
      <c r="C84" s="408">
        <f t="shared" si="1"/>
        <v>13914418.59</v>
      </c>
    </row>
    <row r="85" spans="1:3">
      <c r="A85" s="391"/>
      <c r="B85" s="408">
        <f t="shared" si="0"/>
        <v>0</v>
      </c>
      <c r="C85" s="408">
        <f t="shared" si="1"/>
        <v>0</v>
      </c>
    </row>
    <row r="86" spans="1:3">
      <c r="A86" s="391"/>
      <c r="B86" s="408">
        <f t="shared" si="0"/>
        <v>0</v>
      </c>
      <c r="C86" s="408">
        <f t="shared" si="1"/>
        <v>0</v>
      </c>
    </row>
    <row r="87" spans="1:3">
      <c r="A87" s="391" t="s">
        <v>169</v>
      </c>
      <c r="B87" s="408">
        <f t="shared" si="0"/>
        <v>0</v>
      </c>
      <c r="C87" s="408">
        <f t="shared" si="1"/>
        <v>0</v>
      </c>
    </row>
    <row r="88" spans="1:3">
      <c r="A88" s="391" t="s">
        <v>252</v>
      </c>
      <c r="B88" s="408">
        <f t="shared" si="0"/>
        <v>18000000</v>
      </c>
      <c r="C88" s="408">
        <f t="shared" si="1"/>
        <v>18000000</v>
      </c>
    </row>
    <row r="89" spans="1:3">
      <c r="A89" s="391" t="s">
        <v>254</v>
      </c>
      <c r="B89" s="408">
        <f t="shared" si="0"/>
        <v>0</v>
      </c>
      <c r="C89" s="408">
        <f t="shared" si="1"/>
        <v>0</v>
      </c>
    </row>
    <row r="90" spans="1:3">
      <c r="A90" s="391" t="s">
        <v>256</v>
      </c>
      <c r="B90" s="408">
        <f t="shared" si="0"/>
        <v>0</v>
      </c>
      <c r="C90" s="408">
        <f t="shared" si="1"/>
        <v>0</v>
      </c>
    </row>
    <row r="91" spans="1:3">
      <c r="A91" s="391" t="s">
        <v>258</v>
      </c>
      <c r="B91" s="408">
        <f t="shared" si="0"/>
        <v>0</v>
      </c>
      <c r="C91" s="408">
        <f t="shared" si="1"/>
        <v>0</v>
      </c>
    </row>
    <row r="92" spans="1:3">
      <c r="A92" s="391" t="s">
        <v>260</v>
      </c>
      <c r="B92" s="408">
        <f t="shared" si="0"/>
        <v>-10142449.18</v>
      </c>
      <c r="C92" s="408">
        <f t="shared" si="1"/>
        <v>-9947796.24</v>
      </c>
    </row>
    <row r="93" spans="1:3">
      <c r="A93" s="611" t="s">
        <v>266</v>
      </c>
      <c r="B93" s="408">
        <f t="shared" si="0"/>
        <v>7857550.82</v>
      </c>
      <c r="C93" s="408">
        <f t="shared" si="1"/>
        <v>8052203.76</v>
      </c>
    </row>
    <row r="94" spans="1:3">
      <c r="A94" s="391"/>
      <c r="B94" s="408">
        <f t="shared" si="0"/>
        <v>0</v>
      </c>
      <c r="C94" s="408">
        <f t="shared" si="1"/>
        <v>0</v>
      </c>
    </row>
    <row r="95" spans="1:3">
      <c r="A95" s="391"/>
      <c r="B95" s="408">
        <f t="shared" si="0"/>
        <v>0</v>
      </c>
      <c r="C95" s="408">
        <f t="shared" si="1"/>
        <v>0</v>
      </c>
    </row>
    <row r="96" spans="1:3">
      <c r="A96" s="391"/>
      <c r="B96" s="408">
        <f t="shared" si="0"/>
        <v>0</v>
      </c>
      <c r="C96" s="408">
        <f t="shared" si="1"/>
        <v>0</v>
      </c>
    </row>
    <row r="97" spans="1:3">
      <c r="A97" s="391"/>
      <c r="B97" s="408">
        <f t="shared" si="0"/>
        <v>0</v>
      </c>
      <c r="C97" s="408">
        <f t="shared" si="1"/>
        <v>0</v>
      </c>
    </row>
    <row r="98" spans="1:3">
      <c r="A98" s="391"/>
      <c r="B98" s="408">
        <f t="shared" si="0"/>
        <v>0</v>
      </c>
      <c r="C98" s="408">
        <f t="shared" si="1"/>
        <v>0</v>
      </c>
    </row>
    <row r="99" spans="1:3">
      <c r="A99" s="391"/>
      <c r="B99" s="408">
        <f t="shared" si="0"/>
        <v>0</v>
      </c>
      <c r="C99" s="408">
        <f t="shared" si="1"/>
        <v>0</v>
      </c>
    </row>
    <row r="100" spans="1:3">
      <c r="A100" s="391"/>
      <c r="B100" s="408">
        <f t="shared" si="0"/>
        <v>0</v>
      </c>
      <c r="C100" s="408">
        <f t="shared" si="1"/>
        <v>0</v>
      </c>
    </row>
    <row r="101" spans="1:3">
      <c r="A101" s="391"/>
      <c r="B101" s="408">
        <f t="shared" si="0"/>
        <v>0</v>
      </c>
      <c r="C101" s="408">
        <f t="shared" si="1"/>
        <v>0</v>
      </c>
    </row>
    <row r="102" spans="1:3">
      <c r="A102" s="611" t="s">
        <v>274</v>
      </c>
      <c r="B102" s="408">
        <f t="shared" si="0"/>
        <v>20446904.76</v>
      </c>
      <c r="C102" s="408">
        <f t="shared" si="1"/>
        <v>21966622.35</v>
      </c>
    </row>
    <row r="103" spans="1:3">
      <c r="B103" s="407">
        <f>B102-B54</f>
        <v>0</v>
      </c>
      <c r="C103" s="407">
        <f>C102-C54</f>
        <v>0</v>
      </c>
    </row>
  </sheetData>
  <mergeCells count="2">
    <mergeCell ref="A3:B3"/>
    <mergeCell ref="A5:B5"/>
  </mergeCells>
  <pageMargins left="0.299027777777778" right="0.299027777777778" top="0.299027777777778" bottom="0.299027777777778" header="0.3" footer="0.3"/>
  <pageSetup paperSize="9" orientation="portrait" useFirstPageNumber="1" horizontalDpi="600" verticalDpi="6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92D050"/>
  </sheetPr>
  <dimension ref="A1:K66"/>
  <sheetViews>
    <sheetView showGridLines="0" zoomScale="90" zoomScaleNormal="90" workbookViewId="0">
      <selection activeCell="I15" sqref="I15"/>
    </sheetView>
  </sheetViews>
  <sheetFormatPr defaultColWidth="8.25" defaultRowHeight="14.25"/>
  <cols>
    <col min="1" max="1" width="33" style="383" customWidth="1"/>
    <col min="2" max="2" width="9.9" style="383" customWidth="1"/>
    <col min="3" max="4" width="24.2" style="383" customWidth="1"/>
    <col min="5" max="5" width="11.5666666666667" style="122"/>
    <col min="6" max="6" width="10.6083333333333" style="122"/>
    <col min="7" max="7" width="11.0833333333333" style="122"/>
    <col min="8" max="8" width="8.25" style="122"/>
    <col min="9" max="9" width="11.5666666666667" style="122"/>
    <col min="10" max="10" width="13.85" style="122"/>
    <col min="11" max="11" width="12.7083333333333" style="122"/>
    <col min="12" max="16384" width="8.25" style="122"/>
  </cols>
  <sheetData>
    <row r="1" ht="43.2" customHeight="1" spans="1:11">
      <c r="A1" s="385"/>
      <c r="B1" s="385"/>
      <c r="C1" s="385" t="s">
        <v>609</v>
      </c>
      <c r="D1" s="385"/>
    </row>
    <row r="2" ht="18" customHeight="1" spans="1:11">
      <c r="A2" s="386"/>
      <c r="B2" s="386"/>
      <c r="C2" s="386"/>
      <c r="D2" s="386" t="s">
        <v>280</v>
      </c>
    </row>
    <row r="3" ht="15.8" customHeight="1" spans="1:11">
      <c r="A3" s="387" t="s">
        <v>1205</v>
      </c>
      <c r="B3" s="386" t="s">
        <v>281</v>
      </c>
      <c r="C3" s="388">
        <f>精铸BS新!D3</f>
        <v>45991</v>
      </c>
      <c r="D3" s="387" t="s">
        <v>282</v>
      </c>
    </row>
    <row r="4" ht="2.15" customHeight="1" spans="1:11">
      <c r="A4" s="387"/>
      <c r="B4" s="386"/>
      <c r="C4" s="388"/>
    </row>
    <row r="5" ht="7.2" customHeight="1"/>
    <row r="6" ht="18" customHeight="1" spans="1:11">
      <c r="A6" s="387" t="s">
        <v>1207</v>
      </c>
      <c r="C6" s="389">
        <f t="shared" ref="C6:G6" si="0">(C9-C12)/C9</f>
        <v>0.291708457938874</v>
      </c>
      <c r="D6" s="389">
        <f t="shared" si="0"/>
        <v>0.296360686872801</v>
      </c>
      <c r="F6" s="389">
        <f t="shared" si="0"/>
        <v>0.430739461964299</v>
      </c>
      <c r="G6" s="389">
        <f t="shared" si="0"/>
        <v>0.297848048382896</v>
      </c>
    </row>
    <row r="7" ht="10.05" customHeight="1"/>
    <row r="8" ht="18" customHeight="1" spans="1:11">
      <c r="A8" s="390" t="s">
        <v>284</v>
      </c>
      <c r="B8" s="390" t="s">
        <v>285</v>
      </c>
      <c r="C8" s="390" t="s">
        <v>1208</v>
      </c>
      <c r="D8" s="390" t="s">
        <v>497</v>
      </c>
      <c r="F8" s="65" t="s">
        <v>1209</v>
      </c>
      <c r="G8" s="65" t="s">
        <v>1210</v>
      </c>
    </row>
    <row r="9" ht="18" customHeight="1" spans="1:11">
      <c r="A9" s="391" t="s">
        <v>291</v>
      </c>
      <c r="B9" s="392" t="s">
        <v>292</v>
      </c>
      <c r="C9" s="608">
        <f>D9-G9</f>
        <v>1781043.73</v>
      </c>
      <c r="D9" s="608">
        <v>7351863.68</v>
      </c>
      <c r="E9" s="121"/>
      <c r="F9" s="609">
        <v>685203.600000001</v>
      </c>
      <c r="G9" s="609">
        <v>5570819.95</v>
      </c>
      <c r="J9" s="121"/>
      <c r="K9" s="121"/>
    </row>
    <row r="10" ht="18" customHeight="1" spans="1:11">
      <c r="A10" s="391" t="s">
        <v>294</v>
      </c>
      <c r="B10" s="392" t="s">
        <v>295</v>
      </c>
      <c r="C10" s="608">
        <f t="shared" ref="C10:C41" si="1">D10-G10</f>
        <v>1781043.73</v>
      </c>
      <c r="D10" s="608">
        <v>7349891.38</v>
      </c>
      <c r="E10" s="121"/>
      <c r="F10" s="609">
        <v>685203.600000001</v>
      </c>
      <c r="G10" s="609">
        <v>5568847.65</v>
      </c>
      <c r="J10" s="121"/>
      <c r="K10" s="121"/>
    </row>
    <row r="11" ht="18" customHeight="1" spans="1:11">
      <c r="A11" s="391" t="s">
        <v>296</v>
      </c>
      <c r="B11" s="392" t="s">
        <v>297</v>
      </c>
      <c r="C11" s="608">
        <f t="shared" si="1"/>
        <v>0</v>
      </c>
      <c r="D11" s="608">
        <v>1972.3</v>
      </c>
      <c r="E11" s="121"/>
      <c r="F11" s="609">
        <v>0</v>
      </c>
      <c r="G11" s="609">
        <v>1972.3</v>
      </c>
      <c r="J11" s="121"/>
      <c r="K11" s="121"/>
    </row>
    <row r="12" ht="18" customHeight="1" spans="1:11">
      <c r="A12" s="391" t="s">
        <v>298</v>
      </c>
      <c r="B12" s="392" t="s">
        <v>299</v>
      </c>
      <c r="C12" s="608">
        <f t="shared" si="1"/>
        <v>1261498.21</v>
      </c>
      <c r="D12" s="608">
        <v>5173060.31</v>
      </c>
      <c r="E12" s="121"/>
      <c r="F12" s="609">
        <v>390059.37</v>
      </c>
      <c r="G12" s="609">
        <v>3911562.1</v>
      </c>
      <c r="J12" s="121"/>
      <c r="K12" s="121"/>
    </row>
    <row r="13" ht="18" customHeight="1" spans="1:11">
      <c r="A13" s="391" t="s">
        <v>300</v>
      </c>
      <c r="B13" s="392" t="s">
        <v>301</v>
      </c>
      <c r="C13" s="608">
        <f t="shared" si="1"/>
        <v>1261498.21</v>
      </c>
      <c r="D13" s="608">
        <v>5173060.31</v>
      </c>
      <c r="E13" s="121"/>
      <c r="F13" s="609">
        <v>390059.37</v>
      </c>
      <c r="G13" s="609">
        <v>3911562.1</v>
      </c>
      <c r="J13" s="121"/>
      <c r="K13" s="121"/>
    </row>
    <row r="14" ht="18" customHeight="1" spans="1:11">
      <c r="A14" s="391" t="s">
        <v>302</v>
      </c>
      <c r="B14" s="392" t="s">
        <v>303</v>
      </c>
      <c r="C14" s="608">
        <f t="shared" si="1"/>
        <v>0</v>
      </c>
      <c r="D14" s="608"/>
      <c r="E14" s="121"/>
      <c r="F14" s="609">
        <v>0</v>
      </c>
      <c r="G14" s="609"/>
      <c r="J14" s="121"/>
      <c r="K14" s="121"/>
    </row>
    <row r="15" ht="18" customHeight="1" spans="1:11">
      <c r="A15" s="391" t="s">
        <v>304</v>
      </c>
      <c r="B15" s="392" t="s">
        <v>305</v>
      </c>
      <c r="C15" s="608">
        <f t="shared" si="1"/>
        <v>0</v>
      </c>
      <c r="D15" s="608">
        <v>26359.78</v>
      </c>
      <c r="E15" s="121"/>
      <c r="F15" s="609">
        <v>5852.65</v>
      </c>
      <c r="G15" s="609">
        <v>26359.78</v>
      </c>
      <c r="J15" s="121"/>
      <c r="K15" s="121"/>
    </row>
    <row r="16" ht="18" customHeight="1" spans="1:11">
      <c r="A16" s="391" t="s">
        <v>306</v>
      </c>
      <c r="B16" s="392" t="s">
        <v>307</v>
      </c>
      <c r="C16" s="608">
        <f t="shared" si="1"/>
        <v>65057.3400000001</v>
      </c>
      <c r="D16" s="608">
        <v>580641.56</v>
      </c>
      <c r="E16" s="121"/>
      <c r="F16" s="609">
        <v>42251.37</v>
      </c>
      <c r="G16" s="609">
        <v>515584.22</v>
      </c>
      <c r="J16" s="121"/>
      <c r="K16" s="121"/>
    </row>
    <row r="17" ht="18" customHeight="1" spans="1:11">
      <c r="A17" s="391" t="s">
        <v>308</v>
      </c>
      <c r="B17" s="392" t="s">
        <v>309</v>
      </c>
      <c r="C17" s="608">
        <f t="shared" si="1"/>
        <v>1663.12999999999</v>
      </c>
      <c r="D17" s="608">
        <v>100618.84</v>
      </c>
      <c r="E17" s="121"/>
      <c r="F17" s="609">
        <v>710.150000000009</v>
      </c>
      <c r="G17" s="609">
        <v>98955.71</v>
      </c>
      <c r="J17" s="121"/>
      <c r="K17" s="121"/>
    </row>
    <row r="18" ht="18" customHeight="1" spans="1:11">
      <c r="A18" s="391" t="s">
        <v>310</v>
      </c>
      <c r="B18" s="392" t="s">
        <v>311</v>
      </c>
      <c r="C18" s="608">
        <f t="shared" si="1"/>
        <v>98901.6199999999</v>
      </c>
      <c r="D18" s="608">
        <v>1123957.13</v>
      </c>
      <c r="E18" s="121"/>
      <c r="F18" s="609">
        <v>64858.62</v>
      </c>
      <c r="G18" s="609">
        <v>1025055.51</v>
      </c>
      <c r="J18" s="121"/>
      <c r="K18" s="121"/>
    </row>
    <row r="19" ht="18" customHeight="1" spans="1:11">
      <c r="A19" s="391" t="s">
        <v>312</v>
      </c>
      <c r="B19" s="392" t="s">
        <v>313</v>
      </c>
      <c r="C19" s="608">
        <f t="shared" si="1"/>
        <v>26950.51</v>
      </c>
      <c r="D19" s="608">
        <v>185821.21</v>
      </c>
      <c r="E19" s="121"/>
      <c r="F19" s="609">
        <v>23237.75</v>
      </c>
      <c r="G19" s="609">
        <v>158870.7</v>
      </c>
      <c r="J19" s="121"/>
      <c r="K19" s="121"/>
    </row>
    <row r="20" ht="18" customHeight="1" spans="1:11">
      <c r="A20" s="391" t="s">
        <v>314</v>
      </c>
      <c r="B20" s="392" t="s">
        <v>315</v>
      </c>
      <c r="C20" s="608">
        <f t="shared" si="1"/>
        <v>17172.28</v>
      </c>
      <c r="D20" s="608">
        <v>193063.36</v>
      </c>
      <c r="E20" s="121"/>
      <c r="F20" s="609">
        <v>19009.61</v>
      </c>
      <c r="G20" s="609">
        <v>175891.08</v>
      </c>
      <c r="J20" s="121"/>
      <c r="K20" s="121"/>
    </row>
    <row r="21" ht="18" customHeight="1" spans="1:11">
      <c r="A21" s="391" t="s">
        <v>316</v>
      </c>
      <c r="B21" s="392" t="s">
        <v>317</v>
      </c>
      <c r="C21" s="608">
        <f t="shared" si="1"/>
        <v>-72.1200000000001</v>
      </c>
      <c r="D21" s="608">
        <v>-1409.16</v>
      </c>
      <c r="E21" s="121"/>
      <c r="F21" s="609">
        <v>0</v>
      </c>
      <c r="G21" s="609">
        <v>-1337.04</v>
      </c>
      <c r="J21" s="121"/>
      <c r="K21" s="121"/>
    </row>
    <row r="22" ht="18" customHeight="1" spans="1:11">
      <c r="A22" s="391" t="s">
        <v>318</v>
      </c>
      <c r="B22" s="392" t="s">
        <v>319</v>
      </c>
      <c r="C22" s="608">
        <f t="shared" si="1"/>
        <v>0</v>
      </c>
      <c r="D22" s="608">
        <v>34962.89</v>
      </c>
      <c r="E22" s="121"/>
      <c r="F22" s="609">
        <v>0</v>
      </c>
      <c r="G22" s="609">
        <v>34962.89</v>
      </c>
      <c r="J22" s="121"/>
      <c r="K22" s="121"/>
    </row>
    <row r="23" ht="18" customHeight="1" spans="1:11">
      <c r="A23" s="391" t="s">
        <v>320</v>
      </c>
      <c r="B23" s="392" t="s">
        <v>321</v>
      </c>
      <c r="C23" s="608">
        <f t="shared" si="1"/>
        <v>0</v>
      </c>
      <c r="D23" s="608"/>
      <c r="E23" s="121"/>
      <c r="F23" s="609">
        <v>0</v>
      </c>
      <c r="G23" s="609"/>
      <c r="J23" s="121"/>
      <c r="K23" s="121"/>
    </row>
    <row r="24" ht="18" customHeight="1" spans="1:11">
      <c r="A24" s="391" t="s">
        <v>322</v>
      </c>
      <c r="B24" s="392" t="s">
        <v>323</v>
      </c>
      <c r="C24" s="608">
        <f t="shared" si="1"/>
        <v>0</v>
      </c>
      <c r="D24" s="608"/>
      <c r="E24" s="121"/>
      <c r="F24" s="609">
        <v>0</v>
      </c>
      <c r="G24" s="609"/>
      <c r="J24" s="121"/>
      <c r="K24" s="121"/>
    </row>
    <row r="25" ht="18" customHeight="1" spans="1:11">
      <c r="A25" s="391" t="s">
        <v>324</v>
      </c>
      <c r="B25" s="392" t="s">
        <v>325</v>
      </c>
      <c r="C25" s="608">
        <f t="shared" si="1"/>
        <v>0</v>
      </c>
      <c r="D25" s="608"/>
      <c r="E25" s="121"/>
      <c r="F25" s="609">
        <v>0</v>
      </c>
      <c r="G25" s="609"/>
      <c r="J25" s="121"/>
      <c r="K25" s="121"/>
    </row>
    <row r="26" ht="18" customHeight="1" spans="1:11">
      <c r="A26" s="391" t="s">
        <v>326</v>
      </c>
      <c r="B26" s="392" t="s">
        <v>327</v>
      </c>
      <c r="C26" s="608">
        <f t="shared" si="1"/>
        <v>0</v>
      </c>
      <c r="D26" s="608"/>
      <c r="E26" s="121"/>
      <c r="F26" s="609">
        <v>0</v>
      </c>
      <c r="G26" s="609"/>
      <c r="J26" s="121"/>
      <c r="K26" s="121"/>
    </row>
    <row r="27" ht="18" customHeight="1" spans="1:11">
      <c r="A27" s="391" t="s">
        <v>328</v>
      </c>
      <c r="B27" s="392" t="s">
        <v>329</v>
      </c>
      <c r="C27" s="608">
        <f t="shared" si="1"/>
        <v>0</v>
      </c>
      <c r="D27" s="608"/>
      <c r="E27" s="121"/>
      <c r="F27" s="609">
        <v>0</v>
      </c>
      <c r="G27" s="609"/>
      <c r="J27" s="121"/>
      <c r="K27" s="121"/>
    </row>
    <row r="28" ht="18" customHeight="1" spans="1:11">
      <c r="A28" s="391" t="s">
        <v>330</v>
      </c>
      <c r="B28" s="392" t="s">
        <v>331</v>
      </c>
      <c r="C28" s="608">
        <f t="shared" si="1"/>
        <v>0</v>
      </c>
      <c r="D28" s="608"/>
      <c r="E28" s="121"/>
      <c r="F28" s="609">
        <v>0</v>
      </c>
      <c r="G28" s="609"/>
      <c r="J28" s="121"/>
      <c r="K28" s="121"/>
    </row>
    <row r="29" ht="18" customHeight="1" spans="1:11">
      <c r="A29" s="391" t="s">
        <v>332</v>
      </c>
      <c r="B29" s="392" t="s">
        <v>333</v>
      </c>
      <c r="C29" s="608">
        <f t="shared" si="1"/>
        <v>0</v>
      </c>
      <c r="D29" s="608"/>
      <c r="E29" s="121"/>
      <c r="F29" s="609">
        <v>0</v>
      </c>
      <c r="G29" s="609"/>
      <c r="J29" s="121"/>
      <c r="K29" s="121"/>
    </row>
    <row r="30" ht="18" customHeight="1" spans="1:11">
      <c r="A30" s="391" t="s">
        <v>334</v>
      </c>
      <c r="B30" s="392" t="s">
        <v>335</v>
      </c>
      <c r="C30" s="608">
        <f t="shared" si="1"/>
        <v>0</v>
      </c>
      <c r="D30" s="608"/>
      <c r="E30" s="121"/>
      <c r="F30" s="609">
        <v>0</v>
      </c>
      <c r="G30" s="609"/>
      <c r="J30" s="121"/>
      <c r="K30" s="121"/>
    </row>
    <row r="31" ht="18" customHeight="1" spans="1:11">
      <c r="A31" s="391" t="s">
        <v>336</v>
      </c>
      <c r="B31" s="392" t="s">
        <v>337</v>
      </c>
      <c r="C31" s="608">
        <f t="shared" si="1"/>
        <v>326972.92</v>
      </c>
      <c r="D31" s="608">
        <v>196367.74</v>
      </c>
      <c r="E31" s="121"/>
      <c r="F31" s="609">
        <v>158233.69</v>
      </c>
      <c r="G31" s="609">
        <v>-130605.18</v>
      </c>
      <c r="J31" s="121"/>
      <c r="K31" s="121"/>
    </row>
    <row r="32" ht="18" customHeight="1" spans="1:11">
      <c r="A32" s="391" t="s">
        <v>338</v>
      </c>
      <c r="B32" s="392" t="s">
        <v>339</v>
      </c>
      <c r="C32" s="608">
        <f t="shared" si="1"/>
        <v>0</v>
      </c>
      <c r="D32" s="608"/>
      <c r="E32" s="121"/>
      <c r="F32" s="609">
        <v>0</v>
      </c>
      <c r="G32" s="609"/>
      <c r="J32" s="121"/>
      <c r="K32" s="121"/>
    </row>
    <row r="33" ht="18" customHeight="1" spans="1:11">
      <c r="A33" s="391" t="s">
        <v>340</v>
      </c>
      <c r="B33" s="392" t="s">
        <v>341</v>
      </c>
      <c r="C33" s="608">
        <f t="shared" si="1"/>
        <v>0</v>
      </c>
      <c r="D33" s="608">
        <v>1714.8</v>
      </c>
      <c r="E33" s="121"/>
      <c r="F33" s="609">
        <v>0</v>
      </c>
      <c r="G33" s="609">
        <v>1714.8</v>
      </c>
      <c r="J33" s="121"/>
      <c r="K33" s="121"/>
    </row>
    <row r="34" ht="18" customHeight="1" spans="1:11">
      <c r="A34" s="391" t="s">
        <v>342</v>
      </c>
      <c r="B34" s="392" t="s">
        <v>343</v>
      </c>
      <c r="C34" s="608">
        <f t="shared" si="1"/>
        <v>326972.92</v>
      </c>
      <c r="D34" s="608">
        <v>194652.94</v>
      </c>
      <c r="E34" s="121"/>
      <c r="F34" s="609">
        <v>158233.69</v>
      </c>
      <c r="G34" s="609">
        <v>-132319.98</v>
      </c>
      <c r="J34" s="121"/>
      <c r="K34" s="121"/>
    </row>
    <row r="35" ht="18" customHeight="1" spans="1:11">
      <c r="A35" s="391" t="s">
        <v>344</v>
      </c>
      <c r="B35" s="392" t="s">
        <v>345</v>
      </c>
      <c r="C35" s="608">
        <f t="shared" si="1"/>
        <v>0</v>
      </c>
      <c r="D35" s="608"/>
      <c r="E35" s="121"/>
      <c r="F35" s="609">
        <v>0</v>
      </c>
      <c r="G35" s="609"/>
      <c r="J35" s="121"/>
      <c r="K35" s="121"/>
    </row>
    <row r="36" ht="18" customHeight="1" spans="1:11">
      <c r="A36" s="391" t="s">
        <v>346</v>
      </c>
      <c r="B36" s="392" t="s">
        <v>347</v>
      </c>
      <c r="C36" s="608">
        <f t="shared" si="1"/>
        <v>326972.92</v>
      </c>
      <c r="D36" s="608">
        <v>194652.94</v>
      </c>
      <c r="E36" s="121"/>
      <c r="F36" s="609">
        <v>158233.69</v>
      </c>
      <c r="G36" s="609">
        <v>-132319.98</v>
      </c>
      <c r="J36" s="121"/>
      <c r="K36" s="121"/>
    </row>
    <row r="37" ht="18" customHeight="1" spans="1:11">
      <c r="A37" s="391" t="s">
        <v>1211</v>
      </c>
      <c r="B37" s="392" t="s">
        <v>349</v>
      </c>
      <c r="C37" s="608">
        <f t="shared" si="1"/>
        <v>0</v>
      </c>
      <c r="D37" s="393">
        <v>0</v>
      </c>
      <c r="J37" s="121"/>
      <c r="K37" s="121"/>
    </row>
    <row r="38" ht="18" customHeight="1" spans="1:11">
      <c r="A38" s="391" t="s">
        <v>1212</v>
      </c>
      <c r="B38" s="392" t="s">
        <v>351</v>
      </c>
      <c r="C38" s="608">
        <f t="shared" si="1"/>
        <v>0</v>
      </c>
      <c r="D38" s="393">
        <v>0</v>
      </c>
      <c r="J38" s="121"/>
    </row>
    <row r="39" ht="18" customHeight="1" spans="1:11">
      <c r="A39" s="391" t="s">
        <v>352</v>
      </c>
      <c r="B39" s="392" t="s">
        <v>353</v>
      </c>
      <c r="C39" s="608">
        <f t="shared" si="1"/>
        <v>0</v>
      </c>
      <c r="D39" s="393">
        <v>0</v>
      </c>
      <c r="J39" s="121"/>
    </row>
    <row r="40" ht="18" customHeight="1" spans="1:11">
      <c r="A40" s="391" t="s">
        <v>354</v>
      </c>
      <c r="B40" s="392" t="s">
        <v>355</v>
      </c>
      <c r="C40" s="608">
        <f t="shared" si="1"/>
        <v>0</v>
      </c>
      <c r="D40" s="393">
        <v>0</v>
      </c>
      <c r="J40" s="121"/>
    </row>
    <row r="41" ht="18" customHeight="1" spans="1:11">
      <c r="A41" s="391" t="s">
        <v>356</v>
      </c>
      <c r="B41" s="392" t="s">
        <v>357</v>
      </c>
      <c r="C41" s="608">
        <f t="shared" si="1"/>
        <v>0</v>
      </c>
      <c r="D41" s="393">
        <v>0</v>
      </c>
      <c r="J41" s="121"/>
    </row>
    <row r="42" ht="18" customHeight="1" spans="1:11">
      <c r="A42" s="391" t="s">
        <v>358</v>
      </c>
      <c r="B42" s="392" t="s">
        <v>359</v>
      </c>
      <c r="C42" s="608">
        <f t="shared" ref="C42:C63" si="2">D42-G42</f>
        <v>0</v>
      </c>
      <c r="D42" s="393">
        <v>0</v>
      </c>
      <c r="J42" s="121"/>
    </row>
    <row r="43" ht="18" customHeight="1" spans="1:11">
      <c r="A43" s="391" t="s">
        <v>360</v>
      </c>
      <c r="B43" s="392" t="s">
        <v>361</v>
      </c>
      <c r="C43" s="608">
        <f t="shared" si="2"/>
        <v>0</v>
      </c>
      <c r="D43" s="393">
        <v>0</v>
      </c>
      <c r="J43" s="121"/>
    </row>
    <row r="44" ht="18" customHeight="1" spans="1:11">
      <c r="A44" s="391" t="s">
        <v>362</v>
      </c>
      <c r="B44" s="392" t="s">
        <v>363</v>
      </c>
      <c r="C44" s="608">
        <f t="shared" si="2"/>
        <v>0</v>
      </c>
      <c r="D44" s="393">
        <v>0</v>
      </c>
      <c r="J44" s="121"/>
    </row>
    <row r="45" ht="18" customHeight="1" spans="1:11">
      <c r="A45" s="391" t="s">
        <v>364</v>
      </c>
      <c r="B45" s="392" t="s">
        <v>365</v>
      </c>
      <c r="C45" s="608">
        <f t="shared" si="2"/>
        <v>0</v>
      </c>
      <c r="D45" s="393">
        <v>0</v>
      </c>
      <c r="J45" s="121"/>
    </row>
    <row r="46" ht="18" customHeight="1" spans="1:11">
      <c r="A46" s="391" t="s">
        <v>366</v>
      </c>
      <c r="B46" s="392" t="s">
        <v>367</v>
      </c>
      <c r="C46" s="608">
        <f t="shared" si="2"/>
        <v>0</v>
      </c>
      <c r="D46" s="393">
        <v>0</v>
      </c>
      <c r="J46" s="121"/>
    </row>
    <row r="47" ht="18" customHeight="1" spans="1:11">
      <c r="A47" s="391" t="s">
        <v>368</v>
      </c>
      <c r="B47" s="392" t="s">
        <v>369</v>
      </c>
      <c r="C47" s="608">
        <f t="shared" si="2"/>
        <v>0</v>
      </c>
      <c r="D47" s="393">
        <v>0</v>
      </c>
      <c r="J47" s="121"/>
    </row>
    <row r="48" ht="18" customHeight="1" spans="1:11">
      <c r="A48" s="391" t="s">
        <v>370</v>
      </c>
      <c r="B48" s="392" t="s">
        <v>371</v>
      </c>
      <c r="C48" s="608">
        <f t="shared" si="2"/>
        <v>0</v>
      </c>
      <c r="D48" s="393">
        <v>0</v>
      </c>
      <c r="J48" s="121"/>
    </row>
    <row r="49" ht="18" customHeight="1" spans="1:10">
      <c r="A49" s="391" t="s">
        <v>372</v>
      </c>
      <c r="B49" s="392" t="s">
        <v>373</v>
      </c>
      <c r="C49" s="608">
        <f t="shared" si="2"/>
        <v>0</v>
      </c>
      <c r="D49" s="393">
        <v>0</v>
      </c>
      <c r="J49" s="121"/>
    </row>
    <row r="50" ht="18" customHeight="1" spans="1:10">
      <c r="A50" s="391" t="s">
        <v>374</v>
      </c>
      <c r="B50" s="392" t="s">
        <v>375</v>
      </c>
      <c r="C50" s="608">
        <f t="shared" si="2"/>
        <v>0</v>
      </c>
      <c r="D50" s="393">
        <v>0</v>
      </c>
      <c r="J50" s="121"/>
    </row>
    <row r="51" ht="18" customHeight="1" spans="1:10">
      <c r="A51" s="391" t="s">
        <v>376</v>
      </c>
      <c r="B51" s="392" t="s">
        <v>377</v>
      </c>
      <c r="C51" s="608">
        <f t="shared" si="2"/>
        <v>0</v>
      </c>
      <c r="D51" s="393">
        <v>0</v>
      </c>
      <c r="J51" s="121"/>
    </row>
    <row r="52" ht="18" customHeight="1" spans="1:10">
      <c r="A52" s="391" t="s">
        <v>378</v>
      </c>
      <c r="B52" s="392" t="s">
        <v>379</v>
      </c>
      <c r="C52" s="608">
        <f t="shared" si="2"/>
        <v>0</v>
      </c>
      <c r="D52" s="393">
        <v>0</v>
      </c>
      <c r="J52" s="121"/>
    </row>
    <row r="53" ht="18" customHeight="1" spans="1:10">
      <c r="A53" s="391" t="s">
        <v>380</v>
      </c>
      <c r="B53" s="392" t="s">
        <v>381</v>
      </c>
      <c r="C53" s="608">
        <f t="shared" si="2"/>
        <v>0</v>
      </c>
      <c r="D53" s="393">
        <v>0</v>
      </c>
      <c r="J53" s="121"/>
    </row>
    <row r="54" ht="18" customHeight="1" spans="1:10">
      <c r="A54" s="391" t="s">
        <v>382</v>
      </c>
      <c r="B54" s="392" t="s">
        <v>383</v>
      </c>
      <c r="C54" s="608">
        <f t="shared" si="2"/>
        <v>0</v>
      </c>
      <c r="D54" s="393">
        <v>0</v>
      </c>
      <c r="J54" s="121"/>
    </row>
    <row r="55" ht="18" customHeight="1" spans="1:10">
      <c r="A55" s="391" t="s">
        <v>384</v>
      </c>
      <c r="B55" s="392" t="s">
        <v>385</v>
      </c>
      <c r="C55" s="608">
        <f t="shared" si="2"/>
        <v>0</v>
      </c>
      <c r="D55" s="393">
        <v>0</v>
      </c>
      <c r="J55" s="121"/>
    </row>
    <row r="56" ht="18" customHeight="1" spans="1:10">
      <c r="A56" s="391"/>
      <c r="B56" s="392"/>
      <c r="C56" s="608">
        <f t="shared" si="2"/>
        <v>0</v>
      </c>
      <c r="D56" s="395">
        <v>0</v>
      </c>
      <c r="J56" s="121"/>
    </row>
    <row r="57" ht="18" customHeight="1" spans="1:10">
      <c r="A57" s="391" t="s">
        <v>386</v>
      </c>
      <c r="B57" s="392"/>
      <c r="C57" s="608">
        <f t="shared" si="2"/>
        <v>0</v>
      </c>
      <c r="D57" s="395">
        <v>0</v>
      </c>
      <c r="J57" s="121"/>
    </row>
    <row r="58" ht="18" customHeight="1" spans="1:10">
      <c r="A58" s="391" t="s">
        <v>387</v>
      </c>
      <c r="B58" s="392" t="s">
        <v>292</v>
      </c>
      <c r="C58" s="608">
        <f t="shared" si="2"/>
        <v>0</v>
      </c>
      <c r="D58" s="393">
        <v>0</v>
      </c>
      <c r="J58" s="121"/>
    </row>
    <row r="59" ht="18" customHeight="1" spans="1:10">
      <c r="A59" s="391" t="s">
        <v>388</v>
      </c>
      <c r="B59" s="392" t="s">
        <v>295</v>
      </c>
      <c r="C59" s="608">
        <f t="shared" si="2"/>
        <v>0</v>
      </c>
      <c r="D59" s="393">
        <v>0</v>
      </c>
      <c r="J59" s="121"/>
    </row>
    <row r="60" ht="18" customHeight="1" spans="1:10">
      <c r="A60" s="391" t="s">
        <v>389</v>
      </c>
      <c r="B60" s="392" t="s">
        <v>297</v>
      </c>
      <c r="C60" s="608">
        <f t="shared" si="2"/>
        <v>0</v>
      </c>
      <c r="D60" s="393">
        <v>0</v>
      </c>
      <c r="J60" s="121"/>
    </row>
    <row r="61" ht="18" customHeight="1" spans="1:10">
      <c r="A61" s="391" t="s">
        <v>390</v>
      </c>
      <c r="B61" s="392" t="s">
        <v>299</v>
      </c>
      <c r="C61" s="608">
        <f t="shared" si="2"/>
        <v>0</v>
      </c>
      <c r="D61" s="393">
        <v>0</v>
      </c>
      <c r="J61" s="121"/>
    </row>
    <row r="62" ht="18" customHeight="1" spans="1:10">
      <c r="A62" s="391" t="s">
        <v>391</v>
      </c>
      <c r="B62" s="392" t="s">
        <v>301</v>
      </c>
      <c r="C62" s="608">
        <f t="shared" si="2"/>
        <v>0</v>
      </c>
      <c r="D62" s="393">
        <v>0</v>
      </c>
      <c r="J62" s="121"/>
    </row>
    <row r="63" ht="18" customHeight="1" spans="1:10">
      <c r="A63" s="391" t="s">
        <v>392</v>
      </c>
      <c r="B63" s="392" t="s">
        <v>303</v>
      </c>
      <c r="C63" s="608">
        <f t="shared" si="2"/>
        <v>0</v>
      </c>
      <c r="D63" s="393">
        <v>0</v>
      </c>
      <c r="J63" s="121"/>
    </row>
    <row r="64" ht="10.8" customHeight="1"/>
    <row r="65" ht="15.8" customHeight="1" spans="1:4">
      <c r="A65" s="387" t="s">
        <v>1213</v>
      </c>
      <c r="B65" s="386" t="s">
        <v>1214</v>
      </c>
      <c r="C65" s="387"/>
      <c r="D65" s="387" t="s">
        <v>1215</v>
      </c>
    </row>
    <row r="66" ht="21.6" customHeight="1"/>
  </sheetData>
  <mergeCells count="3">
    <mergeCell ref="A3:A4"/>
    <mergeCell ref="B3:B4"/>
    <mergeCell ref="C3:C4"/>
  </mergeCells>
  <pageMargins left="0.299027777777778" right="0.299027777777778" top="0.299027777777778" bottom="0.299027777777778" header="0.3" footer="0.3"/>
  <pageSetup paperSize="9" orientation="portrait" useFirstPageNumber="1" horizontalDpi="600" verticalDpi="600"/>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9">
    <tabColor rgb="FF92D050"/>
    <pageSetUpPr fitToPage="1"/>
  </sheetPr>
  <dimension ref="A1:M93"/>
  <sheetViews>
    <sheetView view="pageBreakPreview" zoomScale="85" zoomScaleNormal="100" topLeftCell="A37" workbookViewId="0">
      <selection activeCell="H10" sqref="H10"/>
    </sheetView>
  </sheetViews>
  <sheetFormatPr defaultColWidth="9" defaultRowHeight="12.75"/>
  <cols>
    <col min="1" max="1" width="20.625" style="554" customWidth="1"/>
    <col min="2" max="3" width="14.125" style="555" customWidth="1"/>
    <col min="4" max="4" width="29.25" style="278" customWidth="1"/>
    <col min="5" max="6" width="13.875" style="555" customWidth="1"/>
    <col min="7" max="7" width="10.375" style="556" customWidth="1"/>
    <col min="8" max="8" width="13.625" style="557" customWidth="1"/>
    <col min="9" max="9" width="10.625" style="557" customWidth="1"/>
    <col min="10" max="10" width="12.375" style="557" customWidth="1"/>
    <col min="11" max="11" width="11.9166666666667" style="554"/>
    <col min="12" max="12" width="9" style="554"/>
    <col min="13" max="13" width="9.68333333333333" style="554"/>
    <col min="14" max="216" width="9" style="554"/>
    <col min="217" max="217" width="22.625" style="554" customWidth="1"/>
    <col min="218" max="218" width="18.625" style="554" customWidth="1"/>
    <col min="219" max="219" width="15.625" style="554" customWidth="1"/>
    <col min="220" max="220" width="21.625" style="554" customWidth="1"/>
    <col min="221" max="221" width="14.625" style="554" customWidth="1"/>
    <col min="222" max="222" width="15.625" style="554" customWidth="1"/>
    <col min="223" max="472" width="9" style="554"/>
    <col min="473" max="473" width="22.625" style="554" customWidth="1"/>
    <col min="474" max="474" width="18.625" style="554" customWidth="1"/>
    <col min="475" max="475" width="15.625" style="554" customWidth="1"/>
    <col min="476" max="476" width="21.625" style="554" customWidth="1"/>
    <col min="477" max="477" width="14.625" style="554" customWidth="1"/>
    <col min="478" max="478" width="15.625" style="554" customWidth="1"/>
    <col min="479" max="728" width="9" style="554"/>
    <col min="729" max="729" width="22.625" style="554" customWidth="1"/>
    <col min="730" max="730" width="18.625" style="554" customWidth="1"/>
    <col min="731" max="731" width="15.625" style="554" customWidth="1"/>
    <col min="732" max="732" width="21.625" style="554" customWidth="1"/>
    <col min="733" max="733" width="14.625" style="554" customWidth="1"/>
    <col min="734" max="734" width="15.625" style="554" customWidth="1"/>
    <col min="735" max="984" width="9" style="554"/>
    <col min="985" max="985" width="22.625" style="554" customWidth="1"/>
    <col min="986" max="986" width="18.625" style="554" customWidth="1"/>
    <col min="987" max="987" width="15.625" style="554" customWidth="1"/>
    <col min="988" max="988" width="21.625" style="554" customWidth="1"/>
    <col min="989" max="989" width="14.625" style="554" customWidth="1"/>
    <col min="990" max="990" width="15.625" style="554" customWidth="1"/>
    <col min="991" max="1240" width="9" style="554"/>
    <col min="1241" max="1241" width="22.625" style="554" customWidth="1"/>
    <col min="1242" max="1242" width="18.625" style="554" customWidth="1"/>
    <col min="1243" max="1243" width="15.625" style="554" customWidth="1"/>
    <col min="1244" max="1244" width="21.625" style="554" customWidth="1"/>
    <col min="1245" max="1245" width="14.625" style="554" customWidth="1"/>
    <col min="1246" max="1246" width="15.625" style="554" customWidth="1"/>
    <col min="1247" max="1496" width="9" style="554"/>
    <col min="1497" max="1497" width="22.625" style="554" customWidth="1"/>
    <col min="1498" max="1498" width="18.625" style="554" customWidth="1"/>
    <col min="1499" max="1499" width="15.625" style="554" customWidth="1"/>
    <col min="1500" max="1500" width="21.625" style="554" customWidth="1"/>
    <col min="1501" max="1501" width="14.625" style="554" customWidth="1"/>
    <col min="1502" max="1502" width="15.625" style="554" customWidth="1"/>
    <col min="1503" max="1752" width="9" style="554"/>
    <col min="1753" max="1753" width="22.625" style="554" customWidth="1"/>
    <col min="1754" max="1754" width="18.625" style="554" customWidth="1"/>
    <col min="1755" max="1755" width="15.625" style="554" customWidth="1"/>
    <col min="1756" max="1756" width="21.625" style="554" customWidth="1"/>
    <col min="1757" max="1757" width="14.625" style="554" customWidth="1"/>
    <col min="1758" max="1758" width="15.625" style="554" customWidth="1"/>
    <col min="1759" max="2008" width="9" style="554"/>
    <col min="2009" max="2009" width="22.625" style="554" customWidth="1"/>
    <col min="2010" max="2010" width="18.625" style="554" customWidth="1"/>
    <col min="2011" max="2011" width="15.625" style="554" customWidth="1"/>
    <col min="2012" max="2012" width="21.625" style="554" customWidth="1"/>
    <col min="2013" max="2013" width="14.625" style="554" customWidth="1"/>
    <col min="2014" max="2014" width="15.625" style="554" customWidth="1"/>
    <col min="2015" max="2264" width="9" style="554"/>
    <col min="2265" max="2265" width="22.625" style="554" customWidth="1"/>
    <col min="2266" max="2266" width="18.625" style="554" customWidth="1"/>
    <col min="2267" max="2267" width="15.625" style="554" customWidth="1"/>
    <col min="2268" max="2268" width="21.625" style="554" customWidth="1"/>
    <col min="2269" max="2269" width="14.625" style="554" customWidth="1"/>
    <col min="2270" max="2270" width="15.625" style="554" customWidth="1"/>
    <col min="2271" max="2520" width="9" style="554"/>
    <col min="2521" max="2521" width="22.625" style="554" customWidth="1"/>
    <col min="2522" max="2522" width="18.625" style="554" customWidth="1"/>
    <col min="2523" max="2523" width="15.625" style="554" customWidth="1"/>
    <col min="2524" max="2524" width="21.625" style="554" customWidth="1"/>
    <col min="2525" max="2525" width="14.625" style="554" customWidth="1"/>
    <col min="2526" max="2526" width="15.625" style="554" customWidth="1"/>
    <col min="2527" max="2776" width="9" style="554"/>
    <col min="2777" max="2777" width="22.625" style="554" customWidth="1"/>
    <col min="2778" max="2778" width="18.625" style="554" customWidth="1"/>
    <col min="2779" max="2779" width="15.625" style="554" customWidth="1"/>
    <col min="2780" max="2780" width="21.625" style="554" customWidth="1"/>
    <col min="2781" max="2781" width="14.625" style="554" customWidth="1"/>
    <col min="2782" max="2782" width="15.625" style="554" customWidth="1"/>
    <col min="2783" max="3032" width="9" style="554"/>
    <col min="3033" max="3033" width="22.625" style="554" customWidth="1"/>
    <col min="3034" max="3034" width="18.625" style="554" customWidth="1"/>
    <col min="3035" max="3035" width="15.625" style="554" customWidth="1"/>
    <col min="3036" max="3036" width="21.625" style="554" customWidth="1"/>
    <col min="3037" max="3037" width="14.625" style="554" customWidth="1"/>
    <col min="3038" max="3038" width="15.625" style="554" customWidth="1"/>
    <col min="3039" max="3288" width="9" style="554"/>
    <col min="3289" max="3289" width="22.625" style="554" customWidth="1"/>
    <col min="3290" max="3290" width="18.625" style="554" customWidth="1"/>
    <col min="3291" max="3291" width="15.625" style="554" customWidth="1"/>
    <col min="3292" max="3292" width="21.625" style="554" customWidth="1"/>
    <col min="3293" max="3293" width="14.625" style="554" customWidth="1"/>
    <col min="3294" max="3294" width="15.625" style="554" customWidth="1"/>
    <col min="3295" max="3544" width="9" style="554"/>
    <col min="3545" max="3545" width="22.625" style="554" customWidth="1"/>
    <col min="3546" max="3546" width="18.625" style="554" customWidth="1"/>
    <col min="3547" max="3547" width="15.625" style="554" customWidth="1"/>
    <col min="3548" max="3548" width="21.625" style="554" customWidth="1"/>
    <col min="3549" max="3549" width="14.625" style="554" customWidth="1"/>
    <col min="3550" max="3550" width="15.625" style="554" customWidth="1"/>
    <col min="3551" max="3800" width="9" style="554"/>
    <col min="3801" max="3801" width="22.625" style="554" customWidth="1"/>
    <col min="3802" max="3802" width="18.625" style="554" customWidth="1"/>
    <col min="3803" max="3803" width="15.625" style="554" customWidth="1"/>
    <col min="3804" max="3804" width="21.625" style="554" customWidth="1"/>
    <col min="3805" max="3805" width="14.625" style="554" customWidth="1"/>
    <col min="3806" max="3806" width="15.625" style="554" customWidth="1"/>
    <col min="3807" max="4056" width="9" style="554"/>
    <col min="4057" max="4057" width="22.625" style="554" customWidth="1"/>
    <col min="4058" max="4058" width="18.625" style="554" customWidth="1"/>
    <col min="4059" max="4059" width="15.625" style="554" customWidth="1"/>
    <col min="4060" max="4060" width="21.625" style="554" customWidth="1"/>
    <col min="4061" max="4061" width="14.625" style="554" customWidth="1"/>
    <col min="4062" max="4062" width="15.625" style="554" customWidth="1"/>
    <col min="4063" max="4312" width="9" style="554"/>
    <col min="4313" max="4313" width="22.625" style="554" customWidth="1"/>
    <col min="4314" max="4314" width="18.625" style="554" customWidth="1"/>
    <col min="4315" max="4315" width="15.625" style="554" customWidth="1"/>
    <col min="4316" max="4316" width="21.625" style="554" customWidth="1"/>
    <col min="4317" max="4317" width="14.625" style="554" customWidth="1"/>
    <col min="4318" max="4318" width="15.625" style="554" customWidth="1"/>
    <col min="4319" max="4568" width="9" style="554"/>
    <col min="4569" max="4569" width="22.625" style="554" customWidth="1"/>
    <col min="4570" max="4570" width="18.625" style="554" customWidth="1"/>
    <col min="4571" max="4571" width="15.625" style="554" customWidth="1"/>
    <col min="4572" max="4572" width="21.625" style="554" customWidth="1"/>
    <col min="4573" max="4573" width="14.625" style="554" customWidth="1"/>
    <col min="4574" max="4574" width="15.625" style="554" customWidth="1"/>
    <col min="4575" max="4824" width="9" style="554"/>
    <col min="4825" max="4825" width="22.625" style="554" customWidth="1"/>
    <col min="4826" max="4826" width="18.625" style="554" customWidth="1"/>
    <col min="4827" max="4827" width="15.625" style="554" customWidth="1"/>
    <col min="4828" max="4828" width="21.625" style="554" customWidth="1"/>
    <col min="4829" max="4829" width="14.625" style="554" customWidth="1"/>
    <col min="4830" max="4830" width="15.625" style="554" customWidth="1"/>
    <col min="4831" max="5080" width="9" style="554"/>
    <col min="5081" max="5081" width="22.625" style="554" customWidth="1"/>
    <col min="5082" max="5082" width="18.625" style="554" customWidth="1"/>
    <col min="5083" max="5083" width="15.625" style="554" customWidth="1"/>
    <col min="5084" max="5084" width="21.625" style="554" customWidth="1"/>
    <col min="5085" max="5085" width="14.625" style="554" customWidth="1"/>
    <col min="5086" max="5086" width="15.625" style="554" customWidth="1"/>
    <col min="5087" max="5336" width="9" style="554"/>
    <col min="5337" max="5337" width="22.625" style="554" customWidth="1"/>
    <col min="5338" max="5338" width="18.625" style="554" customWidth="1"/>
    <col min="5339" max="5339" width="15.625" style="554" customWidth="1"/>
    <col min="5340" max="5340" width="21.625" style="554" customWidth="1"/>
    <col min="5341" max="5341" width="14.625" style="554" customWidth="1"/>
    <col min="5342" max="5342" width="15.625" style="554" customWidth="1"/>
    <col min="5343" max="5592" width="9" style="554"/>
    <col min="5593" max="5593" width="22.625" style="554" customWidth="1"/>
    <col min="5594" max="5594" width="18.625" style="554" customWidth="1"/>
    <col min="5595" max="5595" width="15.625" style="554" customWidth="1"/>
    <col min="5596" max="5596" width="21.625" style="554" customWidth="1"/>
    <col min="5597" max="5597" width="14.625" style="554" customWidth="1"/>
    <col min="5598" max="5598" width="15.625" style="554" customWidth="1"/>
    <col min="5599" max="5848" width="9" style="554"/>
    <col min="5849" max="5849" width="22.625" style="554" customWidth="1"/>
    <col min="5850" max="5850" width="18.625" style="554" customWidth="1"/>
    <col min="5851" max="5851" width="15.625" style="554" customWidth="1"/>
    <col min="5852" max="5852" width="21.625" style="554" customWidth="1"/>
    <col min="5853" max="5853" width="14.625" style="554" customWidth="1"/>
    <col min="5854" max="5854" width="15.625" style="554" customWidth="1"/>
    <col min="5855" max="6104" width="9" style="554"/>
    <col min="6105" max="6105" width="22.625" style="554" customWidth="1"/>
    <col min="6106" max="6106" width="18.625" style="554" customWidth="1"/>
    <col min="6107" max="6107" width="15.625" style="554" customWidth="1"/>
    <col min="6108" max="6108" width="21.625" style="554" customWidth="1"/>
    <col min="6109" max="6109" width="14.625" style="554" customWidth="1"/>
    <col min="6110" max="6110" width="15.625" style="554" customWidth="1"/>
    <col min="6111" max="6360" width="9" style="554"/>
    <col min="6361" max="6361" width="22.625" style="554" customWidth="1"/>
    <col min="6362" max="6362" width="18.625" style="554" customWidth="1"/>
    <col min="6363" max="6363" width="15.625" style="554" customWidth="1"/>
    <col min="6364" max="6364" width="21.625" style="554" customWidth="1"/>
    <col min="6365" max="6365" width="14.625" style="554" customWidth="1"/>
    <col min="6366" max="6366" width="15.625" style="554" customWidth="1"/>
    <col min="6367" max="6616" width="9" style="554"/>
    <col min="6617" max="6617" width="22.625" style="554" customWidth="1"/>
    <col min="6618" max="6618" width="18.625" style="554" customWidth="1"/>
    <col min="6619" max="6619" width="15.625" style="554" customWidth="1"/>
    <col min="6620" max="6620" width="21.625" style="554" customWidth="1"/>
    <col min="6621" max="6621" width="14.625" style="554" customWidth="1"/>
    <col min="6622" max="6622" width="15.625" style="554" customWidth="1"/>
    <col min="6623" max="6872" width="9" style="554"/>
    <col min="6873" max="6873" width="22.625" style="554" customWidth="1"/>
    <col min="6874" max="6874" width="18.625" style="554" customWidth="1"/>
    <col min="6875" max="6875" width="15.625" style="554" customWidth="1"/>
    <col min="6876" max="6876" width="21.625" style="554" customWidth="1"/>
    <col min="6877" max="6877" width="14.625" style="554" customWidth="1"/>
    <col min="6878" max="6878" width="15.625" style="554" customWidth="1"/>
    <col min="6879" max="7128" width="9" style="554"/>
    <col min="7129" max="7129" width="22.625" style="554" customWidth="1"/>
    <col min="7130" max="7130" width="18.625" style="554" customWidth="1"/>
    <col min="7131" max="7131" width="15.625" style="554" customWidth="1"/>
    <col min="7132" max="7132" width="21.625" style="554" customWidth="1"/>
    <col min="7133" max="7133" width="14.625" style="554" customWidth="1"/>
    <col min="7134" max="7134" width="15.625" style="554" customWidth="1"/>
    <col min="7135" max="7384" width="9" style="554"/>
    <col min="7385" max="7385" width="22.625" style="554" customWidth="1"/>
    <col min="7386" max="7386" width="18.625" style="554" customWidth="1"/>
    <col min="7387" max="7387" width="15.625" style="554" customWidth="1"/>
    <col min="7388" max="7388" width="21.625" style="554" customWidth="1"/>
    <col min="7389" max="7389" width="14.625" style="554" customWidth="1"/>
    <col min="7390" max="7390" width="15.625" style="554" customWidth="1"/>
    <col min="7391" max="7640" width="9" style="554"/>
    <col min="7641" max="7641" width="22.625" style="554" customWidth="1"/>
    <col min="7642" max="7642" width="18.625" style="554" customWidth="1"/>
    <col min="7643" max="7643" width="15.625" style="554" customWidth="1"/>
    <col min="7644" max="7644" width="21.625" style="554" customWidth="1"/>
    <col min="7645" max="7645" width="14.625" style="554" customWidth="1"/>
    <col min="7646" max="7646" width="15.625" style="554" customWidth="1"/>
    <col min="7647" max="7896" width="9" style="554"/>
    <col min="7897" max="7897" width="22.625" style="554" customWidth="1"/>
    <col min="7898" max="7898" width="18.625" style="554" customWidth="1"/>
    <col min="7899" max="7899" width="15.625" style="554" customWidth="1"/>
    <col min="7900" max="7900" width="21.625" style="554" customWidth="1"/>
    <col min="7901" max="7901" width="14.625" style="554" customWidth="1"/>
    <col min="7902" max="7902" width="15.625" style="554" customWidth="1"/>
    <col min="7903" max="8152" width="9" style="554"/>
    <col min="8153" max="8153" width="22.625" style="554" customWidth="1"/>
    <col min="8154" max="8154" width="18.625" style="554" customWidth="1"/>
    <col min="8155" max="8155" width="15.625" style="554" customWidth="1"/>
    <col min="8156" max="8156" width="21.625" style="554" customWidth="1"/>
    <col min="8157" max="8157" width="14.625" style="554" customWidth="1"/>
    <col min="8158" max="8158" width="15.625" style="554" customWidth="1"/>
    <col min="8159" max="8408" width="9" style="554"/>
    <col min="8409" max="8409" width="22.625" style="554" customWidth="1"/>
    <col min="8410" max="8410" width="18.625" style="554" customWidth="1"/>
    <col min="8411" max="8411" width="15.625" style="554" customWidth="1"/>
    <col min="8412" max="8412" width="21.625" style="554" customWidth="1"/>
    <col min="8413" max="8413" width="14.625" style="554" customWidth="1"/>
    <col min="8414" max="8414" width="15.625" style="554" customWidth="1"/>
    <col min="8415" max="8664" width="9" style="554"/>
    <col min="8665" max="8665" width="22.625" style="554" customWidth="1"/>
    <col min="8666" max="8666" width="18.625" style="554" customWidth="1"/>
    <col min="8667" max="8667" width="15.625" style="554" customWidth="1"/>
    <col min="8668" max="8668" width="21.625" style="554" customWidth="1"/>
    <col min="8669" max="8669" width="14.625" style="554" customWidth="1"/>
    <col min="8670" max="8670" width="15.625" style="554" customWidth="1"/>
    <col min="8671" max="8920" width="9" style="554"/>
    <col min="8921" max="8921" width="22.625" style="554" customWidth="1"/>
    <col min="8922" max="8922" width="18.625" style="554" customWidth="1"/>
    <col min="8923" max="8923" width="15.625" style="554" customWidth="1"/>
    <col min="8924" max="8924" width="21.625" style="554" customWidth="1"/>
    <col min="8925" max="8925" width="14.625" style="554" customWidth="1"/>
    <col min="8926" max="8926" width="15.625" style="554" customWidth="1"/>
    <col min="8927" max="9176" width="9" style="554"/>
    <col min="9177" max="9177" width="22.625" style="554" customWidth="1"/>
    <col min="9178" max="9178" width="18.625" style="554" customWidth="1"/>
    <col min="9179" max="9179" width="15.625" style="554" customWidth="1"/>
    <col min="9180" max="9180" width="21.625" style="554" customWidth="1"/>
    <col min="9181" max="9181" width="14.625" style="554" customWidth="1"/>
    <col min="9182" max="9182" width="15.625" style="554" customWidth="1"/>
    <col min="9183" max="9432" width="9" style="554"/>
    <col min="9433" max="9433" width="22.625" style="554" customWidth="1"/>
    <col min="9434" max="9434" width="18.625" style="554" customWidth="1"/>
    <col min="9435" max="9435" width="15.625" style="554" customWidth="1"/>
    <col min="9436" max="9436" width="21.625" style="554" customWidth="1"/>
    <col min="9437" max="9437" width="14.625" style="554" customWidth="1"/>
    <col min="9438" max="9438" width="15.625" style="554" customWidth="1"/>
    <col min="9439" max="9688" width="9" style="554"/>
    <col min="9689" max="9689" width="22.625" style="554" customWidth="1"/>
    <col min="9690" max="9690" width="18.625" style="554" customWidth="1"/>
    <col min="9691" max="9691" width="15.625" style="554" customWidth="1"/>
    <col min="9692" max="9692" width="21.625" style="554" customWidth="1"/>
    <col min="9693" max="9693" width="14.625" style="554" customWidth="1"/>
    <col min="9694" max="9694" width="15.625" style="554" customWidth="1"/>
    <col min="9695" max="9944" width="9" style="554"/>
    <col min="9945" max="9945" width="22.625" style="554" customWidth="1"/>
    <col min="9946" max="9946" width="18.625" style="554" customWidth="1"/>
    <col min="9947" max="9947" width="15.625" style="554" customWidth="1"/>
    <col min="9948" max="9948" width="21.625" style="554" customWidth="1"/>
    <col min="9949" max="9949" width="14.625" style="554" customWidth="1"/>
    <col min="9950" max="9950" width="15.625" style="554" customWidth="1"/>
    <col min="9951" max="10200" width="9" style="554"/>
    <col min="10201" max="10201" width="22.625" style="554" customWidth="1"/>
    <col min="10202" max="10202" width="18.625" style="554" customWidth="1"/>
    <col min="10203" max="10203" width="15.625" style="554" customWidth="1"/>
    <col min="10204" max="10204" width="21.625" style="554" customWidth="1"/>
    <col min="10205" max="10205" width="14.625" style="554" customWidth="1"/>
    <col min="10206" max="10206" width="15.625" style="554" customWidth="1"/>
    <col min="10207" max="10456" width="9" style="554"/>
    <col min="10457" max="10457" width="22.625" style="554" customWidth="1"/>
    <col min="10458" max="10458" width="18.625" style="554" customWidth="1"/>
    <col min="10459" max="10459" width="15.625" style="554" customWidth="1"/>
    <col min="10460" max="10460" width="21.625" style="554" customWidth="1"/>
    <col min="10461" max="10461" width="14.625" style="554" customWidth="1"/>
    <col min="10462" max="10462" width="15.625" style="554" customWidth="1"/>
    <col min="10463" max="10712" width="9" style="554"/>
    <col min="10713" max="10713" width="22.625" style="554" customWidth="1"/>
    <col min="10714" max="10714" width="18.625" style="554" customWidth="1"/>
    <col min="10715" max="10715" width="15.625" style="554" customWidth="1"/>
    <col min="10716" max="10716" width="21.625" style="554" customWidth="1"/>
    <col min="10717" max="10717" width="14.625" style="554" customWidth="1"/>
    <col min="10718" max="10718" width="15.625" style="554" customWidth="1"/>
    <col min="10719" max="10968" width="9" style="554"/>
    <col min="10969" max="10969" width="22.625" style="554" customWidth="1"/>
    <col min="10970" max="10970" width="18.625" style="554" customWidth="1"/>
    <col min="10971" max="10971" width="15.625" style="554" customWidth="1"/>
    <col min="10972" max="10972" width="21.625" style="554" customWidth="1"/>
    <col min="10973" max="10973" width="14.625" style="554" customWidth="1"/>
    <col min="10974" max="10974" width="15.625" style="554" customWidth="1"/>
    <col min="10975" max="11224" width="9" style="554"/>
    <col min="11225" max="11225" width="22.625" style="554" customWidth="1"/>
    <col min="11226" max="11226" width="18.625" style="554" customWidth="1"/>
    <col min="11227" max="11227" width="15.625" style="554" customWidth="1"/>
    <col min="11228" max="11228" width="21.625" style="554" customWidth="1"/>
    <col min="11229" max="11229" width="14.625" style="554" customWidth="1"/>
    <col min="11230" max="11230" width="15.625" style="554" customWidth="1"/>
    <col min="11231" max="11480" width="9" style="554"/>
    <col min="11481" max="11481" width="22.625" style="554" customWidth="1"/>
    <col min="11482" max="11482" width="18.625" style="554" customWidth="1"/>
    <col min="11483" max="11483" width="15.625" style="554" customWidth="1"/>
    <col min="11484" max="11484" width="21.625" style="554" customWidth="1"/>
    <col min="11485" max="11485" width="14.625" style="554" customWidth="1"/>
    <col min="11486" max="11486" width="15.625" style="554" customWidth="1"/>
    <col min="11487" max="11736" width="9" style="554"/>
    <col min="11737" max="11737" width="22.625" style="554" customWidth="1"/>
    <col min="11738" max="11738" width="18.625" style="554" customWidth="1"/>
    <col min="11739" max="11739" width="15.625" style="554" customWidth="1"/>
    <col min="11740" max="11740" width="21.625" style="554" customWidth="1"/>
    <col min="11741" max="11741" width="14.625" style="554" customWidth="1"/>
    <col min="11742" max="11742" width="15.625" style="554" customWidth="1"/>
    <col min="11743" max="11992" width="9" style="554"/>
    <col min="11993" max="11993" width="22.625" style="554" customWidth="1"/>
    <col min="11994" max="11994" width="18.625" style="554" customWidth="1"/>
    <col min="11995" max="11995" width="15.625" style="554" customWidth="1"/>
    <col min="11996" max="11996" width="21.625" style="554" customWidth="1"/>
    <col min="11997" max="11997" width="14.625" style="554" customWidth="1"/>
    <col min="11998" max="11998" width="15.625" style="554" customWidth="1"/>
    <col min="11999" max="12248" width="9" style="554"/>
    <col min="12249" max="12249" width="22.625" style="554" customWidth="1"/>
    <col min="12250" max="12250" width="18.625" style="554" customWidth="1"/>
    <col min="12251" max="12251" width="15.625" style="554" customWidth="1"/>
    <col min="12252" max="12252" width="21.625" style="554" customWidth="1"/>
    <col min="12253" max="12253" width="14.625" style="554" customWidth="1"/>
    <col min="12254" max="12254" width="15.625" style="554" customWidth="1"/>
    <col min="12255" max="12504" width="9" style="554"/>
    <col min="12505" max="12505" width="22.625" style="554" customWidth="1"/>
    <col min="12506" max="12506" width="18.625" style="554" customWidth="1"/>
    <col min="12507" max="12507" width="15.625" style="554" customWidth="1"/>
    <col min="12508" max="12508" width="21.625" style="554" customWidth="1"/>
    <col min="12509" max="12509" width="14.625" style="554" customWidth="1"/>
    <col min="12510" max="12510" width="15.625" style="554" customWidth="1"/>
    <col min="12511" max="12760" width="9" style="554"/>
    <col min="12761" max="12761" width="22.625" style="554" customWidth="1"/>
    <col min="12762" max="12762" width="18.625" style="554" customWidth="1"/>
    <col min="12763" max="12763" width="15.625" style="554" customWidth="1"/>
    <col min="12764" max="12764" width="21.625" style="554" customWidth="1"/>
    <col min="12765" max="12765" width="14.625" style="554" customWidth="1"/>
    <col min="12766" max="12766" width="15.625" style="554" customWidth="1"/>
    <col min="12767" max="13016" width="9" style="554"/>
    <col min="13017" max="13017" width="22.625" style="554" customWidth="1"/>
    <col min="13018" max="13018" width="18.625" style="554" customWidth="1"/>
    <col min="13019" max="13019" width="15.625" style="554" customWidth="1"/>
    <col min="13020" max="13020" width="21.625" style="554" customWidth="1"/>
    <col min="13021" max="13021" width="14.625" style="554" customWidth="1"/>
    <col min="13022" max="13022" width="15.625" style="554" customWidth="1"/>
    <col min="13023" max="13272" width="9" style="554"/>
    <col min="13273" max="13273" width="22.625" style="554" customWidth="1"/>
    <col min="13274" max="13274" width="18.625" style="554" customWidth="1"/>
    <col min="13275" max="13275" width="15.625" style="554" customWidth="1"/>
    <col min="13276" max="13276" width="21.625" style="554" customWidth="1"/>
    <col min="13277" max="13277" width="14.625" style="554" customWidth="1"/>
    <col min="13278" max="13278" width="15.625" style="554" customWidth="1"/>
    <col min="13279" max="13528" width="9" style="554"/>
    <col min="13529" max="13529" width="22.625" style="554" customWidth="1"/>
    <col min="13530" max="13530" width="18.625" style="554" customWidth="1"/>
    <col min="13531" max="13531" width="15.625" style="554" customWidth="1"/>
    <col min="13532" max="13532" width="21.625" style="554" customWidth="1"/>
    <col min="13533" max="13533" width="14.625" style="554" customWidth="1"/>
    <col min="13534" max="13534" width="15.625" style="554" customWidth="1"/>
    <col min="13535" max="13784" width="9" style="554"/>
    <col min="13785" max="13785" width="22.625" style="554" customWidth="1"/>
    <col min="13786" max="13786" width="18.625" style="554" customWidth="1"/>
    <col min="13787" max="13787" width="15.625" style="554" customWidth="1"/>
    <col min="13788" max="13788" width="21.625" style="554" customWidth="1"/>
    <col min="13789" max="13789" width="14.625" style="554" customWidth="1"/>
    <col min="13790" max="13790" width="15.625" style="554" customWidth="1"/>
    <col min="13791" max="14040" width="9" style="554"/>
    <col min="14041" max="14041" width="22.625" style="554" customWidth="1"/>
    <col min="14042" max="14042" width="18.625" style="554" customWidth="1"/>
    <col min="14043" max="14043" width="15.625" style="554" customWidth="1"/>
    <col min="14044" max="14044" width="21.625" style="554" customWidth="1"/>
    <col min="14045" max="14045" width="14.625" style="554" customWidth="1"/>
    <col min="14046" max="14046" width="15.625" style="554" customWidth="1"/>
    <col min="14047" max="14296" width="9" style="554"/>
    <col min="14297" max="14297" width="22.625" style="554" customWidth="1"/>
    <col min="14298" max="14298" width="18.625" style="554" customWidth="1"/>
    <col min="14299" max="14299" width="15.625" style="554" customWidth="1"/>
    <col min="14300" max="14300" width="21.625" style="554" customWidth="1"/>
    <col min="14301" max="14301" width="14.625" style="554" customWidth="1"/>
    <col min="14302" max="14302" width="15.625" style="554" customWidth="1"/>
    <col min="14303" max="14552" width="9" style="554"/>
    <col min="14553" max="14553" width="22.625" style="554" customWidth="1"/>
    <col min="14554" max="14554" width="18.625" style="554" customWidth="1"/>
    <col min="14555" max="14555" width="15.625" style="554" customWidth="1"/>
    <col min="14556" max="14556" width="21.625" style="554" customWidth="1"/>
    <col min="14557" max="14557" width="14.625" style="554" customWidth="1"/>
    <col min="14558" max="14558" width="15.625" style="554" customWidth="1"/>
    <col min="14559" max="14808" width="9" style="554"/>
    <col min="14809" max="14809" width="22.625" style="554" customWidth="1"/>
    <col min="14810" max="14810" width="18.625" style="554" customWidth="1"/>
    <col min="14811" max="14811" width="15.625" style="554" customWidth="1"/>
    <col min="14812" max="14812" width="21.625" style="554" customWidth="1"/>
    <col min="14813" max="14813" width="14.625" style="554" customWidth="1"/>
    <col min="14814" max="14814" width="15.625" style="554" customWidth="1"/>
    <col min="14815" max="15064" width="9" style="554"/>
    <col min="15065" max="15065" width="22.625" style="554" customWidth="1"/>
    <col min="15066" max="15066" width="18.625" style="554" customWidth="1"/>
    <col min="15067" max="15067" width="15.625" style="554" customWidth="1"/>
    <col min="15068" max="15068" width="21.625" style="554" customWidth="1"/>
    <col min="15069" max="15069" width="14.625" style="554" customWidth="1"/>
    <col min="15070" max="15070" width="15.625" style="554" customWidth="1"/>
    <col min="15071" max="15320" width="9" style="554"/>
    <col min="15321" max="15321" width="22.625" style="554" customWidth="1"/>
    <col min="15322" max="15322" width="18.625" style="554" customWidth="1"/>
    <col min="15323" max="15323" width="15.625" style="554" customWidth="1"/>
    <col min="15324" max="15324" width="21.625" style="554" customWidth="1"/>
    <col min="15325" max="15325" width="14.625" style="554" customWidth="1"/>
    <col min="15326" max="15326" width="15.625" style="554" customWidth="1"/>
    <col min="15327" max="15576" width="9" style="554"/>
    <col min="15577" max="15577" width="22.625" style="554" customWidth="1"/>
    <col min="15578" max="15578" width="18.625" style="554" customWidth="1"/>
    <col min="15579" max="15579" width="15.625" style="554" customWidth="1"/>
    <col min="15580" max="15580" width="21.625" style="554" customWidth="1"/>
    <col min="15581" max="15581" width="14.625" style="554" customWidth="1"/>
    <col min="15582" max="15582" width="15.625" style="554" customWidth="1"/>
    <col min="15583" max="15832" width="9" style="554"/>
    <col min="15833" max="15833" width="22.625" style="554" customWidth="1"/>
    <col min="15834" max="15834" width="18.625" style="554" customWidth="1"/>
    <col min="15835" max="15835" width="15.625" style="554" customWidth="1"/>
    <col min="15836" max="15836" width="21.625" style="554" customWidth="1"/>
    <col min="15837" max="15837" width="14.625" style="554" customWidth="1"/>
    <col min="15838" max="15838" width="15.625" style="554" customWidth="1"/>
    <col min="15839" max="16088" width="9" style="554"/>
    <col min="16089" max="16089" width="22.625" style="554" customWidth="1"/>
    <col min="16090" max="16090" width="18.625" style="554" customWidth="1"/>
    <col min="16091" max="16091" width="15.625" style="554" customWidth="1"/>
    <col min="16092" max="16092" width="21.625" style="554" customWidth="1"/>
    <col min="16093" max="16093" width="14.625" style="554" customWidth="1"/>
    <col min="16094" max="16094" width="15.625" style="554" customWidth="1"/>
    <col min="16095" max="16384" width="9" style="554"/>
  </cols>
  <sheetData>
    <row r="1" ht="34.15" customHeight="1" spans="1:11">
      <c r="A1" s="558" t="s">
        <v>575</v>
      </c>
      <c r="B1" s="559" t="s">
        <v>1216</v>
      </c>
      <c r="C1" s="559" t="s">
        <v>1216</v>
      </c>
      <c r="D1" s="560" t="s">
        <v>1216</v>
      </c>
      <c r="E1" s="559" t="s">
        <v>1216</v>
      </c>
      <c r="F1" s="559" t="s">
        <v>1216</v>
      </c>
      <c r="G1" s="561"/>
    </row>
    <row r="2" ht="15" customHeight="1" spans="1:11">
      <c r="A2" s="562"/>
      <c r="B2" s="563"/>
      <c r="C2" s="563"/>
      <c r="D2" s="562"/>
      <c r="E2" s="563"/>
      <c r="F2" s="564" t="s">
        <v>1217</v>
      </c>
      <c r="G2" s="565"/>
    </row>
    <row r="3" ht="15" customHeight="1" spans="1:11">
      <c r="A3" s="566" t="s">
        <v>1218</v>
      </c>
      <c r="B3" s="567" t="s">
        <v>1218</v>
      </c>
      <c r="C3" s="568"/>
      <c r="D3" s="459">
        <f>基本信息!B14</f>
        <v>45991</v>
      </c>
      <c r="E3" s="568"/>
      <c r="F3" s="569" t="s">
        <v>99</v>
      </c>
      <c r="G3" s="565"/>
    </row>
    <row r="4" ht="15" customHeight="1" spans="1:11">
      <c r="A4" s="570" t="s">
        <v>100</v>
      </c>
      <c r="B4" s="571" t="s">
        <v>1219</v>
      </c>
      <c r="C4" s="572" t="s">
        <v>1220</v>
      </c>
      <c r="D4" s="573" t="s">
        <v>589</v>
      </c>
      <c r="E4" s="571" t="s">
        <v>1219</v>
      </c>
      <c r="F4" s="571" t="s">
        <v>1220</v>
      </c>
      <c r="G4" s="561"/>
    </row>
    <row r="5" ht="15" customHeight="1" spans="1:11">
      <c r="A5" s="574" t="s">
        <v>104</v>
      </c>
      <c r="B5" s="299"/>
      <c r="C5" s="300"/>
      <c r="D5" s="301" t="s">
        <v>105</v>
      </c>
      <c r="E5" s="303"/>
      <c r="F5" s="303"/>
    </row>
    <row r="6" ht="15" customHeight="1" spans="1:11">
      <c r="A6" s="574" t="s">
        <v>106</v>
      </c>
      <c r="B6" s="307">
        <v>184927.6</v>
      </c>
      <c r="C6" s="308">
        <v>979605.74</v>
      </c>
      <c r="D6" s="575" t="s">
        <v>107</v>
      </c>
      <c r="E6" s="576">
        <v>6007501.39</v>
      </c>
      <c r="F6" s="576">
        <v>6000000</v>
      </c>
      <c r="K6" s="577">
        <f>F17+F26+快速BS!H26+快速BS!J14</f>
        <v>2849232.34</v>
      </c>
    </row>
    <row r="7" ht="15" customHeight="1" spans="1:11">
      <c r="A7" s="574" t="s">
        <v>108</v>
      </c>
      <c r="B7" s="307">
        <v>184927.6</v>
      </c>
      <c r="C7" s="308">
        <v>979605.74</v>
      </c>
      <c r="D7" s="575" t="s">
        <v>109</v>
      </c>
      <c r="E7" s="578"/>
      <c r="F7" s="578"/>
    </row>
    <row r="8" ht="15" customHeight="1" spans="1:11">
      <c r="A8" s="574" t="s">
        <v>110</v>
      </c>
      <c r="B8" s="307"/>
      <c r="C8" s="308"/>
      <c r="D8" s="575" t="s">
        <v>111</v>
      </c>
      <c r="E8" s="578">
        <v>554650.87</v>
      </c>
      <c r="F8" s="578"/>
    </row>
    <row r="9" ht="15" customHeight="1" spans="1:11">
      <c r="A9" s="574" t="s">
        <v>112</v>
      </c>
      <c r="B9" s="307"/>
      <c r="C9" s="308"/>
      <c r="D9" s="575" t="s">
        <v>113</v>
      </c>
      <c r="E9" s="578">
        <v>3289070.18</v>
      </c>
      <c r="F9" s="578">
        <v>3302041.37</v>
      </c>
    </row>
    <row r="10" ht="15" customHeight="1" spans="1:11">
      <c r="A10" s="574" t="s">
        <v>114</v>
      </c>
      <c r="B10" s="307">
        <f>568437+5969.16</f>
        <v>574406.16</v>
      </c>
      <c r="C10" s="315">
        <v>171230.44</v>
      </c>
      <c r="D10" s="575" t="s">
        <v>115</v>
      </c>
      <c r="E10" s="578"/>
      <c r="F10" s="579">
        <v>3600</v>
      </c>
    </row>
    <row r="11" ht="15" customHeight="1" spans="1:11">
      <c r="A11" s="574" t="s">
        <v>116</v>
      </c>
      <c r="B11" s="307">
        <v>11018291.45</v>
      </c>
      <c r="C11" s="315">
        <v>10246877.01</v>
      </c>
      <c r="D11" s="580" t="s">
        <v>88</v>
      </c>
      <c r="E11" s="578">
        <v>333252.51</v>
      </c>
      <c r="F11" s="578">
        <v>167155.64</v>
      </c>
      <c r="I11" s="557" t="s">
        <v>491</v>
      </c>
    </row>
    <row r="12" ht="15" customHeight="1" spans="1:11">
      <c r="A12" s="581" t="s">
        <v>117</v>
      </c>
      <c r="B12" s="307">
        <v>6050</v>
      </c>
      <c r="C12" s="315">
        <v>62068.6</v>
      </c>
      <c r="D12" s="575" t="s">
        <v>118</v>
      </c>
      <c r="E12" s="578">
        <v>406525.85</v>
      </c>
      <c r="F12" s="578">
        <v>416651.93</v>
      </c>
      <c r="H12" s="582"/>
      <c r="I12" s="582"/>
      <c r="J12" s="582"/>
    </row>
    <row r="13" ht="15" customHeight="1" spans="1:11">
      <c r="A13" s="574" t="s">
        <v>119</v>
      </c>
      <c r="B13" s="307"/>
      <c r="C13" s="315"/>
      <c r="D13" s="575" t="s">
        <v>120</v>
      </c>
      <c r="E13" s="576">
        <v>97345.01</v>
      </c>
      <c r="F13" s="576">
        <v>77171.07</v>
      </c>
    </row>
    <row r="14" ht="15" customHeight="1" spans="1:11">
      <c r="A14" s="574" t="s">
        <v>121</v>
      </c>
      <c r="B14" s="307"/>
      <c r="C14" s="315"/>
      <c r="D14" s="575" t="s">
        <v>122</v>
      </c>
      <c r="E14" s="576"/>
      <c r="F14" s="576">
        <v>6608.33</v>
      </c>
    </row>
    <row r="15" ht="15" customHeight="1" spans="1:11">
      <c r="A15" s="574" t="s">
        <v>123</v>
      </c>
      <c r="B15" s="307">
        <v>179472.97</v>
      </c>
      <c r="C15" s="308">
        <v>193487.84</v>
      </c>
      <c r="D15" s="575" t="s">
        <v>124</v>
      </c>
      <c r="E15" s="576"/>
      <c r="F15" s="576"/>
    </row>
    <row r="16" ht="15" customHeight="1" spans="1:11">
      <c r="A16" s="574" t="s">
        <v>125</v>
      </c>
      <c r="B16" s="307">
        <v>3804017.78</v>
      </c>
      <c r="C16" s="308">
        <v>4205010.74</v>
      </c>
      <c r="D16" s="575" t="s">
        <v>126</v>
      </c>
      <c r="E16" s="576">
        <v>14497.84</v>
      </c>
      <c r="F16" s="576">
        <v>257465.81</v>
      </c>
    </row>
    <row r="17" ht="15" customHeight="1" spans="1:10">
      <c r="A17" s="574" t="s">
        <v>1221</v>
      </c>
      <c r="B17" s="307">
        <v>34409.68</v>
      </c>
      <c r="C17" s="308">
        <v>37616.37</v>
      </c>
      <c r="D17" s="575" t="s">
        <v>128</v>
      </c>
      <c r="E17" s="578">
        <v>38585.58</v>
      </c>
      <c r="F17" s="578">
        <v>0</v>
      </c>
      <c r="J17" s="583" t="s">
        <v>1222</v>
      </c>
    </row>
    <row r="18" ht="15" customHeight="1" spans="1:10">
      <c r="A18" s="574" t="s">
        <v>132</v>
      </c>
      <c r="B18" s="307"/>
      <c r="C18" s="308">
        <v>4118634.26</v>
      </c>
      <c r="D18" s="580" t="s">
        <v>433</v>
      </c>
      <c r="E18" s="584">
        <v>13478.09</v>
      </c>
      <c r="F18" s="584"/>
      <c r="H18" s="585">
        <f>(C18-B18)/0.75</f>
        <v>5491512.34666667</v>
      </c>
      <c r="I18" s="582">
        <f>H18/10000</f>
        <v>549.151234666667</v>
      </c>
      <c r="J18" s="583" t="s">
        <v>133</v>
      </c>
    </row>
    <row r="19" ht="15" customHeight="1" spans="1:10">
      <c r="A19" s="574" t="s">
        <v>1223</v>
      </c>
      <c r="B19" s="307">
        <v>3725470.39</v>
      </c>
      <c r="C19" s="308"/>
      <c r="D19" s="586"/>
      <c r="E19" s="584"/>
      <c r="F19" s="584"/>
      <c r="H19" s="585">
        <f>(C19-B19)/0.75+精铸PL!C5</f>
        <v>1927485.91666667</v>
      </c>
      <c r="I19" s="582">
        <f>H19/10000</f>
        <v>192.748591666667</v>
      </c>
      <c r="J19" s="583" t="s">
        <v>1224</v>
      </c>
    </row>
    <row r="20" ht="15" customHeight="1" spans="1:10">
      <c r="A20" s="574" t="s">
        <v>136</v>
      </c>
      <c r="B20" s="307">
        <v>44137.71</v>
      </c>
      <c r="C20" s="308">
        <v>48760.11</v>
      </c>
      <c r="D20" s="586"/>
      <c r="E20" s="584"/>
      <c r="F20" s="584"/>
      <c r="H20" s="585">
        <f>H18+H19</f>
        <v>7418998.26333333</v>
      </c>
      <c r="I20" s="582">
        <f>H20/10000</f>
        <v>741.899826333333</v>
      </c>
      <c r="J20" s="583" t="s">
        <v>137</v>
      </c>
    </row>
    <row r="21" ht="15" customHeight="1" spans="1:10">
      <c r="A21" s="587" t="s">
        <v>138</v>
      </c>
      <c r="B21" s="307"/>
      <c r="C21" s="308"/>
      <c r="D21" s="586"/>
      <c r="E21" s="584"/>
      <c r="F21" s="584"/>
      <c r="H21" s="582"/>
      <c r="I21" s="582">
        <f>H20/10000-I20</f>
        <v>0</v>
      </c>
      <c r="J21" s="588"/>
    </row>
    <row r="22" ht="15" customHeight="1" spans="1:10">
      <c r="A22" s="580" t="s">
        <v>139</v>
      </c>
      <c r="B22" s="307"/>
      <c r="C22" s="308"/>
      <c r="D22" s="589" t="s">
        <v>142</v>
      </c>
      <c r="E22" s="590">
        <f>E6+E8+E9+E10+E12+E13+E16+E14+E17+E18+E11</f>
        <v>10754907.32</v>
      </c>
      <c r="F22" s="590">
        <f>F6+F8+F9+F10+F12+F13+F16+F14+F17+F18+F11</f>
        <v>10230694.15</v>
      </c>
      <c r="H22" s="582"/>
      <c r="I22" s="582"/>
      <c r="J22" s="588"/>
    </row>
    <row r="23" ht="15" customHeight="1" spans="1:10">
      <c r="A23" s="591" t="s">
        <v>140</v>
      </c>
      <c r="B23" s="307"/>
      <c r="C23" s="308"/>
      <c r="D23" s="297" t="s">
        <v>144</v>
      </c>
      <c r="E23" s="584"/>
      <c r="F23" s="584"/>
    </row>
    <row r="24" ht="15" customHeight="1" spans="1:10">
      <c r="A24" s="574" t="s">
        <v>141</v>
      </c>
      <c r="B24" s="307"/>
      <c r="C24" s="308">
        <v>0</v>
      </c>
      <c r="D24" s="575" t="s">
        <v>147</v>
      </c>
      <c r="E24" s="576"/>
      <c r="F24" s="576">
        <v>0</v>
      </c>
      <c r="J24" s="583"/>
    </row>
    <row r="25" ht="15" customHeight="1" spans="1:10">
      <c r="A25" s="592" t="s">
        <v>143</v>
      </c>
      <c r="B25" s="593">
        <f>B6+B10+B11+B12+B15+B16</f>
        <v>15767165.96</v>
      </c>
      <c r="C25" s="593">
        <f>C6+C10+C11+C12+C15+C16</f>
        <v>15858280.37</v>
      </c>
      <c r="D25" s="575" t="s">
        <v>149</v>
      </c>
      <c r="E25" s="576"/>
      <c r="F25" s="576">
        <v>0</v>
      </c>
    </row>
    <row r="26" ht="15" customHeight="1" spans="1:10">
      <c r="A26" s="594" t="s">
        <v>146</v>
      </c>
      <c r="B26" s="350"/>
      <c r="C26" s="351"/>
      <c r="D26" s="575" t="s">
        <v>151</v>
      </c>
      <c r="E26" s="576"/>
      <c r="F26" s="576">
        <v>0</v>
      </c>
    </row>
    <row r="27" ht="15" customHeight="1" spans="1:10">
      <c r="A27" s="574" t="s">
        <v>148</v>
      </c>
      <c r="B27" s="307"/>
      <c r="C27" s="308">
        <v>0</v>
      </c>
      <c r="D27" s="575" t="s">
        <v>153</v>
      </c>
      <c r="E27" s="576"/>
      <c r="F27" s="576"/>
    </row>
    <row r="28" ht="15" customHeight="1" spans="1:10">
      <c r="A28" s="574" t="s">
        <v>150</v>
      </c>
      <c r="B28" s="307"/>
      <c r="C28" s="308">
        <v>0</v>
      </c>
      <c r="D28" s="575" t="s">
        <v>155</v>
      </c>
      <c r="E28" s="576"/>
      <c r="F28" s="576"/>
    </row>
    <row r="29" ht="15" customHeight="1" spans="1:10">
      <c r="A29" s="574" t="s">
        <v>152</v>
      </c>
      <c r="B29" s="307">
        <v>22650</v>
      </c>
      <c r="C29" s="308">
        <v>22002.54</v>
      </c>
      <c r="D29" s="580" t="s">
        <v>157</v>
      </c>
      <c r="E29" s="576"/>
      <c r="F29" s="576"/>
    </row>
    <row r="30" ht="15" customHeight="1" spans="1:10">
      <c r="A30" s="574" t="s">
        <v>154</v>
      </c>
      <c r="B30" s="307"/>
      <c r="C30" s="308"/>
      <c r="D30" s="575" t="s">
        <v>159</v>
      </c>
      <c r="E30" s="576"/>
      <c r="F30" s="576"/>
    </row>
    <row r="31" ht="15" customHeight="1" spans="1:10">
      <c r="A31" s="574" t="s">
        <v>156</v>
      </c>
      <c r="B31" s="307"/>
      <c r="C31" s="308"/>
      <c r="D31" s="575" t="s">
        <v>162</v>
      </c>
      <c r="E31" s="578"/>
      <c r="F31" s="578"/>
    </row>
    <row r="32" ht="15" customHeight="1" spans="1:10">
      <c r="A32" s="574" t="s">
        <v>1154</v>
      </c>
      <c r="B32" s="359">
        <v>9932060.02</v>
      </c>
      <c r="C32" s="308">
        <v>9940107.81</v>
      </c>
      <c r="D32" s="589" t="s">
        <v>165</v>
      </c>
      <c r="E32" s="590">
        <f>E24+E25+E26+E27+E28+E29+E30+E31</f>
        <v>0</v>
      </c>
      <c r="F32" s="590">
        <f>F24+F25+F26+F27+F28+F29+F30+F31</f>
        <v>0</v>
      </c>
      <c r="H32" s="577">
        <f>C32+新材料BS!D32+快速BS!D32</f>
        <v>329962468.93</v>
      </c>
    </row>
    <row r="33" ht="15" customHeight="1" spans="1:13">
      <c r="A33" s="574" t="s">
        <v>1225</v>
      </c>
      <c r="B33" s="359">
        <v>6610452.33</v>
      </c>
      <c r="C33" s="308">
        <v>7216820.66</v>
      </c>
      <c r="D33" s="589" t="s">
        <v>167</v>
      </c>
      <c r="E33" s="590">
        <f>E32+E22</f>
        <v>10754907.32</v>
      </c>
      <c r="F33" s="590">
        <f>F32+F22</f>
        <v>10230694.15</v>
      </c>
    </row>
    <row r="34" ht="15" customHeight="1" spans="1:13">
      <c r="A34" s="574" t="s">
        <v>164</v>
      </c>
      <c r="B34" s="595">
        <f>B32-B33</f>
        <v>3321607.69</v>
      </c>
      <c r="C34" s="595">
        <f>C32-C33</f>
        <v>2723287.15</v>
      </c>
      <c r="D34" s="575" t="s">
        <v>169</v>
      </c>
      <c r="E34" s="596"/>
      <c r="F34" s="596"/>
    </row>
    <row r="35" ht="15" customHeight="1" spans="1:13">
      <c r="A35" s="574" t="s">
        <v>166</v>
      </c>
      <c r="B35" s="307"/>
      <c r="C35" s="308">
        <v>0</v>
      </c>
      <c r="D35" s="575" t="s">
        <v>171</v>
      </c>
      <c r="E35" s="576">
        <v>18000000</v>
      </c>
      <c r="F35" s="576">
        <v>18000000</v>
      </c>
    </row>
    <row r="36" ht="15" customHeight="1" spans="1:13">
      <c r="A36" s="574" t="s">
        <v>168</v>
      </c>
      <c r="B36" s="307"/>
      <c r="C36" s="308">
        <v>0</v>
      </c>
      <c r="D36" s="575" t="s">
        <v>173</v>
      </c>
      <c r="E36" s="576"/>
      <c r="F36" s="576"/>
    </row>
    <row r="37" ht="15" customHeight="1" spans="1:13">
      <c r="A37" s="574" t="s">
        <v>170</v>
      </c>
      <c r="B37" s="307"/>
      <c r="C37" s="308">
        <v>0</v>
      </c>
      <c r="D37" s="575" t="s">
        <v>175</v>
      </c>
      <c r="E37" s="578"/>
      <c r="F37" s="578"/>
    </row>
    <row r="38" ht="15" customHeight="1" spans="1:13">
      <c r="A38" s="574" t="s">
        <v>172</v>
      </c>
      <c r="B38" s="307"/>
      <c r="C38" s="308">
        <v>0</v>
      </c>
      <c r="D38" s="575" t="s">
        <v>177</v>
      </c>
      <c r="E38" s="576"/>
      <c r="F38" s="576"/>
    </row>
    <row r="39" ht="15" customHeight="1" spans="1:13">
      <c r="A39" s="574" t="s">
        <v>174</v>
      </c>
      <c r="B39" s="307"/>
      <c r="C39" s="308">
        <v>0</v>
      </c>
      <c r="D39" s="575" t="s">
        <v>179</v>
      </c>
      <c r="E39" s="597">
        <v>-9635595.58</v>
      </c>
      <c r="F39" s="597">
        <v>-9627124.09</v>
      </c>
      <c r="G39" s="598">
        <f>F39-E39-精铸PL!C28</f>
        <v>1.19325704872608e-9</v>
      </c>
    </row>
    <row r="40" ht="15" customHeight="1" spans="1:13">
      <c r="A40" s="574" t="s">
        <v>176</v>
      </c>
      <c r="B40" s="307"/>
      <c r="C40" s="308">
        <v>0</v>
      </c>
      <c r="D40" s="599" t="s">
        <v>185</v>
      </c>
      <c r="E40" s="590">
        <f>E35+E39</f>
        <v>8364404.42</v>
      </c>
      <c r="F40" s="590">
        <f>F35+F39</f>
        <v>8372875.91</v>
      </c>
    </row>
    <row r="41" ht="15" customHeight="1" spans="1:13">
      <c r="A41" s="574" t="s">
        <v>178</v>
      </c>
      <c r="B41" s="307"/>
      <c r="C41" s="308">
        <v>0</v>
      </c>
      <c r="D41" s="599"/>
      <c r="E41" s="600"/>
      <c r="F41" s="600"/>
    </row>
    <row r="42" ht="15" customHeight="1" spans="1:13">
      <c r="A42" s="574" t="s">
        <v>180</v>
      </c>
      <c r="B42" s="307"/>
      <c r="C42" s="308">
        <v>0</v>
      </c>
      <c r="D42" s="599"/>
      <c r="E42" s="600"/>
      <c r="F42" s="600"/>
      <c r="H42" s="582">
        <f>E39+新材料BS!G39</f>
        <v>-9780693.47</v>
      </c>
    </row>
    <row r="43" ht="15" customHeight="1" spans="1:13">
      <c r="A43" s="574" t="s">
        <v>182</v>
      </c>
      <c r="B43" s="601">
        <v>7888.09</v>
      </c>
      <c r="C43" s="602"/>
      <c r="D43" s="599"/>
      <c r="E43" s="600"/>
      <c r="F43" s="600"/>
      <c r="H43" s="582"/>
    </row>
    <row r="44" ht="15" customHeight="1" spans="1:13">
      <c r="A44" s="574" t="s">
        <v>184</v>
      </c>
      <c r="B44" s="576"/>
      <c r="C44" s="308"/>
      <c r="D44" s="599"/>
      <c r="E44" s="600"/>
      <c r="F44" s="600"/>
      <c r="H44" s="582"/>
    </row>
    <row r="45" ht="15" customHeight="1" spans="1:13">
      <c r="A45" s="574" t="s">
        <v>186</v>
      </c>
      <c r="B45" s="307"/>
      <c r="C45" s="308"/>
      <c r="D45" s="599"/>
      <c r="E45" s="600"/>
      <c r="F45" s="600"/>
      <c r="H45" s="582"/>
    </row>
    <row r="46" s="553" customFormat="1" ht="15" customHeight="1" spans="1:13">
      <c r="A46" s="592" t="s">
        <v>187</v>
      </c>
      <c r="B46" s="369">
        <f>B29+B34+B43</f>
        <v>3352145.78</v>
      </c>
      <c r="C46" s="369">
        <f>C29+C34+C43</f>
        <v>2745289.69</v>
      </c>
      <c r="D46" s="599"/>
      <c r="E46" s="600"/>
      <c r="F46" s="600"/>
      <c r="H46" s="603"/>
      <c r="I46" s="604"/>
      <c r="J46" s="604"/>
      <c r="L46" s="554"/>
      <c r="M46" s="554"/>
    </row>
    <row r="47" s="553" customFormat="1" ht="24" spans="1:13">
      <c r="A47" s="592" t="s">
        <v>188</v>
      </c>
      <c r="B47" s="369">
        <f>B46+B25</f>
        <v>19119311.74</v>
      </c>
      <c r="C47" s="369">
        <f>C46+C25</f>
        <v>18603570.06</v>
      </c>
      <c r="D47" s="338" t="s">
        <v>1226</v>
      </c>
      <c r="E47" s="339">
        <f>E40+E33</f>
        <v>19119311.74</v>
      </c>
      <c r="F47" s="339">
        <f>F40+F33</f>
        <v>18603570.06</v>
      </c>
      <c r="H47" s="603">
        <f>F47+新材料BS!H47+快速BS!H47+热等静压BS!F47</f>
        <v>813031075.76</v>
      </c>
      <c r="I47" s="604"/>
      <c r="J47" s="604"/>
      <c r="L47" s="554"/>
      <c r="M47" s="554"/>
    </row>
    <row r="48" customHeight="1" spans="1:13">
      <c r="A48" s="554" t="s">
        <v>589</v>
      </c>
      <c r="B48" s="555" t="s">
        <v>1219</v>
      </c>
      <c r="C48" s="555" t="s">
        <v>1220</v>
      </c>
      <c r="E48" s="555">
        <f>B47-E47</f>
        <v>0</v>
      </c>
      <c r="F48" s="555">
        <f>C47-F47</f>
        <v>0</v>
      </c>
    </row>
    <row r="49" spans="1:8">
      <c r="A49" s="554" t="s">
        <v>105</v>
      </c>
      <c r="B49" s="605">
        <f>E5</f>
        <v>0</v>
      </c>
      <c r="C49" s="605">
        <f>F5</f>
        <v>0</v>
      </c>
      <c r="E49" s="606"/>
      <c r="H49" s="607">
        <f>F33/C47</f>
        <v>0.549931766698763</v>
      </c>
    </row>
    <row r="50" spans="1:8">
      <c r="A50" s="554" t="s">
        <v>107</v>
      </c>
      <c r="B50" s="605">
        <f t="shared" ref="B50:B91" si="0">E6</f>
        <v>6007501.39</v>
      </c>
      <c r="C50" s="605">
        <f t="shared" ref="C50:C91" si="1">F6</f>
        <v>6000000</v>
      </c>
    </row>
    <row r="51" spans="1:8">
      <c r="A51" s="554" t="s">
        <v>109</v>
      </c>
      <c r="B51" s="605">
        <f t="shared" si="0"/>
        <v>0</v>
      </c>
      <c r="C51" s="605">
        <f t="shared" si="1"/>
        <v>0</v>
      </c>
      <c r="E51" s="555">
        <f>E47/10000</f>
        <v>1911.931174</v>
      </c>
      <c r="F51" s="555">
        <f>F47/10000</f>
        <v>1860.357006</v>
      </c>
    </row>
    <row r="52" spans="1:8">
      <c r="A52" s="554" t="s">
        <v>111</v>
      </c>
      <c r="B52" s="605">
        <f t="shared" si="0"/>
        <v>554650.87</v>
      </c>
      <c r="C52" s="605">
        <f t="shared" si="1"/>
        <v>0</v>
      </c>
    </row>
    <row r="53" spans="1:8">
      <c r="A53" s="554" t="s">
        <v>113</v>
      </c>
      <c r="B53" s="605">
        <f t="shared" si="0"/>
        <v>3289070.18</v>
      </c>
      <c r="C53" s="605">
        <f t="shared" si="1"/>
        <v>3302041.37</v>
      </c>
      <c r="D53" s="504" t="s">
        <v>1227</v>
      </c>
    </row>
    <row r="54" spans="1:8">
      <c r="A54" s="554" t="s">
        <v>115</v>
      </c>
      <c r="B54" s="605">
        <f t="shared" si="0"/>
        <v>0</v>
      </c>
      <c r="C54" s="605">
        <f t="shared" si="1"/>
        <v>3600</v>
      </c>
    </row>
    <row r="55" spans="1:8">
      <c r="A55" s="554" t="s">
        <v>88</v>
      </c>
      <c r="B55" s="605">
        <f t="shared" si="0"/>
        <v>333252.51</v>
      </c>
      <c r="C55" s="605">
        <f t="shared" si="1"/>
        <v>167155.64</v>
      </c>
    </row>
    <row r="56" spans="1:8">
      <c r="A56" s="554" t="s">
        <v>118</v>
      </c>
      <c r="B56" s="605">
        <f t="shared" si="0"/>
        <v>406525.85</v>
      </c>
      <c r="C56" s="605">
        <f t="shared" si="1"/>
        <v>416651.93</v>
      </c>
    </row>
    <row r="57" spans="1:8">
      <c r="A57" s="554" t="s">
        <v>120</v>
      </c>
      <c r="B57" s="605">
        <f t="shared" si="0"/>
        <v>97345.01</v>
      </c>
      <c r="C57" s="605">
        <f t="shared" si="1"/>
        <v>77171.07</v>
      </c>
    </row>
    <row r="58" spans="1:8">
      <c r="A58" s="554" t="s">
        <v>122</v>
      </c>
      <c r="B58" s="605">
        <f t="shared" si="0"/>
        <v>0</v>
      </c>
      <c r="C58" s="605">
        <f t="shared" si="1"/>
        <v>6608.33</v>
      </c>
    </row>
    <row r="59" spans="1:8">
      <c r="A59" s="554" t="s">
        <v>124</v>
      </c>
      <c r="B59" s="605">
        <f t="shared" si="0"/>
        <v>0</v>
      </c>
      <c r="C59" s="605">
        <f t="shared" si="1"/>
        <v>0</v>
      </c>
    </row>
    <row r="60" spans="1:8">
      <c r="A60" s="554" t="s">
        <v>126</v>
      </c>
      <c r="B60" s="605">
        <f t="shared" si="0"/>
        <v>14497.84</v>
      </c>
      <c r="C60" s="605">
        <f t="shared" si="1"/>
        <v>257465.81</v>
      </c>
    </row>
    <row r="61" spans="1:8">
      <c r="A61" s="554" t="s">
        <v>128</v>
      </c>
      <c r="B61" s="605">
        <f t="shared" si="0"/>
        <v>38585.58</v>
      </c>
      <c r="C61" s="605">
        <f t="shared" si="1"/>
        <v>0</v>
      </c>
    </row>
    <row r="62" spans="1:8">
      <c r="A62" s="554" t="s">
        <v>433</v>
      </c>
      <c r="B62" s="605">
        <f t="shared" si="0"/>
        <v>13478.09</v>
      </c>
      <c r="C62" s="605">
        <f t="shared" si="1"/>
        <v>0</v>
      </c>
    </row>
    <row r="63" spans="1:8">
      <c r="B63" s="605">
        <f t="shared" si="0"/>
        <v>0</v>
      </c>
      <c r="C63" s="605">
        <f t="shared" si="1"/>
        <v>0</v>
      </c>
    </row>
    <row r="64" spans="1:8">
      <c r="B64" s="605">
        <f t="shared" si="0"/>
        <v>0</v>
      </c>
      <c r="C64" s="605">
        <f t="shared" si="1"/>
        <v>0</v>
      </c>
    </row>
    <row r="65" spans="1:3">
      <c r="B65" s="605">
        <f t="shared" si="0"/>
        <v>0</v>
      </c>
      <c r="C65" s="605">
        <f t="shared" si="1"/>
        <v>0</v>
      </c>
    </row>
    <row r="66" spans="1:3">
      <c r="A66" s="554" t="s">
        <v>142</v>
      </c>
      <c r="B66" s="605">
        <f t="shared" si="0"/>
        <v>10754907.32</v>
      </c>
      <c r="C66" s="605">
        <f t="shared" si="1"/>
        <v>10230694.15</v>
      </c>
    </row>
    <row r="67" spans="1:3">
      <c r="A67" s="554" t="s">
        <v>144</v>
      </c>
      <c r="B67" s="605">
        <f t="shared" si="0"/>
        <v>0</v>
      </c>
      <c r="C67" s="605">
        <f t="shared" si="1"/>
        <v>0</v>
      </c>
    </row>
    <row r="68" spans="1:3">
      <c r="A68" s="554" t="s">
        <v>147</v>
      </c>
      <c r="B68" s="605">
        <f t="shared" si="0"/>
        <v>0</v>
      </c>
      <c r="C68" s="605">
        <f t="shared" si="1"/>
        <v>0</v>
      </c>
    </row>
    <row r="69" spans="1:3">
      <c r="A69" s="554" t="s">
        <v>149</v>
      </c>
      <c r="B69" s="605">
        <f t="shared" si="0"/>
        <v>0</v>
      </c>
      <c r="C69" s="605">
        <f t="shared" si="1"/>
        <v>0</v>
      </c>
    </row>
    <row r="70" spans="1:3">
      <c r="A70" s="554" t="s">
        <v>151</v>
      </c>
      <c r="B70" s="605">
        <f t="shared" si="0"/>
        <v>0</v>
      </c>
      <c r="C70" s="605">
        <f t="shared" si="1"/>
        <v>0</v>
      </c>
    </row>
    <row r="71" spans="1:3">
      <c r="A71" s="554" t="s">
        <v>153</v>
      </c>
      <c r="B71" s="605">
        <f t="shared" si="0"/>
        <v>0</v>
      </c>
      <c r="C71" s="605">
        <f t="shared" si="1"/>
        <v>0</v>
      </c>
    </row>
    <row r="72" spans="1:3">
      <c r="A72" s="554" t="s">
        <v>155</v>
      </c>
      <c r="B72" s="605">
        <f t="shared" si="0"/>
        <v>0</v>
      </c>
      <c r="C72" s="605">
        <f t="shared" si="1"/>
        <v>0</v>
      </c>
    </row>
    <row r="73" spans="1:3">
      <c r="A73" s="554" t="s">
        <v>157</v>
      </c>
      <c r="B73" s="605">
        <f t="shared" si="0"/>
        <v>0</v>
      </c>
      <c r="C73" s="605">
        <f t="shared" si="1"/>
        <v>0</v>
      </c>
    </row>
    <row r="74" spans="1:3">
      <c r="A74" s="554" t="s">
        <v>159</v>
      </c>
      <c r="B74" s="605">
        <f t="shared" si="0"/>
        <v>0</v>
      </c>
      <c r="C74" s="605">
        <f t="shared" si="1"/>
        <v>0</v>
      </c>
    </row>
    <row r="75" spans="1:3">
      <c r="A75" s="554" t="s">
        <v>162</v>
      </c>
      <c r="B75" s="605">
        <f t="shared" si="0"/>
        <v>0</v>
      </c>
      <c r="C75" s="605">
        <f t="shared" si="1"/>
        <v>0</v>
      </c>
    </row>
    <row r="76" spans="1:3">
      <c r="A76" s="554" t="s">
        <v>165</v>
      </c>
      <c r="B76" s="605">
        <f t="shared" si="0"/>
        <v>0</v>
      </c>
      <c r="C76" s="605">
        <f t="shared" si="1"/>
        <v>0</v>
      </c>
    </row>
    <row r="77" spans="1:3">
      <c r="A77" s="554" t="s">
        <v>167</v>
      </c>
      <c r="B77" s="605">
        <f t="shared" si="0"/>
        <v>10754907.32</v>
      </c>
      <c r="C77" s="605">
        <f t="shared" si="1"/>
        <v>10230694.15</v>
      </c>
    </row>
    <row r="78" spans="1:3">
      <c r="A78" s="554" t="s">
        <v>169</v>
      </c>
      <c r="B78" s="605">
        <f t="shared" si="0"/>
        <v>0</v>
      </c>
      <c r="C78" s="605">
        <f t="shared" si="1"/>
        <v>0</v>
      </c>
    </row>
    <row r="79" spans="1:3">
      <c r="A79" s="554" t="s">
        <v>171</v>
      </c>
      <c r="B79" s="605">
        <f t="shared" si="0"/>
        <v>18000000</v>
      </c>
      <c r="C79" s="605">
        <f t="shared" si="1"/>
        <v>18000000</v>
      </c>
    </row>
    <row r="80" spans="1:3">
      <c r="A80" s="554" t="s">
        <v>173</v>
      </c>
      <c r="B80" s="605">
        <f t="shared" si="0"/>
        <v>0</v>
      </c>
      <c r="C80" s="605">
        <f t="shared" si="1"/>
        <v>0</v>
      </c>
    </row>
    <row r="81" spans="1:3">
      <c r="A81" s="554" t="s">
        <v>175</v>
      </c>
      <c r="B81" s="605">
        <f t="shared" si="0"/>
        <v>0</v>
      </c>
      <c r="C81" s="605">
        <f t="shared" si="1"/>
        <v>0</v>
      </c>
    </row>
    <row r="82" spans="1:3">
      <c r="A82" s="554" t="s">
        <v>177</v>
      </c>
      <c r="B82" s="605">
        <f t="shared" si="0"/>
        <v>0</v>
      </c>
      <c r="C82" s="605">
        <f t="shared" si="1"/>
        <v>0</v>
      </c>
    </row>
    <row r="83" spans="1:3">
      <c r="A83" s="554" t="s">
        <v>179</v>
      </c>
      <c r="B83" s="605">
        <f t="shared" si="0"/>
        <v>-9635595.58</v>
      </c>
      <c r="C83" s="605">
        <f t="shared" si="1"/>
        <v>-9627124.09</v>
      </c>
    </row>
    <row r="84" spans="1:3">
      <c r="A84" s="554" t="s">
        <v>185</v>
      </c>
      <c r="B84" s="605">
        <f t="shared" si="0"/>
        <v>8364404.42</v>
      </c>
      <c r="C84" s="605">
        <f t="shared" si="1"/>
        <v>8372875.91</v>
      </c>
    </row>
    <row r="85" spans="1:3">
      <c r="B85" s="605">
        <f t="shared" si="0"/>
        <v>0</v>
      </c>
      <c r="C85" s="605">
        <f t="shared" si="1"/>
        <v>0</v>
      </c>
    </row>
    <row r="86" spans="1:3">
      <c r="B86" s="605">
        <f t="shared" si="0"/>
        <v>0</v>
      </c>
      <c r="C86" s="605">
        <f t="shared" si="1"/>
        <v>0</v>
      </c>
    </row>
    <row r="87" spans="1:3">
      <c r="B87" s="605">
        <f t="shared" si="0"/>
        <v>0</v>
      </c>
      <c r="C87" s="605">
        <f t="shared" si="1"/>
        <v>0</v>
      </c>
    </row>
    <row r="88" spans="1:3">
      <c r="B88" s="605">
        <f t="shared" si="0"/>
        <v>0</v>
      </c>
      <c r="C88" s="605">
        <f t="shared" si="1"/>
        <v>0</v>
      </c>
    </row>
    <row r="89" spans="1:3">
      <c r="B89" s="605">
        <f t="shared" si="0"/>
        <v>0</v>
      </c>
      <c r="C89" s="605">
        <f t="shared" si="1"/>
        <v>0</v>
      </c>
    </row>
    <row r="90" spans="1:3">
      <c r="B90" s="605">
        <f t="shared" si="0"/>
        <v>0</v>
      </c>
      <c r="C90" s="605">
        <f t="shared" si="1"/>
        <v>0</v>
      </c>
    </row>
    <row r="91" spans="1:3">
      <c r="A91" s="554" t="s">
        <v>1226</v>
      </c>
      <c r="B91" s="605">
        <f t="shared" si="0"/>
        <v>19119311.74</v>
      </c>
      <c r="C91" s="605">
        <f t="shared" si="1"/>
        <v>18603570.06</v>
      </c>
    </row>
    <row r="93" spans="1:3">
      <c r="B93" s="555">
        <f>B91-B47</f>
        <v>0</v>
      </c>
      <c r="C93" s="555">
        <f>C91-C47</f>
        <v>0</v>
      </c>
    </row>
  </sheetData>
  <mergeCells count="2">
    <mergeCell ref="A1:F1"/>
    <mergeCell ref="A3:B3"/>
  </mergeCells>
  <pageMargins left="0.7" right="0.7" top="0.75" bottom="0.75" header="0.3" footer="0.3"/>
  <pageSetup paperSize="9" scale="80" orientation="portrait"/>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92D050"/>
    <pageSetUpPr fitToPage="1"/>
  </sheetPr>
  <dimension ref="A1:I33"/>
  <sheetViews>
    <sheetView view="pageBreakPreview" zoomScale="85" zoomScaleNormal="100" workbookViewId="0">
      <pane xSplit="1" ySplit="4" topLeftCell="B24" activePane="bottomRight" state="frozen"/>
      <selection/>
      <selection pane="topRight"/>
      <selection pane="bottomLeft"/>
      <selection pane="bottomRight" activeCell="H10" sqref="H10"/>
    </sheetView>
  </sheetViews>
  <sheetFormatPr defaultColWidth="9" defaultRowHeight="14.25"/>
  <cols>
    <col min="1" max="1" width="42.625" style="228" customWidth="1"/>
    <col min="2" max="2" width="21.125" style="228" customWidth="1"/>
    <col min="3" max="3" width="21.375" style="525" customWidth="1"/>
    <col min="4" max="4" width="13.1" style="525" customWidth="1"/>
    <col min="5" max="5" width="17.3583333333333" style="228" customWidth="1"/>
    <col min="6" max="6" width="5.20833333333333" style="228" customWidth="1"/>
    <col min="7" max="7" width="9" style="228"/>
    <col min="8" max="8" width="11.6416666666667" style="526"/>
    <col min="9" max="9" width="12.7083333333333" style="228"/>
    <col min="10" max="216" width="9" style="228"/>
    <col min="217" max="217" width="49.625" style="228" customWidth="1"/>
    <col min="218" max="219" width="23.625" style="228" customWidth="1"/>
    <col min="220" max="472" width="9" style="228"/>
    <col min="473" max="473" width="49.625" style="228" customWidth="1"/>
    <col min="474" max="475" width="23.625" style="228" customWidth="1"/>
    <col min="476" max="728" width="9" style="228"/>
    <col min="729" max="729" width="49.625" style="228" customWidth="1"/>
    <col min="730" max="731" width="23.625" style="228" customWidth="1"/>
    <col min="732" max="984" width="9" style="228"/>
    <col min="985" max="985" width="49.625" style="228" customWidth="1"/>
    <col min="986" max="987" width="23.625" style="228" customWidth="1"/>
    <col min="988" max="1240" width="9" style="228"/>
    <col min="1241" max="1241" width="49.625" style="228" customWidth="1"/>
    <col min="1242" max="1243" width="23.625" style="228" customWidth="1"/>
    <col min="1244" max="1496" width="9" style="228"/>
    <col min="1497" max="1497" width="49.625" style="228" customWidth="1"/>
    <col min="1498" max="1499" width="23.625" style="228" customWidth="1"/>
    <col min="1500" max="1752" width="9" style="228"/>
    <col min="1753" max="1753" width="49.625" style="228" customWidth="1"/>
    <col min="1754" max="1755" width="23.625" style="228" customWidth="1"/>
    <col min="1756" max="2008" width="9" style="228"/>
    <col min="2009" max="2009" width="49.625" style="228" customWidth="1"/>
    <col min="2010" max="2011" width="23.625" style="228" customWidth="1"/>
    <col min="2012" max="2264" width="9" style="228"/>
    <col min="2265" max="2265" width="49.625" style="228" customWidth="1"/>
    <col min="2266" max="2267" width="23.625" style="228" customWidth="1"/>
    <col min="2268" max="2520" width="9" style="228"/>
    <col min="2521" max="2521" width="49.625" style="228" customWidth="1"/>
    <col min="2522" max="2523" width="23.625" style="228" customWidth="1"/>
    <col min="2524" max="2776" width="9" style="228"/>
    <col min="2777" max="2777" width="49.625" style="228" customWidth="1"/>
    <col min="2778" max="2779" width="23.625" style="228" customWidth="1"/>
    <col min="2780" max="3032" width="9" style="228"/>
    <col min="3033" max="3033" width="49.625" style="228" customWidth="1"/>
    <col min="3034" max="3035" width="23.625" style="228" customWidth="1"/>
    <col min="3036" max="3288" width="9" style="228"/>
    <col min="3289" max="3289" width="49.625" style="228" customWidth="1"/>
    <col min="3290" max="3291" width="23.625" style="228" customWidth="1"/>
    <col min="3292" max="3544" width="9" style="228"/>
    <col min="3545" max="3545" width="49.625" style="228" customWidth="1"/>
    <col min="3546" max="3547" width="23.625" style="228" customWidth="1"/>
    <col min="3548" max="3800" width="9" style="228"/>
    <col min="3801" max="3801" width="49.625" style="228" customWidth="1"/>
    <col min="3802" max="3803" width="23.625" style="228" customWidth="1"/>
    <col min="3804" max="4056" width="9" style="228"/>
    <col min="4057" max="4057" width="49.625" style="228" customWidth="1"/>
    <col min="4058" max="4059" width="23.625" style="228" customWidth="1"/>
    <col min="4060" max="4312" width="9" style="228"/>
    <col min="4313" max="4313" width="49.625" style="228" customWidth="1"/>
    <col min="4314" max="4315" width="23.625" style="228" customWidth="1"/>
    <col min="4316" max="4568" width="9" style="228"/>
    <col min="4569" max="4569" width="49.625" style="228" customWidth="1"/>
    <col min="4570" max="4571" width="23.625" style="228" customWidth="1"/>
    <col min="4572" max="4824" width="9" style="228"/>
    <col min="4825" max="4825" width="49.625" style="228" customWidth="1"/>
    <col min="4826" max="4827" width="23.625" style="228" customWidth="1"/>
    <col min="4828" max="5080" width="9" style="228"/>
    <col min="5081" max="5081" width="49.625" style="228" customWidth="1"/>
    <col min="5082" max="5083" width="23.625" style="228" customWidth="1"/>
    <col min="5084" max="5336" width="9" style="228"/>
    <col min="5337" max="5337" width="49.625" style="228" customWidth="1"/>
    <col min="5338" max="5339" width="23.625" style="228" customWidth="1"/>
    <col min="5340" max="5592" width="9" style="228"/>
    <col min="5593" max="5593" width="49.625" style="228" customWidth="1"/>
    <col min="5594" max="5595" width="23.625" style="228" customWidth="1"/>
    <col min="5596" max="5848" width="9" style="228"/>
    <col min="5849" max="5849" width="49.625" style="228" customWidth="1"/>
    <col min="5850" max="5851" width="23.625" style="228" customWidth="1"/>
    <col min="5852" max="6104" width="9" style="228"/>
    <col min="6105" max="6105" width="49.625" style="228" customWidth="1"/>
    <col min="6106" max="6107" width="23.625" style="228" customWidth="1"/>
    <col min="6108" max="6360" width="9" style="228"/>
    <col min="6361" max="6361" width="49.625" style="228" customWidth="1"/>
    <col min="6362" max="6363" width="23.625" style="228" customWidth="1"/>
    <col min="6364" max="6616" width="9" style="228"/>
    <col min="6617" max="6617" width="49.625" style="228" customWidth="1"/>
    <col min="6618" max="6619" width="23.625" style="228" customWidth="1"/>
    <col min="6620" max="6872" width="9" style="228"/>
    <col min="6873" max="6873" width="49.625" style="228" customWidth="1"/>
    <col min="6874" max="6875" width="23.625" style="228" customWidth="1"/>
    <col min="6876" max="7128" width="9" style="228"/>
    <col min="7129" max="7129" width="49.625" style="228" customWidth="1"/>
    <col min="7130" max="7131" width="23.625" style="228" customWidth="1"/>
    <col min="7132" max="7384" width="9" style="228"/>
    <col min="7385" max="7385" width="49.625" style="228" customWidth="1"/>
    <col min="7386" max="7387" width="23.625" style="228" customWidth="1"/>
    <col min="7388" max="7640" width="9" style="228"/>
    <col min="7641" max="7641" width="49.625" style="228" customWidth="1"/>
    <col min="7642" max="7643" width="23.625" style="228" customWidth="1"/>
    <col min="7644" max="7896" width="9" style="228"/>
    <col min="7897" max="7897" width="49.625" style="228" customWidth="1"/>
    <col min="7898" max="7899" width="23.625" style="228" customWidth="1"/>
    <col min="7900" max="8152" width="9" style="228"/>
    <col min="8153" max="8153" width="49.625" style="228" customWidth="1"/>
    <col min="8154" max="8155" width="23.625" style="228" customWidth="1"/>
    <col min="8156" max="8408" width="9" style="228"/>
    <col min="8409" max="8409" width="49.625" style="228" customWidth="1"/>
    <col min="8410" max="8411" width="23.625" style="228" customWidth="1"/>
    <col min="8412" max="8664" width="9" style="228"/>
    <col min="8665" max="8665" width="49.625" style="228" customWidth="1"/>
    <col min="8666" max="8667" width="23.625" style="228" customWidth="1"/>
    <col min="8668" max="8920" width="9" style="228"/>
    <col min="8921" max="8921" width="49.625" style="228" customWidth="1"/>
    <col min="8922" max="8923" width="23.625" style="228" customWidth="1"/>
    <col min="8924" max="9176" width="9" style="228"/>
    <col min="9177" max="9177" width="49.625" style="228" customWidth="1"/>
    <col min="9178" max="9179" width="23.625" style="228" customWidth="1"/>
    <col min="9180" max="9432" width="9" style="228"/>
    <col min="9433" max="9433" width="49.625" style="228" customWidth="1"/>
    <col min="9434" max="9435" width="23.625" style="228" customWidth="1"/>
    <col min="9436" max="9688" width="9" style="228"/>
    <col min="9689" max="9689" width="49.625" style="228" customWidth="1"/>
    <col min="9690" max="9691" width="23.625" style="228" customWidth="1"/>
    <col min="9692" max="9944" width="9" style="228"/>
    <col min="9945" max="9945" width="49.625" style="228" customWidth="1"/>
    <col min="9946" max="9947" width="23.625" style="228" customWidth="1"/>
    <col min="9948" max="10200" width="9" style="228"/>
    <col min="10201" max="10201" width="49.625" style="228" customWidth="1"/>
    <col min="10202" max="10203" width="23.625" style="228" customWidth="1"/>
    <col min="10204" max="10456" width="9" style="228"/>
    <col min="10457" max="10457" width="49.625" style="228" customWidth="1"/>
    <col min="10458" max="10459" width="23.625" style="228" customWidth="1"/>
    <col min="10460" max="10712" width="9" style="228"/>
    <col min="10713" max="10713" width="49.625" style="228" customWidth="1"/>
    <col min="10714" max="10715" width="23.625" style="228" customWidth="1"/>
    <col min="10716" max="10968" width="9" style="228"/>
    <col min="10969" max="10969" width="49.625" style="228" customWidth="1"/>
    <col min="10970" max="10971" width="23.625" style="228" customWidth="1"/>
    <col min="10972" max="11224" width="9" style="228"/>
    <col min="11225" max="11225" width="49.625" style="228" customWidth="1"/>
    <col min="11226" max="11227" width="23.625" style="228" customWidth="1"/>
    <col min="11228" max="11480" width="9" style="228"/>
    <col min="11481" max="11481" width="49.625" style="228" customWidth="1"/>
    <col min="11482" max="11483" width="23.625" style="228" customWidth="1"/>
    <col min="11484" max="11736" width="9" style="228"/>
    <col min="11737" max="11737" width="49.625" style="228" customWidth="1"/>
    <col min="11738" max="11739" width="23.625" style="228" customWidth="1"/>
    <col min="11740" max="11992" width="9" style="228"/>
    <col min="11993" max="11993" width="49.625" style="228" customWidth="1"/>
    <col min="11994" max="11995" width="23.625" style="228" customWidth="1"/>
    <col min="11996" max="12248" width="9" style="228"/>
    <col min="12249" max="12249" width="49.625" style="228" customWidth="1"/>
    <col min="12250" max="12251" width="23.625" style="228" customWidth="1"/>
    <col min="12252" max="12504" width="9" style="228"/>
    <col min="12505" max="12505" width="49.625" style="228" customWidth="1"/>
    <col min="12506" max="12507" width="23.625" style="228" customWidth="1"/>
    <col min="12508" max="12760" width="9" style="228"/>
    <col min="12761" max="12761" width="49.625" style="228" customWidth="1"/>
    <col min="12762" max="12763" width="23.625" style="228" customWidth="1"/>
    <col min="12764" max="13016" width="9" style="228"/>
    <col min="13017" max="13017" width="49.625" style="228" customWidth="1"/>
    <col min="13018" max="13019" width="23.625" style="228" customWidth="1"/>
    <col min="13020" max="13272" width="9" style="228"/>
    <col min="13273" max="13273" width="49.625" style="228" customWidth="1"/>
    <col min="13274" max="13275" width="23.625" style="228" customWidth="1"/>
    <col min="13276" max="13528" width="9" style="228"/>
    <col min="13529" max="13529" width="49.625" style="228" customWidth="1"/>
    <col min="13530" max="13531" width="23.625" style="228" customWidth="1"/>
    <col min="13532" max="13784" width="9" style="228"/>
    <col min="13785" max="13785" width="49.625" style="228" customWidth="1"/>
    <col min="13786" max="13787" width="23.625" style="228" customWidth="1"/>
    <col min="13788" max="14040" width="9" style="228"/>
    <col min="14041" max="14041" width="49.625" style="228" customWidth="1"/>
    <col min="14042" max="14043" width="23.625" style="228" customWidth="1"/>
    <col min="14044" max="14296" width="9" style="228"/>
    <col min="14297" max="14297" width="49.625" style="228" customWidth="1"/>
    <col min="14298" max="14299" width="23.625" style="228" customWidth="1"/>
    <col min="14300" max="14552" width="9" style="228"/>
    <col min="14553" max="14553" width="49.625" style="228" customWidth="1"/>
    <col min="14554" max="14555" width="23.625" style="228" customWidth="1"/>
    <col min="14556" max="14808" width="9" style="228"/>
    <col min="14809" max="14809" width="49.625" style="228" customWidth="1"/>
    <col min="14810" max="14811" width="23.625" style="228" customWidth="1"/>
    <col min="14812" max="15064" width="9" style="228"/>
    <col min="15065" max="15065" width="49.625" style="228" customWidth="1"/>
    <col min="15066" max="15067" width="23.625" style="228" customWidth="1"/>
    <col min="15068" max="15320" width="9" style="228"/>
    <col min="15321" max="15321" width="49.625" style="228" customWidth="1"/>
    <col min="15322" max="15323" width="23.625" style="228" customWidth="1"/>
    <col min="15324" max="15576" width="9" style="228"/>
    <col min="15577" max="15577" width="49.625" style="228" customWidth="1"/>
    <col min="15578" max="15579" width="23.625" style="228" customWidth="1"/>
    <col min="15580" max="15832" width="9" style="228"/>
    <col min="15833" max="15833" width="49.625" style="228" customWidth="1"/>
    <col min="15834" max="15835" width="23.625" style="228" customWidth="1"/>
    <col min="15836" max="16088" width="9" style="228"/>
    <col min="16089" max="16089" width="49.625" style="228" customWidth="1"/>
    <col min="16090" max="16091" width="23.625" style="228" customWidth="1"/>
    <col min="16092" max="16384" width="9" style="228"/>
  </cols>
  <sheetData>
    <row r="1" ht="31.35" customHeight="1" spans="1:9">
      <c r="A1" s="527" t="s">
        <v>609</v>
      </c>
      <c r="B1" s="527"/>
      <c r="C1" s="527"/>
      <c r="D1" s="528"/>
    </row>
    <row r="2" ht="24" customHeight="1" spans="1:9">
      <c r="A2" s="529"/>
      <c r="B2" s="530">
        <f>(B5-B8)/B5</f>
        <v>-0.0106381041009931</v>
      </c>
      <c r="C2" s="150" t="s">
        <v>1228</v>
      </c>
      <c r="D2" s="531">
        <f>(B5-B8)/B5</f>
        <v>-0.0106381041009931</v>
      </c>
      <c r="E2" s="531">
        <f>(C5-C8)/C5</f>
        <v>0.207508126107993</v>
      </c>
    </row>
    <row r="3" ht="24" customHeight="1" spans="1:9">
      <c r="A3" s="148" t="s">
        <v>1218</v>
      </c>
      <c r="B3" s="459">
        <f>精铸BS!D3</f>
        <v>45991</v>
      </c>
      <c r="C3" s="150" t="s">
        <v>99</v>
      </c>
      <c r="D3" s="532"/>
    </row>
    <row r="4" ht="24.6" customHeight="1" spans="1:9">
      <c r="A4" s="151" t="s">
        <v>284</v>
      </c>
      <c r="B4" s="152" t="s">
        <v>1229</v>
      </c>
      <c r="C4" s="533" t="s">
        <v>287</v>
      </c>
      <c r="D4" s="534" t="s">
        <v>1230</v>
      </c>
      <c r="E4" s="228" t="s">
        <v>1231</v>
      </c>
      <c r="F4" s="229" t="s">
        <v>1232</v>
      </c>
    </row>
    <row r="5" ht="24.6" customHeight="1" spans="1:9">
      <c r="A5" s="156" t="s">
        <v>612</v>
      </c>
      <c r="B5" s="535">
        <f>C5-E5</f>
        <v>757088.85</v>
      </c>
      <c r="C5" s="535">
        <v>6894779.77</v>
      </c>
      <c r="D5" s="536">
        <v>1700935.41</v>
      </c>
      <c r="E5" s="536">
        <v>6137690.92</v>
      </c>
      <c r="I5" s="526"/>
    </row>
    <row r="6" ht="24.6" customHeight="1" spans="1:9">
      <c r="A6" s="159" t="s">
        <v>1233</v>
      </c>
      <c r="B6" s="537">
        <f t="shared" ref="B6:B21" si="0">C6-E6</f>
        <v>757088.850000001</v>
      </c>
      <c r="C6" s="537">
        <v>6890832.87</v>
      </c>
      <c r="D6" s="536">
        <v>1700174.35</v>
      </c>
      <c r="E6" s="536">
        <v>6133744.02</v>
      </c>
      <c r="I6" s="526"/>
    </row>
    <row r="7" ht="24.6" customHeight="1" spans="1:9">
      <c r="A7" s="538" t="s">
        <v>823</v>
      </c>
      <c r="B7" s="537">
        <f t="shared" si="0"/>
        <v>0</v>
      </c>
      <c r="C7" s="537">
        <v>3946.9</v>
      </c>
      <c r="D7" s="536">
        <v>761.06</v>
      </c>
      <c r="E7" s="536">
        <v>3946.9</v>
      </c>
      <c r="I7" s="526"/>
    </row>
    <row r="8" ht="24.6" customHeight="1" spans="1:9">
      <c r="A8" s="159" t="s">
        <v>613</v>
      </c>
      <c r="B8" s="539">
        <f t="shared" si="0"/>
        <v>765142.840000001</v>
      </c>
      <c r="C8" s="539">
        <v>5464056.94</v>
      </c>
      <c r="D8" s="536">
        <v>1499125.5</v>
      </c>
      <c r="E8" s="536">
        <v>4698914.1</v>
      </c>
      <c r="I8" s="526"/>
    </row>
    <row r="9" ht="24.6" customHeight="1" spans="1:9">
      <c r="A9" s="538" t="s">
        <v>1234</v>
      </c>
      <c r="B9" s="537">
        <f t="shared" si="0"/>
        <v>765142.840000001</v>
      </c>
      <c r="C9" s="537">
        <v>5464056.94</v>
      </c>
      <c r="D9" s="536">
        <v>1499125.5</v>
      </c>
      <c r="E9" s="536">
        <v>4698914.1</v>
      </c>
      <c r="I9" s="526"/>
    </row>
    <row r="10" ht="24.6" customHeight="1" spans="1:9">
      <c r="A10" s="538" t="s">
        <v>824</v>
      </c>
      <c r="B10" s="537">
        <f t="shared" si="0"/>
        <v>0</v>
      </c>
      <c r="C10" s="537"/>
      <c r="D10" s="540">
        <v>0</v>
      </c>
      <c r="E10" s="536"/>
      <c r="I10" s="526"/>
    </row>
    <row r="11" ht="24.6" customHeight="1" spans="1:9">
      <c r="A11" s="159" t="s">
        <v>1235</v>
      </c>
      <c r="B11" s="537">
        <f t="shared" si="0"/>
        <v>4572.03</v>
      </c>
      <c r="C11" s="537">
        <v>27595.05</v>
      </c>
      <c r="D11" s="536">
        <v>7923.16</v>
      </c>
      <c r="E11" s="536">
        <v>23023.02</v>
      </c>
      <c r="I11" s="526"/>
    </row>
    <row r="12" ht="24.6" customHeight="1" spans="1:9">
      <c r="A12" s="159" t="s">
        <v>826</v>
      </c>
      <c r="B12" s="537">
        <f t="shared" si="0"/>
        <v>48065.29</v>
      </c>
      <c r="C12" s="537">
        <v>533425.91</v>
      </c>
      <c r="D12" s="541">
        <v>20221.47</v>
      </c>
      <c r="E12" s="536">
        <v>485360.62</v>
      </c>
      <c r="I12" s="526"/>
    </row>
    <row r="13" ht="24.6" customHeight="1" spans="1:9">
      <c r="A13" s="159" t="s">
        <v>825</v>
      </c>
      <c r="B13" s="537">
        <f t="shared" si="0"/>
        <v>66954.09</v>
      </c>
      <c r="C13" s="537">
        <v>635654.87</v>
      </c>
      <c r="D13" s="536">
        <v>86888.61</v>
      </c>
      <c r="E13" s="536">
        <v>568700.78</v>
      </c>
      <c r="I13" s="526"/>
    </row>
    <row r="14" ht="24.6" customHeight="1" spans="1:9">
      <c r="A14" s="159" t="s">
        <v>827</v>
      </c>
      <c r="B14" s="537">
        <f t="shared" si="0"/>
        <v>23475.8099999999</v>
      </c>
      <c r="C14" s="537">
        <v>652802.07</v>
      </c>
      <c r="D14" s="536">
        <v>-2929.84999999998</v>
      </c>
      <c r="E14" s="536">
        <v>629326.26</v>
      </c>
      <c r="I14" s="526"/>
    </row>
    <row r="15" ht="24.6" customHeight="1" spans="1:9">
      <c r="A15" s="159" t="s">
        <v>828</v>
      </c>
      <c r="B15" s="542">
        <f t="shared" si="0"/>
        <v>20294.88</v>
      </c>
      <c r="C15" s="542">
        <v>175284.93</v>
      </c>
      <c r="D15" s="536">
        <v>18562.28</v>
      </c>
      <c r="E15" s="536">
        <v>154990.05</v>
      </c>
      <c r="I15" s="526"/>
    </row>
    <row r="16" ht="24.6" customHeight="1" spans="1:9">
      <c r="A16" s="159" t="s">
        <v>788</v>
      </c>
      <c r="B16" s="543">
        <f t="shared" si="0"/>
        <v>0</v>
      </c>
      <c r="C16" s="543"/>
      <c r="D16" s="536">
        <v>0</v>
      </c>
      <c r="E16" s="536"/>
      <c r="I16" s="526"/>
    </row>
    <row r="17" ht="24.6" customHeight="1" spans="1:9">
      <c r="A17" s="159" t="s">
        <v>1236</v>
      </c>
      <c r="B17" s="544">
        <f t="shared" si="0"/>
        <v>0</v>
      </c>
      <c r="C17" s="543">
        <v>45991.45</v>
      </c>
      <c r="D17" s="536">
        <v>0</v>
      </c>
      <c r="E17" s="536">
        <v>45991.45</v>
      </c>
      <c r="I17" s="526"/>
    </row>
    <row r="18" spans="1:9">
      <c r="A18" s="159" t="s">
        <v>1237</v>
      </c>
      <c r="B18" s="545">
        <f t="shared" si="0"/>
        <v>0</v>
      </c>
      <c r="C18" s="545"/>
      <c r="D18" s="536">
        <v>0</v>
      </c>
      <c r="E18" s="536"/>
      <c r="I18" s="526"/>
    </row>
    <row r="19" spans="1:9">
      <c r="A19" s="159" t="s">
        <v>1238</v>
      </c>
      <c r="B19" s="544">
        <f t="shared" si="0"/>
        <v>0</v>
      </c>
      <c r="C19" s="544"/>
      <c r="D19" s="536">
        <v>0</v>
      </c>
      <c r="E19" s="536"/>
      <c r="I19" s="526"/>
    </row>
    <row r="20" spans="1:9">
      <c r="A20" s="159" t="s">
        <v>1239</v>
      </c>
      <c r="B20" s="544">
        <f t="shared" si="0"/>
        <v>0</v>
      </c>
      <c r="C20" s="544"/>
      <c r="D20" s="536">
        <v>0</v>
      </c>
      <c r="E20" s="536"/>
      <c r="I20" s="526"/>
    </row>
    <row r="21" spans="1:9">
      <c r="A21" s="159" t="s">
        <v>793</v>
      </c>
      <c r="B21" s="546">
        <f t="shared" si="0"/>
        <v>175000</v>
      </c>
      <c r="C21" s="546">
        <v>559647.46</v>
      </c>
      <c r="D21" s="541">
        <v>0</v>
      </c>
      <c r="E21" s="536">
        <v>384647.46</v>
      </c>
      <c r="I21" s="526"/>
    </row>
    <row r="22" ht="15" spans="1:9">
      <c r="A22" s="156" t="s">
        <v>1240</v>
      </c>
      <c r="B22" s="547">
        <f>B5-B8-B11-B12-B13-B14-B15+B21+B17</f>
        <v>3583.90999999884</v>
      </c>
      <c r="C22" s="547">
        <f>C5-C8-C11-C12-C13-C14-C15+C21+C17</f>
        <v>11598.909999999</v>
      </c>
      <c r="D22" s="536">
        <v>71144.2400000006</v>
      </c>
      <c r="E22" s="536">
        <v>8015.00000000028</v>
      </c>
      <c r="I22" s="526"/>
    </row>
    <row r="23" spans="1:9">
      <c r="A23" s="159" t="s">
        <v>632</v>
      </c>
      <c r="B23" s="545">
        <f>C23-E23</f>
        <v>0</v>
      </c>
      <c r="C23" s="545">
        <v>3.03</v>
      </c>
      <c r="D23" s="536">
        <v>0</v>
      </c>
      <c r="E23" s="536">
        <v>3.03</v>
      </c>
      <c r="I23" s="526"/>
    </row>
    <row r="24" spans="1:9">
      <c r="A24" s="159" t="s">
        <v>633</v>
      </c>
      <c r="B24" s="545">
        <f>C24-E24</f>
        <v>592.32</v>
      </c>
      <c r="C24" s="537">
        <v>3130.45</v>
      </c>
      <c r="D24" s="536">
        <v>0</v>
      </c>
      <c r="E24" s="536">
        <v>2538.13</v>
      </c>
      <c r="I24" s="526"/>
    </row>
    <row r="25" spans="1:9">
      <c r="A25" s="159" t="s">
        <v>1241</v>
      </c>
      <c r="B25" s="537"/>
      <c r="C25" s="537"/>
      <c r="D25" s="536"/>
      <c r="E25" s="536"/>
      <c r="I25" s="526"/>
    </row>
    <row r="26" ht="15" spans="1:9">
      <c r="A26" s="156" t="s">
        <v>1242</v>
      </c>
      <c r="B26" s="547">
        <f>B22+B23-B24</f>
        <v>2991.58999999884</v>
      </c>
      <c r="C26" s="547">
        <f>C22+C23-C24</f>
        <v>8471.48999999903</v>
      </c>
      <c r="D26" s="536">
        <v>71144.2400000006</v>
      </c>
      <c r="E26" s="536">
        <v>5479.90000000028</v>
      </c>
      <c r="I26" s="526"/>
    </row>
    <row r="27" spans="1:9">
      <c r="A27" s="159" t="s">
        <v>635</v>
      </c>
      <c r="B27" s="548"/>
      <c r="C27" s="548"/>
      <c r="D27" s="536"/>
      <c r="E27" s="536"/>
      <c r="I27" s="526"/>
    </row>
    <row r="28" ht="15" spans="1:9">
      <c r="A28" s="156" t="s">
        <v>1243</v>
      </c>
      <c r="B28" s="547">
        <f>B26-B27</f>
        <v>2991.58999999884</v>
      </c>
      <c r="C28" s="547">
        <f>C26-C27</f>
        <v>8471.48999999903</v>
      </c>
      <c r="D28" s="536">
        <v>71144.2400000006</v>
      </c>
      <c r="E28" s="536">
        <v>5479.90000000028</v>
      </c>
      <c r="I28" s="526"/>
    </row>
    <row r="29" spans="1:9">
      <c r="A29" s="159" t="s">
        <v>1244</v>
      </c>
      <c r="B29" s="548"/>
      <c r="C29" s="537"/>
      <c r="D29" s="549"/>
      <c r="I29" s="526"/>
    </row>
    <row r="30" spans="1:9">
      <c r="A30" s="159" t="s">
        <v>1245</v>
      </c>
      <c r="B30" s="548"/>
      <c r="C30" s="537"/>
      <c r="D30" s="549"/>
      <c r="I30" s="526"/>
    </row>
    <row r="31" spans="1:9">
      <c r="A31" s="159" t="s">
        <v>1246</v>
      </c>
      <c r="B31" s="550"/>
      <c r="C31" s="551"/>
      <c r="D31" s="552"/>
      <c r="I31" s="526"/>
    </row>
    <row r="32" spans="1:9">
      <c r="I32" s="526"/>
    </row>
    <row r="33" spans="9:9">
      <c r="I33" s="526"/>
    </row>
  </sheetData>
  <mergeCells count="1">
    <mergeCell ref="A1:C1"/>
  </mergeCell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92D050"/>
    <pageSetUpPr fitToPage="1"/>
  </sheetPr>
  <dimension ref="A1:K99"/>
  <sheetViews>
    <sheetView view="pageBreakPreview" zoomScaleNormal="55" workbookViewId="0">
      <pane ySplit="3" topLeftCell="A43" activePane="bottomLeft" state="frozen"/>
      <selection/>
      <selection pane="bottomLeft" activeCell="F5" sqref="F5"/>
    </sheetView>
  </sheetViews>
  <sheetFormatPr defaultColWidth="8.25" defaultRowHeight="12.75"/>
  <cols>
    <col min="1" max="1" width="20.5333333333333" style="516" customWidth="1"/>
    <col min="2" max="3" width="13.8333333333333" style="516" customWidth="1"/>
    <col min="4" max="4" width="27.4916666666667" style="516" customWidth="1"/>
    <col min="5" max="6" width="13.2166666666667" style="516" customWidth="1"/>
    <col min="7" max="7" width="13.5" style="516" customWidth="1"/>
    <col min="8" max="8" width="10.3166666666667" style="516" customWidth="1"/>
    <col min="9" max="9" width="11.8" style="516" customWidth="1"/>
    <col min="10" max="11" width="10.2" style="516"/>
    <col min="12" max="16384" width="8.25" style="516"/>
  </cols>
  <sheetData>
    <row r="1" s="516" customFormat="1" ht="27" customHeight="1" spans="1:10">
      <c r="A1" s="107" t="s">
        <v>1247</v>
      </c>
      <c r="B1" s="107"/>
      <c r="C1" s="107"/>
      <c r="D1" s="107"/>
      <c r="E1" s="107"/>
      <c r="F1" s="107"/>
    </row>
    <row r="2" s="516" customFormat="1" ht="13" customHeight="1" spans="1:10">
      <c r="A2" s="387" t="s">
        <v>1248</v>
      </c>
      <c r="B2" s="110"/>
      <c r="C2" s="386" t="s">
        <v>195</v>
      </c>
      <c r="D2" s="111">
        <f>精铸BS新!D3</f>
        <v>45991</v>
      </c>
      <c r="E2" s="386" t="s">
        <v>1249</v>
      </c>
      <c r="F2" s="387" t="s">
        <v>197</v>
      </c>
    </row>
    <row r="3" s="516" customFormat="1" ht="13" customHeight="1" spans="1:10">
      <c r="A3" s="112" t="s">
        <v>100</v>
      </c>
      <c r="B3" s="112" t="s">
        <v>101</v>
      </c>
      <c r="C3" s="112" t="s">
        <v>102</v>
      </c>
      <c r="D3" s="112" t="s">
        <v>198</v>
      </c>
      <c r="E3" s="112" t="s">
        <v>101</v>
      </c>
      <c r="F3" s="112" t="s">
        <v>102</v>
      </c>
    </row>
    <row r="4" s="516" customFormat="1" ht="13" customHeight="1" spans="1:10">
      <c r="A4" s="114" t="s">
        <v>104</v>
      </c>
      <c r="B4" s="115"/>
      <c r="C4" s="115"/>
      <c r="D4" s="114" t="s">
        <v>105</v>
      </c>
      <c r="E4" s="115"/>
      <c r="F4" s="115"/>
    </row>
    <row r="5" s="516" customFormat="1" ht="13" customHeight="1" spans="1:10">
      <c r="A5" s="117" t="s">
        <v>199</v>
      </c>
      <c r="B5" s="115">
        <v>21849511.98</v>
      </c>
      <c r="C5" s="115">
        <v>11647741.71</v>
      </c>
      <c r="D5" s="117" t="s">
        <v>200</v>
      </c>
      <c r="E5" s="115">
        <v>25025055.55</v>
      </c>
      <c r="F5" s="115">
        <v>28000000</v>
      </c>
      <c r="I5" s="393"/>
    </row>
    <row r="6" s="516" customFormat="1" ht="13" customHeight="1" spans="1:10">
      <c r="A6" s="117" t="s">
        <v>201</v>
      </c>
      <c r="B6" s="115">
        <v>21849511.98</v>
      </c>
      <c r="C6" s="115">
        <v>11482196.71</v>
      </c>
      <c r="D6" s="117" t="s">
        <v>202</v>
      </c>
      <c r="E6" s="115"/>
      <c r="F6" s="115"/>
      <c r="I6" s="393"/>
    </row>
    <row r="7" s="516" customFormat="1" ht="13" customHeight="1" spans="1:10">
      <c r="A7" s="117" t="s">
        <v>203</v>
      </c>
      <c r="B7" s="115"/>
      <c r="C7" s="115">
        <v>165545</v>
      </c>
      <c r="D7" s="117" t="s">
        <v>204</v>
      </c>
      <c r="E7" s="115"/>
      <c r="F7" s="115"/>
      <c r="I7" s="393"/>
    </row>
    <row r="8" s="516" customFormat="1" ht="13" customHeight="1" spans="1:10">
      <c r="A8" s="117" t="s">
        <v>205</v>
      </c>
      <c r="B8" s="115"/>
      <c r="C8" s="115"/>
      <c r="D8" s="117" t="s">
        <v>206</v>
      </c>
      <c r="E8" s="517">
        <v>64591204.2</v>
      </c>
      <c r="F8" s="115">
        <v>112022264.05</v>
      </c>
      <c r="I8" s="393" t="s">
        <v>491</v>
      </c>
    </row>
    <row r="9" s="516" customFormat="1" ht="13" customHeight="1" spans="1:10">
      <c r="A9" s="117" t="s">
        <v>207</v>
      </c>
      <c r="B9" s="115">
        <v>21153459.23</v>
      </c>
      <c r="C9" s="115">
        <v>3771405.59</v>
      </c>
      <c r="D9" s="117" t="s">
        <v>208</v>
      </c>
      <c r="E9" s="517"/>
      <c r="F9" s="115">
        <v>336613.72</v>
      </c>
      <c r="I9" s="393"/>
    </row>
    <row r="10" s="516" customFormat="1" ht="13" customHeight="1" spans="1:10">
      <c r="A10" s="117" t="s">
        <v>209</v>
      </c>
      <c r="B10" s="115">
        <v>86885006.87</v>
      </c>
      <c r="C10" s="115">
        <v>130096004.75</v>
      </c>
      <c r="D10" s="117" t="s">
        <v>210</v>
      </c>
      <c r="E10" s="138">
        <v>4500871.13</v>
      </c>
      <c r="F10" s="115">
        <v>3872910.75</v>
      </c>
      <c r="G10" s="518"/>
      <c r="I10" s="393" t="s">
        <v>491</v>
      </c>
      <c r="J10" s="519" t="s">
        <v>491</v>
      </c>
    </row>
    <row r="11" s="516" customFormat="1" ht="13" customHeight="1" spans="1:10">
      <c r="A11" s="117" t="s">
        <v>211</v>
      </c>
      <c r="B11" s="115">
        <v>361186.66</v>
      </c>
      <c r="C11" s="115"/>
      <c r="D11" s="117" t="s">
        <v>212</v>
      </c>
      <c r="E11" s="115">
        <v>4508996.35</v>
      </c>
      <c r="F11" s="115">
        <v>1665876.2</v>
      </c>
      <c r="G11" s="519"/>
      <c r="I11" s="393"/>
      <c r="J11" s="519"/>
    </row>
    <row r="12" s="516" customFormat="1" ht="13" customHeight="1" spans="1:10">
      <c r="A12" s="117" t="s">
        <v>213</v>
      </c>
      <c r="B12" s="115"/>
      <c r="C12" s="115">
        <v>2983761.24</v>
      </c>
      <c r="D12" s="117" t="s">
        <v>214</v>
      </c>
      <c r="E12" s="115">
        <v>1575055.45</v>
      </c>
      <c r="F12" s="115">
        <v>625110.89</v>
      </c>
      <c r="G12" s="520"/>
      <c r="I12" s="393"/>
    </row>
    <row r="13" s="516" customFormat="1" ht="13" customHeight="1" spans="1:10">
      <c r="A13" s="117" t="s">
        <v>215</v>
      </c>
      <c r="B13" s="115"/>
      <c r="C13" s="115"/>
      <c r="D13" s="117" t="s">
        <v>216</v>
      </c>
      <c r="E13" s="115"/>
      <c r="F13" s="115">
        <v>23722.23</v>
      </c>
      <c r="I13" s="393"/>
    </row>
    <row r="14" s="516" customFormat="1" ht="13" customHeight="1" spans="1:10">
      <c r="A14" s="117" t="s">
        <v>217</v>
      </c>
      <c r="B14" s="115"/>
      <c r="C14" s="115"/>
      <c r="D14" s="117" t="s">
        <v>218</v>
      </c>
      <c r="E14" s="115"/>
      <c r="F14" s="115"/>
      <c r="I14" s="393"/>
    </row>
    <row r="15" s="516" customFormat="1" ht="13" customHeight="1" spans="1:10">
      <c r="A15" s="117" t="s">
        <v>219</v>
      </c>
      <c r="B15" s="115">
        <v>698113.73</v>
      </c>
      <c r="C15" s="115">
        <v>242421.69</v>
      </c>
      <c r="D15" s="117" t="s">
        <v>220</v>
      </c>
      <c r="E15" s="115">
        <v>312546.75</v>
      </c>
      <c r="F15" s="115">
        <v>264881.03</v>
      </c>
      <c r="I15" s="393"/>
    </row>
    <row r="16" s="516" customFormat="1" ht="13" customHeight="1" spans="1:10">
      <c r="A16" s="117" t="s">
        <v>221</v>
      </c>
      <c r="B16" s="115">
        <v>63736524.99</v>
      </c>
      <c r="C16" s="115">
        <v>82156040.98</v>
      </c>
      <c r="D16" s="117" t="s">
        <v>222</v>
      </c>
      <c r="E16" s="115"/>
      <c r="F16" s="115"/>
      <c r="I16" s="393"/>
    </row>
    <row r="17" s="516" customFormat="1" ht="13" customHeight="1" spans="1:11">
      <c r="A17" s="117" t="s">
        <v>223</v>
      </c>
      <c r="B17" s="115">
        <v>25842151.7</v>
      </c>
      <c r="C17" s="115">
        <v>27614157.91</v>
      </c>
      <c r="D17" s="117" t="s">
        <v>224</v>
      </c>
      <c r="E17" s="115">
        <v>17205199.05</v>
      </c>
      <c r="F17" s="115">
        <v>2231181.86</v>
      </c>
      <c r="I17" s="393"/>
    </row>
    <row r="18" s="516" customFormat="1" ht="13" customHeight="1" spans="1:11">
      <c r="A18" s="117" t="s">
        <v>225</v>
      </c>
      <c r="B18" s="521">
        <v>6351063.96</v>
      </c>
      <c r="C18" s="521">
        <v>12130646.55</v>
      </c>
      <c r="D18" s="117"/>
      <c r="E18" s="115"/>
      <c r="F18" s="115"/>
      <c r="H18" s="121">
        <f>(C18-B18)/0.75/10000</f>
        <v>770.611012</v>
      </c>
      <c r="I18" s="122" t="s">
        <v>133</v>
      </c>
    </row>
    <row r="19" s="516" customFormat="1" ht="13" customHeight="1" spans="1:11">
      <c r="A19" s="117" t="s">
        <v>226</v>
      </c>
      <c r="B19" s="115">
        <v>30666099.33</v>
      </c>
      <c r="C19" s="115">
        <v>41617999.51</v>
      </c>
      <c r="D19" s="117"/>
      <c r="E19" s="115"/>
      <c r="F19" s="115"/>
      <c r="G19" s="519"/>
      <c r="H19" s="121">
        <f>((C19-B19)/0.75+新材料PL新!D5)/10000</f>
        <v>11993.6084383333</v>
      </c>
      <c r="I19" s="122" t="s">
        <v>135</v>
      </c>
      <c r="K19" s="522"/>
    </row>
    <row r="20" s="516" customFormat="1" ht="13" customHeight="1" spans="1:11">
      <c r="A20" s="117" t="s">
        <v>227</v>
      </c>
      <c r="B20" s="115">
        <v>877210</v>
      </c>
      <c r="C20" s="115">
        <v>793237.01</v>
      </c>
      <c r="D20" s="117"/>
      <c r="E20" s="115"/>
      <c r="F20" s="115"/>
      <c r="G20" s="519"/>
      <c r="H20" s="121">
        <f>H18+H19</f>
        <v>12764.2194503333</v>
      </c>
      <c r="I20" s="122" t="s">
        <v>137</v>
      </c>
      <c r="K20" s="522"/>
    </row>
    <row r="21" s="516" customFormat="1" ht="13" customHeight="1" spans="1:11">
      <c r="A21" s="117" t="s">
        <v>228</v>
      </c>
      <c r="B21" s="115">
        <v>117873.86</v>
      </c>
      <c r="C21" s="115">
        <v>526300.76</v>
      </c>
      <c r="D21" s="117" t="s">
        <v>229</v>
      </c>
      <c r="E21" s="115">
        <v>117718928.48</v>
      </c>
      <c r="F21" s="115">
        <v>149042560.73</v>
      </c>
      <c r="G21" s="523"/>
      <c r="H21" s="121">
        <f>H18/1.13+H19</f>
        <v>12675.5650861209</v>
      </c>
      <c r="I21" s="122" t="s">
        <v>145</v>
      </c>
    </row>
    <row r="22" s="516" customFormat="1" ht="13" customHeight="1" spans="1:11">
      <c r="A22" s="117" t="s">
        <v>230</v>
      </c>
      <c r="B22" s="115">
        <v>2932993.39</v>
      </c>
      <c r="C22" s="115">
        <v>1426653.04</v>
      </c>
      <c r="D22" s="114" t="s">
        <v>144</v>
      </c>
      <c r="E22" s="115"/>
      <c r="F22" s="115"/>
      <c r="I22" s="393"/>
    </row>
    <row r="23" s="516" customFormat="1" ht="13" customHeight="1" spans="1:11">
      <c r="A23" s="117" t="s">
        <v>232</v>
      </c>
      <c r="B23" s="115"/>
      <c r="C23" s="115"/>
      <c r="D23" s="117" t="s">
        <v>233</v>
      </c>
      <c r="E23" s="115"/>
      <c r="F23" s="115"/>
      <c r="I23" s="393"/>
    </row>
    <row r="24" s="516" customFormat="1" ht="13" customHeight="1" spans="1:11">
      <c r="A24" s="117" t="s">
        <v>234</v>
      </c>
      <c r="B24" s="115"/>
      <c r="C24" s="115"/>
      <c r="D24" s="117" t="s">
        <v>235</v>
      </c>
      <c r="E24" s="115"/>
      <c r="F24" s="115"/>
      <c r="I24" s="393"/>
    </row>
    <row r="25" s="516" customFormat="1" ht="13" customHeight="1" spans="1:11">
      <c r="A25" s="114" t="s">
        <v>236</v>
      </c>
      <c r="B25" s="115">
        <v>197734670.71</v>
      </c>
      <c r="C25" s="115">
        <v>232850329.76</v>
      </c>
      <c r="D25" s="117" t="s">
        <v>237</v>
      </c>
      <c r="E25" s="115"/>
      <c r="F25" s="115"/>
      <c r="I25" s="393"/>
    </row>
    <row r="26" s="516" customFormat="1" ht="13" customHeight="1" spans="1:11">
      <c r="A26" s="117"/>
      <c r="B26" s="115"/>
      <c r="C26" s="115"/>
      <c r="D26" s="117" t="s">
        <v>238</v>
      </c>
      <c r="E26" s="115"/>
      <c r="F26" s="115"/>
      <c r="I26" s="393"/>
    </row>
    <row r="27" s="516" customFormat="1" ht="13" customHeight="1" spans="1:11">
      <c r="A27" s="117"/>
      <c r="B27" s="115"/>
      <c r="C27" s="115"/>
      <c r="D27" s="117" t="s">
        <v>239</v>
      </c>
      <c r="E27" s="115"/>
      <c r="F27" s="115"/>
      <c r="I27" s="393"/>
    </row>
    <row r="28" s="516" customFormat="1" ht="13" customHeight="1" spans="1:11">
      <c r="A28" s="117"/>
      <c r="B28" s="115"/>
      <c r="C28" s="115"/>
      <c r="D28" s="117" t="s">
        <v>240</v>
      </c>
      <c r="E28" s="115"/>
      <c r="F28" s="115">
        <v>350000</v>
      </c>
      <c r="I28" s="393"/>
    </row>
    <row r="29" s="516" customFormat="1" ht="13" customHeight="1" spans="1:11">
      <c r="A29" s="117" t="s">
        <v>146</v>
      </c>
      <c r="B29" s="115"/>
      <c r="C29" s="115"/>
      <c r="D29" s="117" t="s">
        <v>241</v>
      </c>
      <c r="E29" s="115"/>
      <c r="F29" s="115"/>
      <c r="I29" s="393"/>
    </row>
    <row r="30" s="516" customFormat="1" ht="13" customHeight="1" spans="1:11">
      <c r="A30" s="117" t="s">
        <v>242</v>
      </c>
      <c r="B30" s="115"/>
      <c r="C30" s="115"/>
      <c r="D30" s="117" t="s">
        <v>243</v>
      </c>
      <c r="E30" s="115"/>
      <c r="F30" s="115"/>
      <c r="I30" s="393"/>
    </row>
    <row r="31" s="516" customFormat="1" ht="13" customHeight="1" spans="1:11">
      <c r="A31" s="117" t="s">
        <v>244</v>
      </c>
      <c r="B31" s="115"/>
      <c r="C31" s="115"/>
      <c r="D31" s="117" t="s">
        <v>245</v>
      </c>
      <c r="E31" s="115"/>
      <c r="F31" s="115">
        <v>350000</v>
      </c>
      <c r="I31" s="393"/>
    </row>
    <row r="32" s="516" customFormat="1" ht="13" customHeight="1" spans="1:11">
      <c r="A32" s="117" t="s">
        <v>246</v>
      </c>
      <c r="B32" s="115"/>
      <c r="C32" s="115"/>
      <c r="D32" s="117" t="s">
        <v>247</v>
      </c>
      <c r="E32" s="115">
        <v>117718928.48</v>
      </c>
      <c r="F32" s="115">
        <v>149392560.73</v>
      </c>
      <c r="I32" s="393"/>
    </row>
    <row r="33" s="516" customFormat="1" ht="13" customHeight="1" spans="1:9">
      <c r="A33" s="117" t="s">
        <v>248</v>
      </c>
      <c r="B33" s="115"/>
      <c r="C33" s="115"/>
      <c r="D33" s="114"/>
      <c r="E33" s="115"/>
      <c r="F33" s="115"/>
      <c r="I33" s="393"/>
    </row>
    <row r="34" s="516" customFormat="1" ht="13" customHeight="1" spans="1:9">
      <c r="A34" s="117" t="s">
        <v>249</v>
      </c>
      <c r="B34" s="115"/>
      <c r="C34" s="115"/>
      <c r="D34" s="117"/>
      <c r="E34" s="115"/>
      <c r="F34" s="115"/>
      <c r="I34" s="393"/>
    </row>
    <row r="35" s="516" customFormat="1" ht="13" customHeight="1" spans="1:9">
      <c r="A35" s="117" t="s">
        <v>250</v>
      </c>
      <c r="B35" s="115"/>
      <c r="C35" s="115"/>
      <c r="D35" s="117" t="s">
        <v>169</v>
      </c>
      <c r="E35" s="115"/>
      <c r="F35" s="115"/>
      <c r="I35" s="393"/>
    </row>
    <row r="36" s="516" customFormat="1" ht="13" customHeight="1" spans="1:9">
      <c r="A36" s="117" t="s">
        <v>251</v>
      </c>
      <c r="B36" s="115">
        <v>189788473.5</v>
      </c>
      <c r="C36" s="521">
        <v>195516076.06</v>
      </c>
      <c r="D36" s="117" t="s">
        <v>252</v>
      </c>
      <c r="E36" s="115">
        <v>235000000</v>
      </c>
      <c r="F36" s="115">
        <v>235000000</v>
      </c>
      <c r="I36" s="393"/>
    </row>
    <row r="37" s="516" customFormat="1" ht="13" customHeight="1" spans="1:9">
      <c r="A37" s="117" t="s">
        <v>253</v>
      </c>
      <c r="B37" s="115">
        <v>54713218.28</v>
      </c>
      <c r="C37" s="115">
        <v>72041900.18</v>
      </c>
      <c r="D37" s="117" t="s">
        <v>254</v>
      </c>
      <c r="E37" s="115"/>
      <c r="F37" s="115"/>
      <c r="I37" s="393"/>
    </row>
    <row r="38" s="516" customFormat="1" ht="13" customHeight="1" spans="1:9">
      <c r="A38" s="117" t="s">
        <v>255</v>
      </c>
      <c r="B38" s="115">
        <v>135075255.22</v>
      </c>
      <c r="C38" s="521">
        <v>123474175.88</v>
      </c>
      <c r="D38" s="117" t="s">
        <v>256</v>
      </c>
      <c r="E38" s="115"/>
      <c r="F38" s="115"/>
      <c r="I38" s="393"/>
    </row>
    <row r="39" s="516" customFormat="1" ht="13" customHeight="1" spans="1:9">
      <c r="A39" s="117" t="s">
        <v>257</v>
      </c>
      <c r="B39" s="115">
        <v>8203362.59</v>
      </c>
      <c r="C39" s="115">
        <v>11228638.4</v>
      </c>
      <c r="D39" s="117" t="s">
        <v>258</v>
      </c>
      <c r="E39" s="115"/>
      <c r="F39" s="115"/>
      <c r="I39" s="393"/>
    </row>
    <row r="40" s="516" customFormat="1" ht="13" customHeight="1" spans="1:9">
      <c r="A40" s="117" t="s">
        <v>259</v>
      </c>
      <c r="B40" s="115"/>
      <c r="C40" s="115"/>
      <c r="D40" s="117" t="s">
        <v>260</v>
      </c>
      <c r="E40" s="115">
        <v>-9911248.13</v>
      </c>
      <c r="F40" s="115">
        <v>-14912251.58</v>
      </c>
      <c r="G40" s="522">
        <f>F40-E40-新材料PL新!D32</f>
        <v>0</v>
      </c>
      <c r="I40" s="393"/>
    </row>
    <row r="41" s="516" customFormat="1" ht="13" customHeight="1" spans="1:9">
      <c r="A41" s="117" t="s">
        <v>261</v>
      </c>
      <c r="B41" s="115"/>
      <c r="C41" s="115"/>
      <c r="D41" s="117" t="s">
        <v>266</v>
      </c>
      <c r="E41" s="115">
        <v>225088751.87</v>
      </c>
      <c r="F41" s="115">
        <v>220087748.42</v>
      </c>
      <c r="I41" s="393"/>
    </row>
    <row r="42" s="516" customFormat="1" ht="13" customHeight="1" spans="1:9">
      <c r="A42" s="117" t="s">
        <v>263</v>
      </c>
      <c r="B42" s="115"/>
      <c r="C42" s="115"/>
      <c r="D42" s="117"/>
      <c r="E42" s="115"/>
      <c r="F42" s="115"/>
      <c r="I42" s="393"/>
    </row>
    <row r="43" s="516" customFormat="1" ht="13" customHeight="1" spans="1:9">
      <c r="A43" s="117" t="s">
        <v>265</v>
      </c>
      <c r="B43" s="115">
        <v>1139469.23</v>
      </c>
      <c r="C43" s="115">
        <v>1410354.02</v>
      </c>
      <c r="D43" s="117"/>
      <c r="E43" s="115"/>
      <c r="F43" s="115"/>
      <c r="I43" s="393"/>
    </row>
    <row r="44" s="516" customFormat="1" ht="13" customHeight="1" spans="1:9">
      <c r="A44" s="117" t="s">
        <v>267</v>
      </c>
      <c r="B44" s="115"/>
      <c r="C44" s="115"/>
      <c r="D44" s="117"/>
      <c r="E44" s="115"/>
      <c r="F44" s="115"/>
      <c r="I44" s="393"/>
    </row>
    <row r="45" s="516" customFormat="1" ht="13" customHeight="1" spans="1:9">
      <c r="A45" s="117" t="s">
        <v>268</v>
      </c>
      <c r="B45" s="115"/>
      <c r="C45" s="115"/>
      <c r="D45" s="117"/>
      <c r="E45" s="115"/>
      <c r="F45" s="115"/>
      <c r="I45" s="393"/>
    </row>
    <row r="46" s="516" customFormat="1" ht="13" customHeight="1" spans="1:9">
      <c r="A46" s="117" t="s">
        <v>269</v>
      </c>
      <c r="B46" s="115">
        <v>654922.6</v>
      </c>
      <c r="C46" s="115">
        <v>516811.09</v>
      </c>
      <c r="D46" s="117"/>
      <c r="E46" s="115"/>
      <c r="F46" s="115"/>
      <c r="I46" s="393"/>
    </row>
    <row r="47" spans="1:9">
      <c r="A47" s="136" t="s">
        <v>270</v>
      </c>
      <c r="B47" s="137"/>
      <c r="C47" s="137"/>
      <c r="D47" s="138"/>
      <c r="E47" s="137"/>
      <c r="F47" s="137"/>
    </row>
    <row r="48" spans="1:9">
      <c r="A48" s="136" t="s">
        <v>271</v>
      </c>
      <c r="B48" s="137"/>
      <c r="C48" s="137"/>
      <c r="D48" s="136"/>
      <c r="E48" s="137"/>
      <c r="F48" s="137"/>
    </row>
    <row r="49" spans="1:7">
      <c r="A49" s="136" t="s">
        <v>272</v>
      </c>
      <c r="B49" s="137">
        <v>145073009.64</v>
      </c>
      <c r="C49" s="137">
        <v>136629979.39</v>
      </c>
      <c r="D49" s="136"/>
      <c r="E49" s="137"/>
      <c r="F49" s="137"/>
    </row>
    <row r="50" spans="1:7">
      <c r="A50" s="136" t="s">
        <v>273</v>
      </c>
      <c r="B50" s="137">
        <v>342807680.35</v>
      </c>
      <c r="C50" s="137">
        <v>369480309.15</v>
      </c>
      <c r="D50" s="136" t="s">
        <v>274</v>
      </c>
      <c r="E50" s="137">
        <v>342807680.35</v>
      </c>
      <c r="F50" s="137">
        <v>369480309.15</v>
      </c>
      <c r="G50" s="524">
        <f>F32/F50</f>
        <v>0.404331589614835</v>
      </c>
    </row>
    <row r="51" spans="1:7">
      <c r="A51" s="112" t="s">
        <v>198</v>
      </c>
      <c r="B51" s="112" t="s">
        <v>101</v>
      </c>
      <c r="C51" s="112" t="s">
        <v>102</v>
      </c>
    </row>
    <row r="52" spans="1:7">
      <c r="A52" s="114" t="s">
        <v>105</v>
      </c>
      <c r="B52" s="522">
        <f>E4</f>
        <v>0</v>
      </c>
      <c r="C52" s="522">
        <f>F4</f>
        <v>0</v>
      </c>
      <c r="E52" s="516">
        <f>B50-E50</f>
        <v>0</v>
      </c>
      <c r="F52" s="516">
        <f>C50-F50</f>
        <v>0</v>
      </c>
    </row>
    <row r="53" spans="1:7">
      <c r="A53" s="117" t="s">
        <v>200</v>
      </c>
      <c r="B53" s="522">
        <f t="shared" ref="B53:B98" si="0">E5</f>
        <v>25025055.55</v>
      </c>
      <c r="C53" s="522">
        <f t="shared" ref="C53:C98" si="1">F5</f>
        <v>28000000</v>
      </c>
    </row>
    <row r="54" spans="1:7">
      <c r="A54" s="117" t="s">
        <v>202</v>
      </c>
      <c r="B54" s="522">
        <f t="shared" si="0"/>
        <v>0</v>
      </c>
      <c r="C54" s="522">
        <f t="shared" si="1"/>
        <v>0</v>
      </c>
    </row>
    <row r="55" spans="1:7">
      <c r="A55" s="117" t="s">
        <v>204</v>
      </c>
      <c r="B55" s="522">
        <f t="shared" si="0"/>
        <v>0</v>
      </c>
      <c r="C55" s="522">
        <f t="shared" si="1"/>
        <v>0</v>
      </c>
    </row>
    <row r="56" spans="1:7">
      <c r="A56" s="117" t="s">
        <v>206</v>
      </c>
      <c r="B56" s="522">
        <f t="shared" si="0"/>
        <v>64591204.2</v>
      </c>
      <c r="C56" s="522">
        <f t="shared" si="1"/>
        <v>112022264.05</v>
      </c>
    </row>
    <row r="57" spans="1:7">
      <c r="A57" s="117" t="s">
        <v>208</v>
      </c>
      <c r="B57" s="522">
        <f t="shared" si="0"/>
        <v>0</v>
      </c>
      <c r="C57" s="522">
        <f t="shared" si="1"/>
        <v>336613.72</v>
      </c>
    </row>
    <row r="58" spans="1:7">
      <c r="A58" s="117" t="s">
        <v>210</v>
      </c>
      <c r="B58" s="522">
        <f t="shared" si="0"/>
        <v>4500871.13</v>
      </c>
      <c r="C58" s="522">
        <f t="shared" si="1"/>
        <v>3872910.75</v>
      </c>
    </row>
    <row r="59" spans="1:7">
      <c r="A59" s="117" t="s">
        <v>212</v>
      </c>
      <c r="B59" s="522">
        <f t="shared" si="0"/>
        <v>4508996.35</v>
      </c>
      <c r="C59" s="522">
        <f t="shared" si="1"/>
        <v>1665876.2</v>
      </c>
    </row>
    <row r="60" spans="1:7">
      <c r="A60" s="117" t="s">
        <v>214</v>
      </c>
      <c r="B60" s="522">
        <f t="shared" si="0"/>
        <v>1575055.45</v>
      </c>
      <c r="C60" s="522">
        <f t="shared" si="1"/>
        <v>625110.89</v>
      </c>
    </row>
    <row r="61" spans="1:7">
      <c r="A61" s="117" t="s">
        <v>216</v>
      </c>
      <c r="B61" s="522">
        <f t="shared" si="0"/>
        <v>0</v>
      </c>
      <c r="C61" s="522">
        <f t="shared" si="1"/>
        <v>23722.23</v>
      </c>
    </row>
    <row r="62" spans="1:7">
      <c r="A62" s="117" t="s">
        <v>218</v>
      </c>
      <c r="B62" s="522">
        <f t="shared" si="0"/>
        <v>0</v>
      </c>
      <c r="C62" s="522">
        <f t="shared" si="1"/>
        <v>0</v>
      </c>
    </row>
    <row r="63" spans="1:7">
      <c r="A63" s="117" t="s">
        <v>220</v>
      </c>
      <c r="B63" s="522">
        <f t="shared" si="0"/>
        <v>312546.75</v>
      </c>
      <c r="C63" s="522">
        <f t="shared" si="1"/>
        <v>264881.03</v>
      </c>
    </row>
    <row r="64" spans="1:7">
      <c r="A64" s="117" t="s">
        <v>222</v>
      </c>
      <c r="B64" s="522">
        <f t="shared" si="0"/>
        <v>0</v>
      </c>
      <c r="C64" s="522">
        <f t="shared" si="1"/>
        <v>0</v>
      </c>
    </row>
    <row r="65" spans="1:3">
      <c r="A65" s="117" t="s">
        <v>224</v>
      </c>
      <c r="B65" s="522">
        <f t="shared" si="0"/>
        <v>17205199.05</v>
      </c>
      <c r="C65" s="522">
        <f t="shared" si="1"/>
        <v>2231181.86</v>
      </c>
    </row>
    <row r="66" spans="1:3">
      <c r="A66" s="117"/>
      <c r="B66" s="522">
        <f t="shared" si="0"/>
        <v>0</v>
      </c>
      <c r="C66" s="522">
        <f t="shared" si="1"/>
        <v>0</v>
      </c>
    </row>
    <row r="67" spans="1:3">
      <c r="A67" s="117"/>
      <c r="B67" s="522">
        <f t="shared" si="0"/>
        <v>0</v>
      </c>
      <c r="C67" s="522">
        <f t="shared" si="1"/>
        <v>0</v>
      </c>
    </row>
    <row r="68" spans="1:3">
      <c r="A68" s="117"/>
      <c r="B68" s="522">
        <f t="shared" si="0"/>
        <v>0</v>
      </c>
      <c r="C68" s="522">
        <f t="shared" si="1"/>
        <v>0</v>
      </c>
    </row>
    <row r="69" spans="1:3">
      <c r="A69" s="117" t="s">
        <v>229</v>
      </c>
      <c r="B69" s="522">
        <f t="shared" si="0"/>
        <v>117718928.48</v>
      </c>
      <c r="C69" s="522">
        <f t="shared" si="1"/>
        <v>149042560.73</v>
      </c>
    </row>
    <row r="70" spans="1:3">
      <c r="A70" s="114" t="s">
        <v>144</v>
      </c>
      <c r="B70" s="522">
        <f t="shared" si="0"/>
        <v>0</v>
      </c>
      <c r="C70" s="522">
        <f t="shared" si="1"/>
        <v>0</v>
      </c>
    </row>
    <row r="71" spans="1:3">
      <c r="A71" s="117" t="s">
        <v>233</v>
      </c>
      <c r="B71" s="522">
        <f t="shared" si="0"/>
        <v>0</v>
      </c>
      <c r="C71" s="522">
        <f t="shared" si="1"/>
        <v>0</v>
      </c>
    </row>
    <row r="72" spans="1:3">
      <c r="A72" s="117" t="s">
        <v>235</v>
      </c>
      <c r="B72" s="522">
        <f t="shared" si="0"/>
        <v>0</v>
      </c>
      <c r="C72" s="522">
        <f t="shared" si="1"/>
        <v>0</v>
      </c>
    </row>
    <row r="73" spans="1:3">
      <c r="A73" s="117" t="s">
        <v>237</v>
      </c>
      <c r="B73" s="522">
        <f t="shared" si="0"/>
        <v>0</v>
      </c>
      <c r="C73" s="522">
        <f t="shared" si="1"/>
        <v>0</v>
      </c>
    </row>
    <row r="74" spans="1:3">
      <c r="A74" s="117" t="s">
        <v>238</v>
      </c>
      <c r="B74" s="522">
        <f t="shared" si="0"/>
        <v>0</v>
      </c>
      <c r="C74" s="522">
        <f t="shared" si="1"/>
        <v>0</v>
      </c>
    </row>
    <row r="75" spans="1:3">
      <c r="A75" s="117" t="s">
        <v>239</v>
      </c>
      <c r="B75" s="522">
        <f t="shared" si="0"/>
        <v>0</v>
      </c>
      <c r="C75" s="522">
        <f t="shared" si="1"/>
        <v>0</v>
      </c>
    </row>
    <row r="76" spans="1:3">
      <c r="A76" s="117" t="s">
        <v>240</v>
      </c>
      <c r="B76" s="522">
        <f t="shared" si="0"/>
        <v>0</v>
      </c>
      <c r="C76" s="522">
        <f t="shared" si="1"/>
        <v>350000</v>
      </c>
    </row>
    <row r="77" spans="1:3">
      <c r="A77" s="117" t="s">
        <v>241</v>
      </c>
      <c r="B77" s="522">
        <f t="shared" si="0"/>
        <v>0</v>
      </c>
      <c r="C77" s="522">
        <f t="shared" si="1"/>
        <v>0</v>
      </c>
    </row>
    <row r="78" spans="1:3">
      <c r="A78" s="117" t="s">
        <v>243</v>
      </c>
      <c r="B78" s="522">
        <f t="shared" si="0"/>
        <v>0</v>
      </c>
      <c r="C78" s="522">
        <f t="shared" si="1"/>
        <v>0</v>
      </c>
    </row>
    <row r="79" spans="1:3">
      <c r="A79" s="117" t="s">
        <v>245</v>
      </c>
      <c r="B79" s="522">
        <f t="shared" si="0"/>
        <v>0</v>
      </c>
      <c r="C79" s="522">
        <f t="shared" si="1"/>
        <v>350000</v>
      </c>
    </row>
    <row r="80" spans="1:3">
      <c r="A80" s="117" t="s">
        <v>247</v>
      </c>
      <c r="B80" s="522">
        <f t="shared" si="0"/>
        <v>117718928.48</v>
      </c>
      <c r="C80" s="522">
        <f t="shared" si="1"/>
        <v>149392560.73</v>
      </c>
    </row>
    <row r="81" spans="1:3">
      <c r="A81" s="114"/>
      <c r="B81" s="522">
        <f t="shared" si="0"/>
        <v>0</v>
      </c>
      <c r="C81" s="522">
        <f t="shared" si="1"/>
        <v>0</v>
      </c>
    </row>
    <row r="82" spans="1:3">
      <c r="A82" s="117"/>
      <c r="B82" s="522">
        <f t="shared" si="0"/>
        <v>0</v>
      </c>
      <c r="C82" s="522">
        <f t="shared" si="1"/>
        <v>0</v>
      </c>
    </row>
    <row r="83" spans="1:3">
      <c r="A83" s="117" t="s">
        <v>169</v>
      </c>
      <c r="B83" s="522">
        <f t="shared" si="0"/>
        <v>0</v>
      </c>
      <c r="C83" s="522">
        <f t="shared" si="1"/>
        <v>0</v>
      </c>
    </row>
    <row r="84" spans="1:3">
      <c r="A84" s="117" t="s">
        <v>252</v>
      </c>
      <c r="B84" s="522">
        <f t="shared" si="0"/>
        <v>235000000</v>
      </c>
      <c r="C84" s="522">
        <f t="shared" si="1"/>
        <v>235000000</v>
      </c>
    </row>
    <row r="85" spans="1:3">
      <c r="A85" s="117" t="s">
        <v>254</v>
      </c>
      <c r="B85" s="522">
        <f t="shared" si="0"/>
        <v>0</v>
      </c>
      <c r="C85" s="522">
        <f t="shared" si="1"/>
        <v>0</v>
      </c>
    </row>
    <row r="86" spans="1:3">
      <c r="A86" s="117" t="s">
        <v>256</v>
      </c>
      <c r="B86" s="522">
        <f t="shared" si="0"/>
        <v>0</v>
      </c>
      <c r="C86" s="522">
        <f t="shared" si="1"/>
        <v>0</v>
      </c>
    </row>
    <row r="87" spans="1:3">
      <c r="A87" s="117" t="s">
        <v>258</v>
      </c>
      <c r="B87" s="522">
        <f t="shared" si="0"/>
        <v>0</v>
      </c>
      <c r="C87" s="522">
        <f t="shared" si="1"/>
        <v>0</v>
      </c>
    </row>
    <row r="88" spans="1:3">
      <c r="A88" s="117" t="s">
        <v>260</v>
      </c>
      <c r="B88" s="522">
        <f t="shared" si="0"/>
        <v>-9911248.13</v>
      </c>
      <c r="C88" s="522">
        <f t="shared" si="1"/>
        <v>-14912251.58</v>
      </c>
    </row>
    <row r="89" spans="1:3">
      <c r="A89" s="117" t="s">
        <v>266</v>
      </c>
      <c r="B89" s="522">
        <f t="shared" si="0"/>
        <v>225088751.87</v>
      </c>
      <c r="C89" s="522">
        <f t="shared" si="1"/>
        <v>220087748.42</v>
      </c>
    </row>
    <row r="90" spans="1:3">
      <c r="A90" s="117"/>
      <c r="B90" s="522">
        <f t="shared" si="0"/>
        <v>0</v>
      </c>
      <c r="C90" s="522">
        <f t="shared" si="1"/>
        <v>0</v>
      </c>
    </row>
    <row r="91" spans="1:3">
      <c r="A91" s="117"/>
      <c r="B91" s="522">
        <f t="shared" si="0"/>
        <v>0</v>
      </c>
      <c r="C91" s="522">
        <f t="shared" si="1"/>
        <v>0</v>
      </c>
    </row>
    <row r="92" spans="1:3">
      <c r="A92" s="117"/>
      <c r="B92" s="522">
        <f t="shared" si="0"/>
        <v>0</v>
      </c>
      <c r="C92" s="522">
        <f t="shared" si="1"/>
        <v>0</v>
      </c>
    </row>
    <row r="93" spans="1:3">
      <c r="A93" s="117"/>
      <c r="B93" s="522">
        <f t="shared" si="0"/>
        <v>0</v>
      </c>
      <c r="C93" s="522">
        <f t="shared" si="1"/>
        <v>0</v>
      </c>
    </row>
    <row r="94" spans="1:3">
      <c r="A94" s="117"/>
      <c r="B94" s="522">
        <f t="shared" si="0"/>
        <v>0</v>
      </c>
      <c r="C94" s="522">
        <f t="shared" si="1"/>
        <v>0</v>
      </c>
    </row>
    <row r="95" spans="1:3">
      <c r="A95" s="138"/>
      <c r="B95" s="522">
        <f t="shared" si="0"/>
        <v>0</v>
      </c>
      <c r="C95" s="522">
        <f t="shared" si="1"/>
        <v>0</v>
      </c>
    </row>
    <row r="96" spans="1:3">
      <c r="A96" s="136"/>
      <c r="B96" s="522">
        <f t="shared" si="0"/>
        <v>0</v>
      </c>
      <c r="C96" s="522">
        <f t="shared" si="1"/>
        <v>0</v>
      </c>
    </row>
    <row r="97" spans="1:3">
      <c r="A97" s="136"/>
      <c r="B97" s="522">
        <f t="shared" si="0"/>
        <v>0</v>
      </c>
      <c r="C97" s="522">
        <f t="shared" si="1"/>
        <v>0</v>
      </c>
    </row>
    <row r="98" spans="1:3">
      <c r="A98" s="136" t="s">
        <v>274</v>
      </c>
      <c r="B98" s="522">
        <f t="shared" si="0"/>
        <v>342807680.35</v>
      </c>
      <c r="C98" s="522">
        <f t="shared" si="1"/>
        <v>369480309.15</v>
      </c>
    </row>
    <row r="99" spans="1:3">
      <c r="B99" s="522">
        <f>B98-B50</f>
        <v>0</v>
      </c>
      <c r="C99" s="522">
        <f>C98-C50</f>
        <v>0</v>
      </c>
    </row>
  </sheetData>
  <mergeCells count="2">
    <mergeCell ref="A1:F1"/>
    <mergeCell ref="A2:B2"/>
  </mergeCells>
  <conditionalFormatting sqref="D49">
    <cfRule type="cellIs" dxfId="38" priority="6" operator="notEqual">
      <formula>#REF!</formula>
    </cfRule>
  </conditionalFormatting>
  <conditionalFormatting sqref="D50">
    <cfRule type="cellIs" dxfId="37" priority="5" stopIfTrue="1" operator="notEqual">
      <formula>#REF!</formula>
    </cfRule>
  </conditionalFormatting>
  <conditionalFormatting sqref="B85:D85">
    <cfRule type="cellIs" priority="3" stopIfTrue="1" operator="notEqual">
      <formula>""""""</formula>
    </cfRule>
  </conditionalFormatting>
  <conditionalFormatting sqref="A97">
    <cfRule type="cellIs" dxfId="38" priority="2" operator="notEqual">
      <formula>#REF!</formula>
    </cfRule>
  </conditionalFormatting>
  <conditionalFormatting sqref="A98">
    <cfRule type="cellIs" dxfId="37" priority="1" stopIfTrue="1" operator="notEqual">
      <formula>#REF!</formula>
    </cfRule>
  </conditionalFormatting>
  <conditionalFormatting sqref="B20:B22">
    <cfRule type="cellIs" priority="4" stopIfTrue="1" operator="notEqual">
      <formula>""""""</formula>
    </cfRule>
  </conditionalFormatting>
  <pageMargins left="0.75" right="0.75" top="1" bottom="1" header="0.5" footer="0.5"/>
  <pageSetup paperSize="9" scale="82" fitToHeight="0" orientation="portrait"/>
  <headerFooter/>
  <rowBreaks count="1" manualBreakCount="1">
    <brk id="51" max="16383" man="1"/>
  </row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tabColor rgb="FF92D050"/>
    <pageSetUpPr fitToPage="1"/>
  </sheetPr>
  <dimension ref="A1:K67"/>
  <sheetViews>
    <sheetView view="pageBreakPreview" zoomScale="85" zoomScaleNormal="70" workbookViewId="0">
      <pane ySplit="4" topLeftCell="A17" activePane="bottomLeft" state="frozen"/>
      <selection/>
      <selection pane="bottomLeft" activeCell="J17" sqref="J17"/>
    </sheetView>
  </sheetViews>
  <sheetFormatPr defaultColWidth="8.00833333333333" defaultRowHeight="14.25"/>
  <cols>
    <col min="1" max="1" width="53.5" style="64" customWidth="1"/>
    <col min="2" max="2" width="4.925" style="64" customWidth="1"/>
    <col min="3" max="3" width="13.3" style="64" customWidth="1"/>
    <col min="4" max="4" width="20.6166666666667" style="64" customWidth="1"/>
    <col min="5" max="5" width="13.9166666666667" style="64"/>
    <col min="6" max="7" width="14.425" style="64"/>
    <col min="8" max="8" width="8.00833333333333" style="64"/>
    <col min="9" max="9" width="13.4166666666667" style="64"/>
    <col min="10" max="10" width="13.8333333333333" style="64"/>
    <col min="11" max="11" width="13.85" style="64"/>
    <col min="12" max="16384" width="8.00833333333333" style="64"/>
  </cols>
  <sheetData>
    <row r="1" ht="21" customHeight="1" spans="1:11">
      <c r="A1" s="505" t="s">
        <v>609</v>
      </c>
      <c r="B1" s="66"/>
      <c r="C1" s="66"/>
      <c r="D1" s="66"/>
    </row>
    <row r="2" spans="1:11">
      <c r="C2" s="67">
        <f>(C5-C8)/C5</f>
        <v>-0.1347732457312</v>
      </c>
      <c r="D2" s="67">
        <f>(D5-D8)/D5</f>
        <v>0.0728315532990813</v>
      </c>
      <c r="F2" s="67">
        <f t="shared" ref="C2:G2" si="0">(F5-F8)/F5</f>
        <v>-0.00127792846386547</v>
      </c>
      <c r="G2" s="67">
        <f t="shared" si="0"/>
        <v>0.096128275744665</v>
      </c>
    </row>
    <row r="3" spans="1:11">
      <c r="A3" s="506" t="str">
        <f>新材料BS新!A2</f>
        <v>制表单位:无锡飞而康新材料科技有限公司</v>
      </c>
      <c r="B3" s="69"/>
      <c r="C3" s="70">
        <f>精铸PL新!C3</f>
        <v>45991</v>
      </c>
      <c r="D3" s="507" t="s">
        <v>577</v>
      </c>
    </row>
    <row r="4" ht="15" spans="1:11">
      <c r="A4" s="508" t="s">
        <v>1250</v>
      </c>
      <c r="B4" s="509" t="s">
        <v>579</v>
      </c>
      <c r="C4" s="510" t="s">
        <v>611</v>
      </c>
      <c r="D4" s="511" t="s">
        <v>497</v>
      </c>
      <c r="F4" s="64" t="s">
        <v>1251</v>
      </c>
      <c r="G4" s="64" t="s">
        <v>1252</v>
      </c>
    </row>
    <row r="5" ht="18" customHeight="1" spans="1:11">
      <c r="A5" s="512" t="s">
        <v>612</v>
      </c>
      <c r="B5" s="80"/>
      <c r="C5" s="81">
        <f>D5-G5</f>
        <v>10627589.12</v>
      </c>
      <c r="D5" s="82">
        <v>105333550.81</v>
      </c>
      <c r="E5" s="72"/>
      <c r="F5" s="72">
        <v>9942066.67999999</v>
      </c>
      <c r="G5" s="72">
        <v>94705961.69</v>
      </c>
      <c r="I5" s="72">
        <f>C5-C8</f>
        <v>-1432314.67999999</v>
      </c>
      <c r="J5" s="72"/>
      <c r="K5" s="72"/>
    </row>
    <row r="6" ht="18" customHeight="1" spans="1:11">
      <c r="A6" s="83" t="s">
        <v>294</v>
      </c>
      <c r="B6" s="80"/>
      <c r="C6" s="81">
        <f t="shared" ref="C6:C32" si="1">D6-G6</f>
        <v>10188684.9</v>
      </c>
      <c r="D6" s="84">
        <v>103440187.84</v>
      </c>
      <c r="E6" s="72"/>
      <c r="F6" s="72">
        <v>9928815.23999999</v>
      </c>
      <c r="G6" s="72">
        <v>93251502.94</v>
      </c>
      <c r="I6" s="513">
        <f>(C6-C9)/C6</f>
        <v>-0.141071100353687</v>
      </c>
      <c r="J6" s="72"/>
      <c r="K6" s="72"/>
    </row>
    <row r="7" ht="18" customHeight="1" spans="1:11">
      <c r="A7" s="83" t="s">
        <v>296</v>
      </c>
      <c r="B7" s="80"/>
      <c r="C7" s="81">
        <f t="shared" si="1"/>
        <v>438904.22</v>
      </c>
      <c r="D7" s="84">
        <v>1893362.97</v>
      </c>
      <c r="E7" s="72"/>
      <c r="F7" s="72">
        <v>13251.4399999999</v>
      </c>
      <c r="G7" s="72">
        <v>1454458.75</v>
      </c>
      <c r="I7" s="513">
        <f>(C7-C10)/C7</f>
        <v>0.011424611046118</v>
      </c>
      <c r="J7" s="72"/>
      <c r="K7" s="72"/>
    </row>
    <row r="8" ht="18" customHeight="1" spans="1:11">
      <c r="A8" s="514" t="s">
        <v>298</v>
      </c>
      <c r="B8" s="80"/>
      <c r="C8" s="81">
        <f t="shared" si="1"/>
        <v>12059903.8</v>
      </c>
      <c r="D8" s="85">
        <v>97661944.69</v>
      </c>
      <c r="E8" s="72"/>
      <c r="F8" s="72">
        <v>9954771.93000001</v>
      </c>
      <c r="G8" s="72">
        <v>85602040.89</v>
      </c>
      <c r="I8" s="72"/>
      <c r="J8" s="72"/>
      <c r="K8" s="72"/>
    </row>
    <row r="9" ht="18" customHeight="1" spans="1:11">
      <c r="A9" s="83" t="s">
        <v>300</v>
      </c>
      <c r="B9" s="80"/>
      <c r="C9" s="81">
        <f t="shared" si="1"/>
        <v>11626013.89</v>
      </c>
      <c r="D9" s="86">
        <v>95759878.85</v>
      </c>
      <c r="E9" s="72"/>
      <c r="F9" s="72">
        <v>9946941.92999999</v>
      </c>
      <c r="G9" s="72">
        <v>84133864.96</v>
      </c>
      <c r="I9" s="515"/>
      <c r="J9" s="72"/>
      <c r="K9" s="72"/>
    </row>
    <row r="10" ht="18" customHeight="1" spans="1:11">
      <c r="A10" s="83" t="s">
        <v>302</v>
      </c>
      <c r="B10" s="80"/>
      <c r="C10" s="81">
        <f t="shared" si="1"/>
        <v>433889.91</v>
      </c>
      <c r="D10" s="86">
        <v>1902065.84</v>
      </c>
      <c r="E10" s="72"/>
      <c r="F10" s="515">
        <v>7830</v>
      </c>
      <c r="G10" s="72">
        <v>1468175.93</v>
      </c>
      <c r="I10" s="72"/>
      <c r="J10" s="72"/>
      <c r="K10" s="72"/>
    </row>
    <row r="11" ht="18" customHeight="1" spans="1:11">
      <c r="A11" s="83" t="s">
        <v>304</v>
      </c>
      <c r="B11" s="80"/>
      <c r="C11" s="81">
        <f t="shared" si="1"/>
        <v>9803.93</v>
      </c>
      <c r="D11" s="86">
        <v>34056.86</v>
      </c>
      <c r="E11" s="72"/>
      <c r="F11" s="72">
        <v>0</v>
      </c>
      <c r="G11" s="72">
        <v>24252.93</v>
      </c>
      <c r="I11" s="72"/>
      <c r="J11" s="72"/>
      <c r="K11" s="72"/>
    </row>
    <row r="12" ht="18" customHeight="1" spans="1:11">
      <c r="A12" s="83" t="s">
        <v>306</v>
      </c>
      <c r="B12" s="80"/>
      <c r="C12" s="81">
        <f t="shared" si="1"/>
        <v>430006.18</v>
      </c>
      <c r="D12" s="86">
        <v>5951833.88</v>
      </c>
      <c r="E12" s="72"/>
      <c r="F12" s="72">
        <v>514759.62</v>
      </c>
      <c r="G12" s="72">
        <v>5521827.7</v>
      </c>
      <c r="I12" s="72"/>
      <c r="J12" s="72"/>
      <c r="K12" s="72"/>
    </row>
    <row r="13" ht="18" customHeight="1" spans="1:11">
      <c r="A13" s="83" t="s">
        <v>308</v>
      </c>
      <c r="B13" s="80"/>
      <c r="C13" s="81">
        <f t="shared" si="1"/>
        <v>166119.58</v>
      </c>
      <c r="D13" s="86">
        <v>411474.94</v>
      </c>
      <c r="E13" s="72"/>
      <c r="F13" s="72">
        <v>157598.19</v>
      </c>
      <c r="G13" s="72">
        <v>245355.36</v>
      </c>
      <c r="I13" s="72"/>
      <c r="J13" s="72"/>
      <c r="K13" s="72"/>
    </row>
    <row r="14" ht="18" customHeight="1" spans="1:11">
      <c r="A14" s="83" t="s">
        <v>310</v>
      </c>
      <c r="B14" s="80"/>
      <c r="C14" s="81">
        <f t="shared" si="1"/>
        <v>2312050.24</v>
      </c>
      <c r="D14" s="86">
        <v>5045417.48</v>
      </c>
      <c r="E14" s="72"/>
      <c r="F14" s="72">
        <v>430457.35</v>
      </c>
      <c r="G14" s="72">
        <v>2733367.24</v>
      </c>
      <c r="I14" s="72">
        <f>D14/8</f>
        <v>630677.185</v>
      </c>
      <c r="J14" s="72"/>
      <c r="K14" s="72"/>
    </row>
    <row r="15" ht="18" customHeight="1" spans="1:11">
      <c r="A15" s="83" t="s">
        <v>312</v>
      </c>
      <c r="B15" s="80"/>
      <c r="C15" s="81">
        <f t="shared" si="1"/>
        <v>72305.7200000001</v>
      </c>
      <c r="D15" s="86">
        <v>734788.42</v>
      </c>
      <c r="E15" s="72"/>
      <c r="F15" s="72">
        <v>70128.1699999999</v>
      </c>
      <c r="G15" s="72">
        <v>662482.7</v>
      </c>
      <c r="I15" s="72"/>
      <c r="J15" s="72"/>
      <c r="K15" s="72"/>
    </row>
    <row r="16" ht="18" customHeight="1" spans="1:11">
      <c r="A16" s="83" t="s">
        <v>1253</v>
      </c>
      <c r="B16" s="80"/>
      <c r="C16" s="81">
        <f t="shared" si="1"/>
        <v>72247.22</v>
      </c>
      <c r="D16" s="86">
        <v>747938.88</v>
      </c>
      <c r="E16" s="72"/>
      <c r="F16" s="72">
        <v>69916.67</v>
      </c>
      <c r="G16" s="72">
        <v>675691.66</v>
      </c>
      <c r="I16" s="72"/>
      <c r="J16" s="72"/>
      <c r="K16" s="72"/>
    </row>
    <row r="17" ht="18" customHeight="1" spans="1:11">
      <c r="A17" s="83" t="s">
        <v>1254</v>
      </c>
      <c r="B17" s="80"/>
      <c r="C17" s="81">
        <f t="shared" si="1"/>
        <v>0</v>
      </c>
      <c r="D17" s="86">
        <v>-18442.71</v>
      </c>
      <c r="E17" s="72"/>
      <c r="F17" s="72">
        <v>0</v>
      </c>
      <c r="G17" s="72">
        <v>-18442.71</v>
      </c>
      <c r="I17" s="72"/>
      <c r="J17" s="72"/>
      <c r="K17" s="72"/>
    </row>
    <row r="18" ht="18" customHeight="1" spans="1:11">
      <c r="A18" s="514" t="s">
        <v>318</v>
      </c>
      <c r="B18" s="80"/>
      <c r="C18" s="81">
        <f t="shared" si="1"/>
        <v>250000</v>
      </c>
      <c r="D18" s="86">
        <v>353487.25</v>
      </c>
      <c r="E18" s="72"/>
      <c r="F18" s="72">
        <v>0</v>
      </c>
      <c r="G18" s="72">
        <v>103487.25</v>
      </c>
      <c r="I18" s="72"/>
      <c r="J18" s="72"/>
      <c r="K18" s="72"/>
    </row>
    <row r="19" ht="18" customHeight="1" spans="1:11">
      <c r="A19" s="83" t="s">
        <v>320</v>
      </c>
      <c r="B19" s="80"/>
      <c r="C19" s="81">
        <f t="shared" si="1"/>
        <v>0</v>
      </c>
      <c r="D19" s="86"/>
      <c r="E19" s="72"/>
      <c r="F19" s="72">
        <v>0</v>
      </c>
      <c r="G19" s="72"/>
      <c r="I19" s="72"/>
      <c r="J19" s="72"/>
      <c r="K19" s="72"/>
    </row>
    <row r="20" ht="18" customHeight="1" spans="1:11">
      <c r="A20" s="83" t="s">
        <v>1255</v>
      </c>
      <c r="B20" s="87"/>
      <c r="C20" s="81">
        <f t="shared" si="1"/>
        <v>0</v>
      </c>
      <c r="D20" s="88"/>
      <c r="E20" s="72"/>
      <c r="F20" s="72">
        <v>0</v>
      </c>
      <c r="G20" s="72"/>
      <c r="I20" s="72"/>
      <c r="J20" s="72"/>
      <c r="K20" s="72"/>
    </row>
    <row r="21" ht="18" customHeight="1" spans="1:11">
      <c r="A21" s="83" t="s">
        <v>1256</v>
      </c>
      <c r="B21" s="87"/>
      <c r="C21" s="81">
        <f t="shared" si="1"/>
        <v>0</v>
      </c>
      <c r="D21" s="88"/>
      <c r="E21" s="72"/>
      <c r="F21" s="72">
        <v>0</v>
      </c>
      <c r="G21" s="72"/>
      <c r="I21" s="72"/>
      <c r="J21" s="72"/>
      <c r="K21" s="72"/>
    </row>
    <row r="22" ht="18" customHeight="1" spans="1:11">
      <c r="A22" s="83" t="s">
        <v>1257</v>
      </c>
      <c r="B22" s="87"/>
      <c r="C22" s="81">
        <f t="shared" si="1"/>
        <v>0</v>
      </c>
      <c r="D22" s="88"/>
      <c r="E22" s="72"/>
      <c r="F22" s="72">
        <v>0</v>
      </c>
      <c r="G22" s="72"/>
      <c r="I22" s="72"/>
      <c r="J22" s="72"/>
      <c r="K22" s="72"/>
    </row>
    <row r="23" ht="18" customHeight="1" spans="1:11">
      <c r="A23" s="83" t="s">
        <v>328</v>
      </c>
      <c r="B23" s="87"/>
      <c r="C23" s="81">
        <f t="shared" si="1"/>
        <v>0</v>
      </c>
      <c r="D23" s="88"/>
      <c r="E23" s="72"/>
      <c r="F23" s="72">
        <v>0</v>
      </c>
      <c r="G23" s="72"/>
      <c r="I23" s="72"/>
      <c r="J23" s="72"/>
      <c r="K23" s="72"/>
    </row>
    <row r="24" ht="18" customHeight="1" spans="1:11">
      <c r="A24" s="83" t="s">
        <v>330</v>
      </c>
      <c r="B24" s="87"/>
      <c r="C24" s="81">
        <f t="shared" si="1"/>
        <v>0</v>
      </c>
      <c r="D24" s="88">
        <v>-918525.26</v>
      </c>
      <c r="E24" s="72"/>
      <c r="F24" s="72">
        <v>0</v>
      </c>
      <c r="G24" s="72">
        <v>-918525.26</v>
      </c>
      <c r="I24" s="72"/>
      <c r="J24" s="72"/>
      <c r="K24" s="72"/>
    </row>
    <row r="25" ht="18" customHeight="1" spans="1:11">
      <c r="A25" s="83" t="s">
        <v>332</v>
      </c>
      <c r="B25" s="87"/>
      <c r="C25" s="81">
        <f t="shared" si="1"/>
        <v>0</v>
      </c>
      <c r="D25" s="88"/>
      <c r="E25" s="72"/>
      <c r="F25" s="72">
        <v>0</v>
      </c>
      <c r="G25" s="72"/>
      <c r="I25" s="72"/>
      <c r="J25" s="72"/>
      <c r="K25" s="72"/>
    </row>
    <row r="26" ht="18" customHeight="1" spans="1:11">
      <c r="A26" s="83" t="s">
        <v>334</v>
      </c>
      <c r="B26" s="87"/>
      <c r="C26" s="81">
        <f t="shared" si="1"/>
        <v>0</v>
      </c>
      <c r="D26" s="88"/>
      <c r="E26" s="72"/>
      <c r="F26" s="72">
        <v>0</v>
      </c>
      <c r="G26" s="72"/>
      <c r="I26" s="72"/>
      <c r="J26" s="72"/>
      <c r="K26" s="72"/>
    </row>
    <row r="27" ht="18" customHeight="1" spans="1:11">
      <c r="A27" s="512" t="s">
        <v>1258</v>
      </c>
      <c r="B27" s="91"/>
      <c r="C27" s="81">
        <f t="shared" si="1"/>
        <v>-4172600.33</v>
      </c>
      <c r="D27" s="92">
        <v>-5071003.47</v>
      </c>
      <c r="E27" s="72"/>
      <c r="F27" s="72">
        <v>-1185648.58</v>
      </c>
      <c r="G27" s="72">
        <v>-898403.14</v>
      </c>
      <c r="I27" s="72"/>
      <c r="J27" s="72"/>
      <c r="K27" s="72"/>
    </row>
    <row r="28" ht="18" customHeight="1" spans="1:11">
      <c r="A28" s="514" t="s">
        <v>338</v>
      </c>
      <c r="B28" s="87"/>
      <c r="C28" s="81">
        <f t="shared" si="1"/>
        <v>0</v>
      </c>
      <c r="D28" s="88">
        <v>70000.01</v>
      </c>
      <c r="E28" s="72"/>
      <c r="F28" s="72">
        <v>70000</v>
      </c>
      <c r="G28" s="72">
        <v>70000.01</v>
      </c>
      <c r="I28" s="72"/>
      <c r="J28" s="72"/>
      <c r="K28" s="72"/>
    </row>
    <row r="29" ht="18" customHeight="1" spans="1:11">
      <c r="A29" s="514" t="s">
        <v>340</v>
      </c>
      <c r="B29" s="87"/>
      <c r="C29" s="81">
        <f t="shared" si="1"/>
        <v>0</v>
      </c>
      <c r="D29" s="88">
        <v>-0.01</v>
      </c>
      <c r="E29" s="72"/>
      <c r="F29" s="72">
        <v>0</v>
      </c>
      <c r="G29" s="72">
        <v>-0.01</v>
      </c>
      <c r="I29" s="72"/>
      <c r="J29" s="72"/>
      <c r="K29" s="72"/>
    </row>
    <row r="30" ht="18" customHeight="1" spans="1:11">
      <c r="A30" s="512" t="s">
        <v>1259</v>
      </c>
      <c r="B30" s="91"/>
      <c r="C30" s="81">
        <f t="shared" si="1"/>
        <v>-4172600.33</v>
      </c>
      <c r="D30" s="92">
        <v>-5001003.45</v>
      </c>
      <c r="E30" s="72"/>
      <c r="F30" s="72">
        <v>-1115648.58</v>
      </c>
      <c r="G30" s="72">
        <v>-828403.12</v>
      </c>
      <c r="I30" s="72"/>
      <c r="J30" s="72"/>
      <c r="K30" s="72"/>
    </row>
    <row r="31" ht="18" customHeight="1" spans="1:11">
      <c r="A31" s="514" t="s">
        <v>344</v>
      </c>
      <c r="B31" s="87"/>
      <c r="C31" s="81">
        <f t="shared" si="1"/>
        <v>0</v>
      </c>
      <c r="D31" s="88"/>
      <c r="E31" s="72"/>
      <c r="F31" s="72">
        <v>0</v>
      </c>
      <c r="G31" s="72"/>
      <c r="I31" s="72"/>
      <c r="J31" s="72"/>
      <c r="K31" s="72"/>
    </row>
    <row r="32" ht="18" customHeight="1" spans="1:11">
      <c r="A32" s="512" t="s">
        <v>1260</v>
      </c>
      <c r="B32" s="91"/>
      <c r="C32" s="81">
        <f t="shared" si="1"/>
        <v>-4172600.33</v>
      </c>
      <c r="D32" s="92">
        <v>-5001003.45</v>
      </c>
      <c r="E32" s="72"/>
      <c r="F32" s="72">
        <v>-1115648.58</v>
      </c>
      <c r="G32" s="72">
        <v>-828403.12</v>
      </c>
      <c r="I32" s="72"/>
      <c r="J32" s="72"/>
      <c r="K32" s="72"/>
    </row>
    <row r="33" ht="18" customHeight="1" spans="1:4">
      <c r="A33" s="514" t="s">
        <v>637</v>
      </c>
      <c r="B33" s="87"/>
      <c r="C33" s="88"/>
      <c r="D33" s="88"/>
    </row>
    <row r="34" ht="18" customHeight="1" spans="1:4">
      <c r="A34" s="83" t="s">
        <v>1261</v>
      </c>
      <c r="B34" s="93"/>
      <c r="C34" s="94"/>
      <c r="D34" s="94"/>
    </row>
    <row r="35" ht="18" customHeight="1" spans="1:4">
      <c r="A35" s="83" t="s">
        <v>1262</v>
      </c>
      <c r="B35" s="87"/>
      <c r="C35" s="88"/>
      <c r="D35" s="88"/>
    </row>
    <row r="36" ht="18" customHeight="1" spans="1:4">
      <c r="A36" s="514" t="s">
        <v>640</v>
      </c>
      <c r="B36" s="87"/>
      <c r="C36" s="88"/>
      <c r="D36" s="88"/>
    </row>
    <row r="37" ht="18" customHeight="1" spans="1:4">
      <c r="A37" s="83" t="s">
        <v>1263</v>
      </c>
      <c r="B37" s="87"/>
      <c r="C37" s="95"/>
      <c r="D37" s="95"/>
    </row>
    <row r="38" ht="18" customHeight="1" spans="1:4">
      <c r="A38" s="96" t="s">
        <v>1264</v>
      </c>
      <c r="B38" s="97"/>
      <c r="C38" s="98"/>
      <c r="D38" s="98"/>
    </row>
    <row r="39" ht="15" hidden="1" spans="1:4">
      <c r="A39" s="512" t="s">
        <v>352</v>
      </c>
      <c r="B39" s="99"/>
      <c r="C39" s="100"/>
      <c r="D39" s="100"/>
    </row>
    <row r="40" ht="15" hidden="1" spans="1:4">
      <c r="A40" s="83" t="s">
        <v>1265</v>
      </c>
      <c r="B40" s="91"/>
      <c r="C40" s="101"/>
      <c r="D40" s="101"/>
    </row>
    <row r="41" hidden="1" spans="1:4">
      <c r="A41" s="514" t="s">
        <v>644</v>
      </c>
      <c r="B41" s="87"/>
      <c r="C41" s="95"/>
      <c r="D41" s="95"/>
    </row>
    <row r="42" hidden="1" spans="1:4">
      <c r="A42" s="83" t="s">
        <v>1266</v>
      </c>
      <c r="B42" s="87"/>
      <c r="C42" s="88"/>
      <c r="D42" s="88"/>
    </row>
    <row r="43" hidden="1" spans="1:4">
      <c r="A43" s="83" t="s">
        <v>1267</v>
      </c>
      <c r="B43" s="87"/>
      <c r="C43" s="88"/>
      <c r="D43" s="88"/>
    </row>
    <row r="44" hidden="1" spans="1:4">
      <c r="A44" s="83" t="s">
        <v>1268</v>
      </c>
      <c r="B44" s="87"/>
      <c r="C44" s="88"/>
      <c r="D44" s="88"/>
    </row>
    <row r="45" hidden="1" spans="1:4">
      <c r="A45" s="83" t="s">
        <v>1269</v>
      </c>
      <c r="B45" s="87"/>
      <c r="C45" s="88"/>
      <c r="D45" s="88"/>
    </row>
    <row r="46" hidden="1" spans="1:4">
      <c r="A46" s="514" t="s">
        <v>649</v>
      </c>
      <c r="B46" s="87"/>
      <c r="C46" s="95"/>
      <c r="D46" s="95"/>
    </row>
    <row r="47" ht="15" hidden="1" spans="1:4">
      <c r="A47" s="83" t="s">
        <v>1270</v>
      </c>
      <c r="B47" s="91"/>
      <c r="C47" s="101"/>
      <c r="D47" s="101"/>
    </row>
    <row r="48" hidden="1" spans="1:4">
      <c r="A48" s="83" t="s">
        <v>1271</v>
      </c>
      <c r="B48" s="87"/>
      <c r="C48" s="88"/>
      <c r="D48" s="88"/>
    </row>
    <row r="49" hidden="1" spans="1:4">
      <c r="A49" s="83" t="s">
        <v>1272</v>
      </c>
      <c r="B49" s="87"/>
      <c r="C49" s="88"/>
      <c r="D49" s="88"/>
    </row>
    <row r="50" hidden="1" spans="1:4">
      <c r="A50" s="83" t="s">
        <v>1273</v>
      </c>
      <c r="B50" s="87"/>
      <c r="C50" s="88"/>
      <c r="D50" s="88"/>
    </row>
    <row r="51" hidden="1" spans="1:4">
      <c r="A51" s="83" t="s">
        <v>1274</v>
      </c>
      <c r="B51" s="87"/>
      <c r="C51" s="95"/>
      <c r="D51" s="95"/>
    </row>
    <row r="52" hidden="1" spans="1:4">
      <c r="A52" s="83" t="s">
        <v>1275</v>
      </c>
      <c r="B52" s="87"/>
      <c r="C52" s="88"/>
      <c r="D52" s="88"/>
    </row>
    <row r="53" hidden="1" spans="1:4">
      <c r="A53" s="83" t="s">
        <v>1276</v>
      </c>
      <c r="B53" s="87"/>
      <c r="C53" s="88"/>
      <c r="D53" s="88"/>
    </row>
    <row r="54" hidden="1" spans="1:4">
      <c r="A54" s="83" t="s">
        <v>1277</v>
      </c>
      <c r="B54" s="87"/>
      <c r="C54" s="88"/>
      <c r="D54" s="88"/>
    </row>
    <row r="55" hidden="1" spans="1:4">
      <c r="A55" s="83" t="s">
        <v>1278</v>
      </c>
      <c r="B55" s="87"/>
      <c r="C55" s="88"/>
      <c r="D55" s="88"/>
    </row>
    <row r="56" hidden="1" spans="1:4">
      <c r="A56" s="83" t="s">
        <v>1279</v>
      </c>
      <c r="B56" s="87"/>
      <c r="C56" s="88"/>
      <c r="D56" s="88"/>
    </row>
    <row r="57" hidden="1" spans="1:4">
      <c r="A57" s="83" t="s">
        <v>1280</v>
      </c>
      <c r="B57" s="87"/>
      <c r="C57" s="88"/>
      <c r="D57" s="88"/>
    </row>
    <row r="58" ht="15" hidden="1" spans="1:4">
      <c r="A58" s="512" t="s">
        <v>378</v>
      </c>
      <c r="B58" s="91"/>
      <c r="C58" s="92"/>
      <c r="D58" s="92"/>
    </row>
    <row r="59" hidden="1" spans="1:4">
      <c r="A59" s="83" t="s">
        <v>1281</v>
      </c>
      <c r="B59" s="87"/>
      <c r="C59" s="95"/>
      <c r="D59" s="95"/>
    </row>
    <row r="60" hidden="1" spans="1:4">
      <c r="A60" s="83" t="s">
        <v>1282</v>
      </c>
      <c r="B60" s="87"/>
      <c r="C60" s="95"/>
      <c r="D60" s="95"/>
    </row>
    <row r="61" ht="15" hidden="1" spans="1:4">
      <c r="A61" s="512" t="s">
        <v>663</v>
      </c>
      <c r="B61" s="91"/>
      <c r="C61" s="101"/>
      <c r="D61" s="101"/>
    </row>
    <row r="62" hidden="1" spans="1:4">
      <c r="A62" s="83" t="s">
        <v>1283</v>
      </c>
      <c r="B62" s="102"/>
      <c r="C62" s="103"/>
      <c r="D62" s="103"/>
    </row>
    <row r="63" hidden="1" spans="1:4">
      <c r="A63" s="96" t="s">
        <v>1284</v>
      </c>
      <c r="B63" s="97"/>
      <c r="C63" s="104"/>
      <c r="D63" s="104"/>
    </row>
    <row r="66" spans="3:4">
      <c r="C66" s="105"/>
      <c r="D66" s="105"/>
    </row>
    <row r="67" spans="3:4">
      <c r="C67" s="105"/>
      <c r="D67" s="105"/>
    </row>
  </sheetData>
  <mergeCells count="1">
    <mergeCell ref="A1:D1"/>
  </mergeCells>
  <pageMargins left="0.75" right="0.75" top="1" bottom="1" header="0.5" footer="0.5"/>
  <pageSetup paperSize="9" scale="91" fitToHeight="0"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92D050"/>
    <pageSetUpPr fitToPage="1"/>
  </sheetPr>
  <dimension ref="A1:M116"/>
  <sheetViews>
    <sheetView view="pageBreakPreview" zoomScaleNormal="100" workbookViewId="0">
      <pane ySplit="4" topLeftCell="A85" activePane="bottomLeft" state="frozenSplit"/>
      <selection/>
      <selection pane="bottomLeft" activeCell="Y20" sqref="Y20"/>
    </sheetView>
  </sheetViews>
  <sheetFormatPr defaultColWidth="9" defaultRowHeight="12.75"/>
  <cols>
    <col min="1" max="1" width="22.75" style="277" customWidth="1"/>
    <col min="2" max="2" width="5.375" style="278" customWidth="1"/>
    <col min="3" max="3" width="16.5" style="278" customWidth="1"/>
    <col min="4" max="4" width="15" style="455" customWidth="1"/>
    <col min="5" max="5" width="33.75" style="278" customWidth="1"/>
    <col min="6" max="6" width="5.375" style="278" customWidth="1"/>
    <col min="7" max="7" width="14.5" style="278" customWidth="1"/>
    <col min="8" max="8" width="14.5" style="455" customWidth="1"/>
    <col min="9" max="9" width="13.7833333333333" style="278" customWidth="1"/>
    <col min="10" max="10" width="8.125" style="278" customWidth="1"/>
    <col min="11" max="11" width="9.25" style="278" customWidth="1"/>
    <col min="12" max="12" width="9" style="278" customWidth="1"/>
    <col min="13" max="163" width="9" style="278"/>
    <col min="164" max="164" width="22.625" style="278" customWidth="1"/>
    <col min="165" max="165" width="18.625" style="278" customWidth="1"/>
    <col min="166" max="166" width="15.625" style="278" customWidth="1"/>
    <col min="167" max="167" width="21.625" style="278" customWidth="1"/>
    <col min="168" max="168" width="14.625" style="278" customWidth="1"/>
    <col min="169" max="169" width="15.625" style="278" customWidth="1"/>
    <col min="170" max="419" width="9" style="278"/>
    <col min="420" max="420" width="22.625" style="278" customWidth="1"/>
    <col min="421" max="421" width="18.625" style="278" customWidth="1"/>
    <col min="422" max="422" width="15.625" style="278" customWidth="1"/>
    <col min="423" max="423" width="21.625" style="278" customWidth="1"/>
    <col min="424" max="424" width="14.625" style="278" customWidth="1"/>
    <col min="425" max="425" width="15.625" style="278" customWidth="1"/>
    <col min="426" max="675" width="9" style="278"/>
    <col min="676" max="676" width="22.625" style="278" customWidth="1"/>
    <col min="677" max="677" width="18.625" style="278" customWidth="1"/>
    <col min="678" max="678" width="15.625" style="278" customWidth="1"/>
    <col min="679" max="679" width="21.625" style="278" customWidth="1"/>
    <col min="680" max="680" width="14.625" style="278" customWidth="1"/>
    <col min="681" max="681" width="15.625" style="278" customWidth="1"/>
    <col min="682" max="931" width="9" style="278"/>
    <col min="932" max="932" width="22.625" style="278" customWidth="1"/>
    <col min="933" max="933" width="18.625" style="278" customWidth="1"/>
    <col min="934" max="934" width="15.625" style="278" customWidth="1"/>
    <col min="935" max="935" width="21.625" style="278" customWidth="1"/>
    <col min="936" max="936" width="14.625" style="278" customWidth="1"/>
    <col min="937" max="937" width="15.625" style="278" customWidth="1"/>
    <col min="938" max="1187" width="9" style="278"/>
    <col min="1188" max="1188" width="22.625" style="278" customWidth="1"/>
    <col min="1189" max="1189" width="18.625" style="278" customWidth="1"/>
    <col min="1190" max="1190" width="15.625" style="278" customWidth="1"/>
    <col min="1191" max="1191" width="21.625" style="278" customWidth="1"/>
    <col min="1192" max="1192" width="14.625" style="278" customWidth="1"/>
    <col min="1193" max="1193" width="15.625" style="278" customWidth="1"/>
    <col min="1194" max="1443" width="9" style="278"/>
    <col min="1444" max="1444" width="22.625" style="278" customWidth="1"/>
    <col min="1445" max="1445" width="18.625" style="278" customWidth="1"/>
    <col min="1446" max="1446" width="15.625" style="278" customWidth="1"/>
    <col min="1447" max="1447" width="21.625" style="278" customWidth="1"/>
    <col min="1448" max="1448" width="14.625" style="278" customWidth="1"/>
    <col min="1449" max="1449" width="15.625" style="278" customWidth="1"/>
    <col min="1450" max="1699" width="9" style="278"/>
    <col min="1700" max="1700" width="22.625" style="278" customWidth="1"/>
    <col min="1701" max="1701" width="18.625" style="278" customWidth="1"/>
    <col min="1702" max="1702" width="15.625" style="278" customWidth="1"/>
    <col min="1703" max="1703" width="21.625" style="278" customWidth="1"/>
    <col min="1704" max="1704" width="14.625" style="278" customWidth="1"/>
    <col min="1705" max="1705" width="15.625" style="278" customWidth="1"/>
    <col min="1706" max="1955" width="9" style="278"/>
    <col min="1956" max="1956" width="22.625" style="278" customWidth="1"/>
    <col min="1957" max="1957" width="18.625" style="278" customWidth="1"/>
    <col min="1958" max="1958" width="15.625" style="278" customWidth="1"/>
    <col min="1959" max="1959" width="21.625" style="278" customWidth="1"/>
    <col min="1960" max="1960" width="14.625" style="278" customWidth="1"/>
    <col min="1961" max="1961" width="15.625" style="278" customWidth="1"/>
    <col min="1962" max="2211" width="9" style="278"/>
    <col min="2212" max="2212" width="22.625" style="278" customWidth="1"/>
    <col min="2213" max="2213" width="18.625" style="278" customWidth="1"/>
    <col min="2214" max="2214" width="15.625" style="278" customWidth="1"/>
    <col min="2215" max="2215" width="21.625" style="278" customWidth="1"/>
    <col min="2216" max="2216" width="14.625" style="278" customWidth="1"/>
    <col min="2217" max="2217" width="15.625" style="278" customWidth="1"/>
    <col min="2218" max="2467" width="9" style="278"/>
    <col min="2468" max="2468" width="22.625" style="278" customWidth="1"/>
    <col min="2469" max="2469" width="18.625" style="278" customWidth="1"/>
    <col min="2470" max="2470" width="15.625" style="278" customWidth="1"/>
    <col min="2471" max="2471" width="21.625" style="278" customWidth="1"/>
    <col min="2472" max="2472" width="14.625" style="278" customWidth="1"/>
    <col min="2473" max="2473" width="15.625" style="278" customWidth="1"/>
    <col min="2474" max="2723" width="9" style="278"/>
    <col min="2724" max="2724" width="22.625" style="278" customWidth="1"/>
    <col min="2725" max="2725" width="18.625" style="278" customWidth="1"/>
    <col min="2726" max="2726" width="15.625" style="278" customWidth="1"/>
    <col min="2727" max="2727" width="21.625" style="278" customWidth="1"/>
    <col min="2728" max="2728" width="14.625" style="278" customWidth="1"/>
    <col min="2729" max="2729" width="15.625" style="278" customWidth="1"/>
    <col min="2730" max="2979" width="9" style="278"/>
    <col min="2980" max="2980" width="22.625" style="278" customWidth="1"/>
    <col min="2981" max="2981" width="18.625" style="278" customWidth="1"/>
    <col min="2982" max="2982" width="15.625" style="278" customWidth="1"/>
    <col min="2983" max="2983" width="21.625" style="278" customWidth="1"/>
    <col min="2984" max="2984" width="14.625" style="278" customWidth="1"/>
    <col min="2985" max="2985" width="15.625" style="278" customWidth="1"/>
    <col min="2986" max="3235" width="9" style="278"/>
    <col min="3236" max="3236" width="22.625" style="278" customWidth="1"/>
    <col min="3237" max="3237" width="18.625" style="278" customWidth="1"/>
    <col min="3238" max="3238" width="15.625" style="278" customWidth="1"/>
    <col min="3239" max="3239" width="21.625" style="278" customWidth="1"/>
    <col min="3240" max="3240" width="14.625" style="278" customWidth="1"/>
    <col min="3241" max="3241" width="15.625" style="278" customWidth="1"/>
    <col min="3242" max="3491" width="9" style="278"/>
    <col min="3492" max="3492" width="22.625" style="278" customWidth="1"/>
    <col min="3493" max="3493" width="18.625" style="278" customWidth="1"/>
    <col min="3494" max="3494" width="15.625" style="278" customWidth="1"/>
    <col min="3495" max="3495" width="21.625" style="278" customWidth="1"/>
    <col min="3496" max="3496" width="14.625" style="278" customWidth="1"/>
    <col min="3497" max="3497" width="15.625" style="278" customWidth="1"/>
    <col min="3498" max="3747" width="9" style="278"/>
    <col min="3748" max="3748" width="22.625" style="278" customWidth="1"/>
    <col min="3749" max="3749" width="18.625" style="278" customWidth="1"/>
    <col min="3750" max="3750" width="15.625" style="278" customWidth="1"/>
    <col min="3751" max="3751" width="21.625" style="278" customWidth="1"/>
    <col min="3752" max="3752" width="14.625" style="278" customWidth="1"/>
    <col min="3753" max="3753" width="15.625" style="278" customWidth="1"/>
    <col min="3754" max="4003" width="9" style="278"/>
    <col min="4004" max="4004" width="22.625" style="278" customWidth="1"/>
    <col min="4005" max="4005" width="18.625" style="278" customWidth="1"/>
    <col min="4006" max="4006" width="15.625" style="278" customWidth="1"/>
    <col min="4007" max="4007" width="21.625" style="278" customWidth="1"/>
    <col min="4008" max="4008" width="14.625" style="278" customWidth="1"/>
    <col min="4009" max="4009" width="15.625" style="278" customWidth="1"/>
    <col min="4010" max="4259" width="9" style="278"/>
    <col min="4260" max="4260" width="22.625" style="278" customWidth="1"/>
    <col min="4261" max="4261" width="18.625" style="278" customWidth="1"/>
    <col min="4262" max="4262" width="15.625" style="278" customWidth="1"/>
    <col min="4263" max="4263" width="21.625" style="278" customWidth="1"/>
    <col min="4264" max="4264" width="14.625" style="278" customWidth="1"/>
    <col min="4265" max="4265" width="15.625" style="278" customWidth="1"/>
    <col min="4266" max="4515" width="9" style="278"/>
    <col min="4516" max="4516" width="22.625" style="278" customWidth="1"/>
    <col min="4517" max="4517" width="18.625" style="278" customWidth="1"/>
    <col min="4518" max="4518" width="15.625" style="278" customWidth="1"/>
    <col min="4519" max="4519" width="21.625" style="278" customWidth="1"/>
    <col min="4520" max="4520" width="14.625" style="278" customWidth="1"/>
    <col min="4521" max="4521" width="15.625" style="278" customWidth="1"/>
    <col min="4522" max="4771" width="9" style="278"/>
    <col min="4772" max="4772" width="22.625" style="278" customWidth="1"/>
    <col min="4773" max="4773" width="18.625" style="278" customWidth="1"/>
    <col min="4774" max="4774" width="15.625" style="278" customWidth="1"/>
    <col min="4775" max="4775" width="21.625" style="278" customWidth="1"/>
    <col min="4776" max="4776" width="14.625" style="278" customWidth="1"/>
    <col min="4777" max="4777" width="15.625" style="278" customWidth="1"/>
    <col min="4778" max="5027" width="9" style="278"/>
    <col min="5028" max="5028" width="22.625" style="278" customWidth="1"/>
    <col min="5029" max="5029" width="18.625" style="278" customWidth="1"/>
    <col min="5030" max="5030" width="15.625" style="278" customWidth="1"/>
    <col min="5031" max="5031" width="21.625" style="278" customWidth="1"/>
    <col min="5032" max="5032" width="14.625" style="278" customWidth="1"/>
    <col min="5033" max="5033" width="15.625" style="278" customWidth="1"/>
    <col min="5034" max="5283" width="9" style="278"/>
    <col min="5284" max="5284" width="22.625" style="278" customWidth="1"/>
    <col min="5285" max="5285" width="18.625" style="278" customWidth="1"/>
    <col min="5286" max="5286" width="15.625" style="278" customWidth="1"/>
    <col min="5287" max="5287" width="21.625" style="278" customWidth="1"/>
    <col min="5288" max="5288" width="14.625" style="278" customWidth="1"/>
    <col min="5289" max="5289" width="15.625" style="278" customWidth="1"/>
    <col min="5290" max="5539" width="9" style="278"/>
    <col min="5540" max="5540" width="22.625" style="278" customWidth="1"/>
    <col min="5541" max="5541" width="18.625" style="278" customWidth="1"/>
    <col min="5542" max="5542" width="15.625" style="278" customWidth="1"/>
    <col min="5543" max="5543" width="21.625" style="278" customWidth="1"/>
    <col min="5544" max="5544" width="14.625" style="278" customWidth="1"/>
    <col min="5545" max="5545" width="15.625" style="278" customWidth="1"/>
    <col min="5546" max="5795" width="9" style="278"/>
    <col min="5796" max="5796" width="22.625" style="278" customWidth="1"/>
    <col min="5797" max="5797" width="18.625" style="278" customWidth="1"/>
    <col min="5798" max="5798" width="15.625" style="278" customWidth="1"/>
    <col min="5799" max="5799" width="21.625" style="278" customWidth="1"/>
    <col min="5800" max="5800" width="14.625" style="278" customWidth="1"/>
    <col min="5801" max="5801" width="15.625" style="278" customWidth="1"/>
    <col min="5802" max="6051" width="9" style="278"/>
    <col min="6052" max="6052" width="22.625" style="278" customWidth="1"/>
    <col min="6053" max="6053" width="18.625" style="278" customWidth="1"/>
    <col min="6054" max="6054" width="15.625" style="278" customWidth="1"/>
    <col min="6055" max="6055" width="21.625" style="278" customWidth="1"/>
    <col min="6056" max="6056" width="14.625" style="278" customWidth="1"/>
    <col min="6057" max="6057" width="15.625" style="278" customWidth="1"/>
    <col min="6058" max="6307" width="9" style="278"/>
    <col min="6308" max="6308" width="22.625" style="278" customWidth="1"/>
    <col min="6309" max="6309" width="18.625" style="278" customWidth="1"/>
    <col min="6310" max="6310" width="15.625" style="278" customWidth="1"/>
    <col min="6311" max="6311" width="21.625" style="278" customWidth="1"/>
    <col min="6312" max="6312" width="14.625" style="278" customWidth="1"/>
    <col min="6313" max="6313" width="15.625" style="278" customWidth="1"/>
    <col min="6314" max="6563" width="9" style="278"/>
    <col min="6564" max="6564" width="22.625" style="278" customWidth="1"/>
    <col min="6565" max="6565" width="18.625" style="278" customWidth="1"/>
    <col min="6566" max="6566" width="15.625" style="278" customWidth="1"/>
    <col min="6567" max="6567" width="21.625" style="278" customWidth="1"/>
    <col min="6568" max="6568" width="14.625" style="278" customWidth="1"/>
    <col min="6569" max="6569" width="15.625" style="278" customWidth="1"/>
    <col min="6570" max="6819" width="9" style="278"/>
    <col min="6820" max="6820" width="22.625" style="278" customWidth="1"/>
    <col min="6821" max="6821" width="18.625" style="278" customWidth="1"/>
    <col min="6822" max="6822" width="15.625" style="278" customWidth="1"/>
    <col min="6823" max="6823" width="21.625" style="278" customWidth="1"/>
    <col min="6824" max="6824" width="14.625" style="278" customWidth="1"/>
    <col min="6825" max="6825" width="15.625" style="278" customWidth="1"/>
    <col min="6826" max="7075" width="9" style="278"/>
    <col min="7076" max="7076" width="22.625" style="278" customWidth="1"/>
    <col min="7077" max="7077" width="18.625" style="278" customWidth="1"/>
    <col min="7078" max="7078" width="15.625" style="278" customWidth="1"/>
    <col min="7079" max="7079" width="21.625" style="278" customWidth="1"/>
    <col min="7080" max="7080" width="14.625" style="278" customWidth="1"/>
    <col min="7081" max="7081" width="15.625" style="278" customWidth="1"/>
    <col min="7082" max="7331" width="9" style="278"/>
    <col min="7332" max="7332" width="22.625" style="278" customWidth="1"/>
    <col min="7333" max="7333" width="18.625" style="278" customWidth="1"/>
    <col min="7334" max="7334" width="15.625" style="278" customWidth="1"/>
    <col min="7335" max="7335" width="21.625" style="278" customWidth="1"/>
    <col min="7336" max="7336" width="14.625" style="278" customWidth="1"/>
    <col min="7337" max="7337" width="15.625" style="278" customWidth="1"/>
    <col min="7338" max="7587" width="9" style="278"/>
    <col min="7588" max="7588" width="22.625" style="278" customWidth="1"/>
    <col min="7589" max="7589" width="18.625" style="278" customWidth="1"/>
    <col min="7590" max="7590" width="15.625" style="278" customWidth="1"/>
    <col min="7591" max="7591" width="21.625" style="278" customWidth="1"/>
    <col min="7592" max="7592" width="14.625" style="278" customWidth="1"/>
    <col min="7593" max="7593" width="15.625" style="278" customWidth="1"/>
    <col min="7594" max="7843" width="9" style="278"/>
    <col min="7844" max="7844" width="22.625" style="278" customWidth="1"/>
    <col min="7845" max="7845" width="18.625" style="278" customWidth="1"/>
    <col min="7846" max="7846" width="15.625" style="278" customWidth="1"/>
    <col min="7847" max="7847" width="21.625" style="278" customWidth="1"/>
    <col min="7848" max="7848" width="14.625" style="278" customWidth="1"/>
    <col min="7849" max="7849" width="15.625" style="278" customWidth="1"/>
    <col min="7850" max="8099" width="9" style="278"/>
    <col min="8100" max="8100" width="22.625" style="278" customWidth="1"/>
    <col min="8101" max="8101" width="18.625" style="278" customWidth="1"/>
    <col min="8102" max="8102" width="15.625" style="278" customWidth="1"/>
    <col min="8103" max="8103" width="21.625" style="278" customWidth="1"/>
    <col min="8104" max="8104" width="14.625" style="278" customWidth="1"/>
    <col min="8105" max="8105" width="15.625" style="278" customWidth="1"/>
    <col min="8106" max="8355" width="9" style="278"/>
    <col min="8356" max="8356" width="22.625" style="278" customWidth="1"/>
    <col min="8357" max="8357" width="18.625" style="278" customWidth="1"/>
    <col min="8358" max="8358" width="15.625" style="278" customWidth="1"/>
    <col min="8359" max="8359" width="21.625" style="278" customWidth="1"/>
    <col min="8360" max="8360" width="14.625" style="278" customWidth="1"/>
    <col min="8361" max="8361" width="15.625" style="278" customWidth="1"/>
    <col min="8362" max="8611" width="9" style="278"/>
    <col min="8612" max="8612" width="22.625" style="278" customWidth="1"/>
    <col min="8613" max="8613" width="18.625" style="278" customWidth="1"/>
    <col min="8614" max="8614" width="15.625" style="278" customWidth="1"/>
    <col min="8615" max="8615" width="21.625" style="278" customWidth="1"/>
    <col min="8616" max="8616" width="14.625" style="278" customWidth="1"/>
    <col min="8617" max="8617" width="15.625" style="278" customWidth="1"/>
    <col min="8618" max="8867" width="9" style="278"/>
    <col min="8868" max="8868" width="22.625" style="278" customWidth="1"/>
    <col min="8869" max="8869" width="18.625" style="278" customWidth="1"/>
    <col min="8870" max="8870" width="15.625" style="278" customWidth="1"/>
    <col min="8871" max="8871" width="21.625" style="278" customWidth="1"/>
    <col min="8872" max="8872" width="14.625" style="278" customWidth="1"/>
    <col min="8873" max="8873" width="15.625" style="278" customWidth="1"/>
    <col min="8874" max="9123" width="9" style="278"/>
    <col min="9124" max="9124" width="22.625" style="278" customWidth="1"/>
    <col min="9125" max="9125" width="18.625" style="278" customWidth="1"/>
    <col min="9126" max="9126" width="15.625" style="278" customWidth="1"/>
    <col min="9127" max="9127" width="21.625" style="278" customWidth="1"/>
    <col min="9128" max="9128" width="14.625" style="278" customWidth="1"/>
    <col min="9129" max="9129" width="15.625" style="278" customWidth="1"/>
    <col min="9130" max="9379" width="9" style="278"/>
    <col min="9380" max="9380" width="22.625" style="278" customWidth="1"/>
    <col min="9381" max="9381" width="18.625" style="278" customWidth="1"/>
    <col min="9382" max="9382" width="15.625" style="278" customWidth="1"/>
    <col min="9383" max="9383" width="21.625" style="278" customWidth="1"/>
    <col min="9384" max="9384" width="14.625" style="278" customWidth="1"/>
    <col min="9385" max="9385" width="15.625" style="278" customWidth="1"/>
    <col min="9386" max="9635" width="9" style="278"/>
    <col min="9636" max="9636" width="22.625" style="278" customWidth="1"/>
    <col min="9637" max="9637" width="18.625" style="278" customWidth="1"/>
    <col min="9638" max="9638" width="15.625" style="278" customWidth="1"/>
    <col min="9639" max="9639" width="21.625" style="278" customWidth="1"/>
    <col min="9640" max="9640" width="14.625" style="278" customWidth="1"/>
    <col min="9641" max="9641" width="15.625" style="278" customWidth="1"/>
    <col min="9642" max="9891" width="9" style="278"/>
    <col min="9892" max="9892" width="22.625" style="278" customWidth="1"/>
    <col min="9893" max="9893" width="18.625" style="278" customWidth="1"/>
    <col min="9894" max="9894" width="15.625" style="278" customWidth="1"/>
    <col min="9895" max="9895" width="21.625" style="278" customWidth="1"/>
    <col min="9896" max="9896" width="14.625" style="278" customWidth="1"/>
    <col min="9897" max="9897" width="15.625" style="278" customWidth="1"/>
    <col min="9898" max="10147" width="9" style="278"/>
    <col min="10148" max="10148" width="22.625" style="278" customWidth="1"/>
    <col min="10149" max="10149" width="18.625" style="278" customWidth="1"/>
    <col min="10150" max="10150" width="15.625" style="278" customWidth="1"/>
    <col min="10151" max="10151" width="21.625" style="278" customWidth="1"/>
    <col min="10152" max="10152" width="14.625" style="278" customWidth="1"/>
    <col min="10153" max="10153" width="15.625" style="278" customWidth="1"/>
    <col min="10154" max="10403" width="9" style="278"/>
    <col min="10404" max="10404" width="22.625" style="278" customWidth="1"/>
    <col min="10405" max="10405" width="18.625" style="278" customWidth="1"/>
    <col min="10406" max="10406" width="15.625" style="278" customWidth="1"/>
    <col min="10407" max="10407" width="21.625" style="278" customWidth="1"/>
    <col min="10408" max="10408" width="14.625" style="278" customWidth="1"/>
    <col min="10409" max="10409" width="15.625" style="278" customWidth="1"/>
    <col min="10410" max="10659" width="9" style="278"/>
    <col min="10660" max="10660" width="22.625" style="278" customWidth="1"/>
    <col min="10661" max="10661" width="18.625" style="278" customWidth="1"/>
    <col min="10662" max="10662" width="15.625" style="278" customWidth="1"/>
    <col min="10663" max="10663" width="21.625" style="278" customWidth="1"/>
    <col min="10664" max="10664" width="14.625" style="278" customWidth="1"/>
    <col min="10665" max="10665" width="15.625" style="278" customWidth="1"/>
    <col min="10666" max="10915" width="9" style="278"/>
    <col min="10916" max="10916" width="22.625" style="278" customWidth="1"/>
    <col min="10917" max="10917" width="18.625" style="278" customWidth="1"/>
    <col min="10918" max="10918" width="15.625" style="278" customWidth="1"/>
    <col min="10919" max="10919" width="21.625" style="278" customWidth="1"/>
    <col min="10920" max="10920" width="14.625" style="278" customWidth="1"/>
    <col min="10921" max="10921" width="15.625" style="278" customWidth="1"/>
    <col min="10922" max="11171" width="9" style="278"/>
    <col min="11172" max="11172" width="22.625" style="278" customWidth="1"/>
    <col min="11173" max="11173" width="18.625" style="278" customWidth="1"/>
    <col min="11174" max="11174" width="15.625" style="278" customWidth="1"/>
    <col min="11175" max="11175" width="21.625" style="278" customWidth="1"/>
    <col min="11176" max="11176" width="14.625" style="278" customWidth="1"/>
    <col min="11177" max="11177" width="15.625" style="278" customWidth="1"/>
    <col min="11178" max="11427" width="9" style="278"/>
    <col min="11428" max="11428" width="22.625" style="278" customWidth="1"/>
    <col min="11429" max="11429" width="18.625" style="278" customWidth="1"/>
    <col min="11430" max="11430" width="15.625" style="278" customWidth="1"/>
    <col min="11431" max="11431" width="21.625" style="278" customWidth="1"/>
    <col min="11432" max="11432" width="14.625" style="278" customWidth="1"/>
    <col min="11433" max="11433" width="15.625" style="278" customWidth="1"/>
    <col min="11434" max="11683" width="9" style="278"/>
    <col min="11684" max="11684" width="22.625" style="278" customWidth="1"/>
    <col min="11685" max="11685" width="18.625" style="278" customWidth="1"/>
    <col min="11686" max="11686" width="15.625" style="278" customWidth="1"/>
    <col min="11687" max="11687" width="21.625" style="278" customWidth="1"/>
    <col min="11688" max="11688" width="14.625" style="278" customWidth="1"/>
    <col min="11689" max="11689" width="15.625" style="278" customWidth="1"/>
    <col min="11690" max="11939" width="9" style="278"/>
    <col min="11940" max="11940" width="22.625" style="278" customWidth="1"/>
    <col min="11941" max="11941" width="18.625" style="278" customWidth="1"/>
    <col min="11942" max="11942" width="15.625" style="278" customWidth="1"/>
    <col min="11943" max="11943" width="21.625" style="278" customWidth="1"/>
    <col min="11944" max="11944" width="14.625" style="278" customWidth="1"/>
    <col min="11945" max="11945" width="15.625" style="278" customWidth="1"/>
    <col min="11946" max="12195" width="9" style="278"/>
    <col min="12196" max="12196" width="22.625" style="278" customWidth="1"/>
    <col min="12197" max="12197" width="18.625" style="278" customWidth="1"/>
    <col min="12198" max="12198" width="15.625" style="278" customWidth="1"/>
    <col min="12199" max="12199" width="21.625" style="278" customWidth="1"/>
    <col min="12200" max="12200" width="14.625" style="278" customWidth="1"/>
    <col min="12201" max="12201" width="15.625" style="278" customWidth="1"/>
    <col min="12202" max="12451" width="9" style="278"/>
    <col min="12452" max="12452" width="22.625" style="278" customWidth="1"/>
    <col min="12453" max="12453" width="18.625" style="278" customWidth="1"/>
    <col min="12454" max="12454" width="15.625" style="278" customWidth="1"/>
    <col min="12455" max="12455" width="21.625" style="278" customWidth="1"/>
    <col min="12456" max="12456" width="14.625" style="278" customWidth="1"/>
    <col min="12457" max="12457" width="15.625" style="278" customWidth="1"/>
    <col min="12458" max="12707" width="9" style="278"/>
    <col min="12708" max="12708" width="22.625" style="278" customWidth="1"/>
    <col min="12709" max="12709" width="18.625" style="278" customWidth="1"/>
    <col min="12710" max="12710" width="15.625" style="278" customWidth="1"/>
    <col min="12711" max="12711" width="21.625" style="278" customWidth="1"/>
    <col min="12712" max="12712" width="14.625" style="278" customWidth="1"/>
    <col min="12713" max="12713" width="15.625" style="278" customWidth="1"/>
    <col min="12714" max="12963" width="9" style="278"/>
    <col min="12964" max="12964" width="22.625" style="278" customWidth="1"/>
    <col min="12965" max="12965" width="18.625" style="278" customWidth="1"/>
    <col min="12966" max="12966" width="15.625" style="278" customWidth="1"/>
    <col min="12967" max="12967" width="21.625" style="278" customWidth="1"/>
    <col min="12968" max="12968" width="14.625" style="278" customWidth="1"/>
    <col min="12969" max="12969" width="15.625" style="278" customWidth="1"/>
    <col min="12970" max="13219" width="9" style="278"/>
    <col min="13220" max="13220" width="22.625" style="278" customWidth="1"/>
    <col min="13221" max="13221" width="18.625" style="278" customWidth="1"/>
    <col min="13222" max="13222" width="15.625" style="278" customWidth="1"/>
    <col min="13223" max="13223" width="21.625" style="278" customWidth="1"/>
    <col min="13224" max="13224" width="14.625" style="278" customWidth="1"/>
    <col min="13225" max="13225" width="15.625" style="278" customWidth="1"/>
    <col min="13226" max="13475" width="9" style="278"/>
    <col min="13476" max="13476" width="22.625" style="278" customWidth="1"/>
    <col min="13477" max="13477" width="18.625" style="278" customWidth="1"/>
    <col min="13478" max="13478" width="15.625" style="278" customWidth="1"/>
    <col min="13479" max="13479" width="21.625" style="278" customWidth="1"/>
    <col min="13480" max="13480" width="14.625" style="278" customWidth="1"/>
    <col min="13481" max="13481" width="15.625" style="278" customWidth="1"/>
    <col min="13482" max="13731" width="9" style="278"/>
    <col min="13732" max="13732" width="22.625" style="278" customWidth="1"/>
    <col min="13733" max="13733" width="18.625" style="278" customWidth="1"/>
    <col min="13734" max="13734" width="15.625" style="278" customWidth="1"/>
    <col min="13735" max="13735" width="21.625" style="278" customWidth="1"/>
    <col min="13736" max="13736" width="14.625" style="278" customWidth="1"/>
    <col min="13737" max="13737" width="15.625" style="278" customWidth="1"/>
    <col min="13738" max="13987" width="9" style="278"/>
    <col min="13988" max="13988" width="22.625" style="278" customWidth="1"/>
    <col min="13989" max="13989" width="18.625" style="278" customWidth="1"/>
    <col min="13990" max="13990" width="15.625" style="278" customWidth="1"/>
    <col min="13991" max="13991" width="21.625" style="278" customWidth="1"/>
    <col min="13992" max="13992" width="14.625" style="278" customWidth="1"/>
    <col min="13993" max="13993" width="15.625" style="278" customWidth="1"/>
    <col min="13994" max="14243" width="9" style="278"/>
    <col min="14244" max="14244" width="22.625" style="278" customWidth="1"/>
    <col min="14245" max="14245" width="18.625" style="278" customWidth="1"/>
    <col min="14246" max="14246" width="15.625" style="278" customWidth="1"/>
    <col min="14247" max="14247" width="21.625" style="278" customWidth="1"/>
    <col min="14248" max="14248" width="14.625" style="278" customWidth="1"/>
    <col min="14249" max="14249" width="15.625" style="278" customWidth="1"/>
    <col min="14250" max="14499" width="9" style="278"/>
    <col min="14500" max="14500" width="22.625" style="278" customWidth="1"/>
    <col min="14501" max="14501" width="18.625" style="278" customWidth="1"/>
    <col min="14502" max="14502" width="15.625" style="278" customWidth="1"/>
    <col min="14503" max="14503" width="21.625" style="278" customWidth="1"/>
    <col min="14504" max="14504" width="14.625" style="278" customWidth="1"/>
    <col min="14505" max="14505" width="15.625" style="278" customWidth="1"/>
    <col min="14506" max="14755" width="9" style="278"/>
    <col min="14756" max="14756" width="22.625" style="278" customWidth="1"/>
    <col min="14757" max="14757" width="18.625" style="278" customWidth="1"/>
    <col min="14758" max="14758" width="15.625" style="278" customWidth="1"/>
    <col min="14759" max="14759" width="21.625" style="278" customWidth="1"/>
    <col min="14760" max="14760" width="14.625" style="278" customWidth="1"/>
    <col min="14761" max="14761" width="15.625" style="278" customWidth="1"/>
    <col min="14762" max="15011" width="9" style="278"/>
    <col min="15012" max="15012" width="22.625" style="278" customWidth="1"/>
    <col min="15013" max="15013" width="18.625" style="278" customWidth="1"/>
    <col min="15014" max="15014" width="15.625" style="278" customWidth="1"/>
    <col min="15015" max="15015" width="21.625" style="278" customWidth="1"/>
    <col min="15016" max="15016" width="14.625" style="278" customWidth="1"/>
    <col min="15017" max="15017" width="15.625" style="278" customWidth="1"/>
    <col min="15018" max="15267" width="9" style="278"/>
    <col min="15268" max="15268" width="22.625" style="278" customWidth="1"/>
    <col min="15269" max="15269" width="18.625" style="278" customWidth="1"/>
    <col min="15270" max="15270" width="15.625" style="278" customWidth="1"/>
    <col min="15271" max="15271" width="21.625" style="278" customWidth="1"/>
    <col min="15272" max="15272" width="14.625" style="278" customWidth="1"/>
    <col min="15273" max="15273" width="15.625" style="278" customWidth="1"/>
    <col min="15274" max="15523" width="9" style="278"/>
    <col min="15524" max="15524" width="22.625" style="278" customWidth="1"/>
    <col min="15525" max="15525" width="18.625" style="278" customWidth="1"/>
    <col min="15526" max="15526" width="15.625" style="278" customWidth="1"/>
    <col min="15527" max="15527" width="21.625" style="278" customWidth="1"/>
    <col min="15528" max="15528" width="14.625" style="278" customWidth="1"/>
    <col min="15529" max="15529" width="15.625" style="278" customWidth="1"/>
    <col min="15530" max="15779" width="9" style="278"/>
    <col min="15780" max="15780" width="22.625" style="278" customWidth="1"/>
    <col min="15781" max="15781" width="18.625" style="278" customWidth="1"/>
    <col min="15782" max="15782" width="15.625" style="278" customWidth="1"/>
    <col min="15783" max="15783" width="21.625" style="278" customWidth="1"/>
    <col min="15784" max="15784" width="14.625" style="278" customWidth="1"/>
    <col min="15785" max="15785" width="15.625" style="278" customWidth="1"/>
    <col min="15786" max="16035" width="9" style="278"/>
    <col min="16036" max="16036" width="22.625" style="278" customWidth="1"/>
    <col min="16037" max="16037" width="18.625" style="278" customWidth="1"/>
    <col min="16038" max="16038" width="15.625" style="278" customWidth="1"/>
    <col min="16039" max="16039" width="21.625" style="278" customWidth="1"/>
    <col min="16040" max="16040" width="14.625" style="278" customWidth="1"/>
    <col min="16041" max="16041" width="15.625" style="278" customWidth="1"/>
    <col min="16042" max="16384" width="9" style="278"/>
  </cols>
  <sheetData>
    <row r="1" ht="30.75" customHeight="1" spans="1:8">
      <c r="A1" s="456" t="s">
        <v>575</v>
      </c>
      <c r="B1" s="456"/>
      <c r="C1" s="456"/>
      <c r="D1" s="456"/>
      <c r="E1" s="456"/>
      <c r="F1" s="456"/>
      <c r="G1" s="456"/>
      <c r="H1" s="456"/>
    </row>
    <row r="2" ht="16.5" customHeight="1" spans="1:8">
      <c r="A2" s="457" t="s">
        <v>1285</v>
      </c>
      <c r="B2" s="458"/>
      <c r="C2" s="459">
        <f>精铸BS!D3</f>
        <v>45991</v>
      </c>
      <c r="D2" s="460"/>
      <c r="E2" s="460"/>
      <c r="F2" s="458"/>
      <c r="G2" s="460"/>
      <c r="H2" s="458" t="s">
        <v>1286</v>
      </c>
    </row>
    <row r="3" ht="16.5" customHeight="1" spans="1:8">
      <c r="A3" s="461" t="s">
        <v>1287</v>
      </c>
      <c r="B3" s="462"/>
      <c r="C3" s="463" t="s">
        <v>1288</v>
      </c>
      <c r="D3" s="464"/>
      <c r="E3" s="460"/>
      <c r="F3" s="462"/>
      <c r="G3" s="465"/>
      <c r="H3" s="462" t="s">
        <v>1289</v>
      </c>
    </row>
    <row r="4" ht="14.1" customHeight="1" spans="1:8">
      <c r="A4" s="466" t="s">
        <v>1290</v>
      </c>
      <c r="B4" s="467" t="s">
        <v>1291</v>
      </c>
      <c r="C4" s="467" t="s">
        <v>1292</v>
      </c>
      <c r="D4" s="467" t="s">
        <v>1293</v>
      </c>
      <c r="E4" s="468" t="s">
        <v>1294</v>
      </c>
      <c r="F4" s="467" t="s">
        <v>1291</v>
      </c>
      <c r="G4" s="467" t="s">
        <v>1292</v>
      </c>
      <c r="H4" s="467" t="s">
        <v>1293</v>
      </c>
    </row>
    <row r="5" ht="14.1" customHeight="1" spans="1:8">
      <c r="A5" s="205" t="s">
        <v>1295</v>
      </c>
      <c r="B5" s="469">
        <v>1</v>
      </c>
      <c r="C5" s="188"/>
      <c r="D5" s="188"/>
      <c r="E5" s="189" t="s">
        <v>1296</v>
      </c>
      <c r="F5" s="469">
        <v>44</v>
      </c>
      <c r="G5" s="190"/>
      <c r="H5" s="190"/>
    </row>
    <row r="6" ht="14.1" customHeight="1" spans="1:8">
      <c r="A6" s="470" t="s">
        <v>1297</v>
      </c>
      <c r="B6" s="471">
        <v>2</v>
      </c>
      <c r="C6" s="192">
        <v>5915450.94</v>
      </c>
      <c r="D6" s="192">
        <v>4368241.82</v>
      </c>
      <c r="E6" s="472" t="s">
        <v>1298</v>
      </c>
      <c r="F6" s="471">
        <v>45</v>
      </c>
      <c r="G6" s="192"/>
      <c r="H6" s="192">
        <v>15000000</v>
      </c>
    </row>
    <row r="7" ht="14.1" customHeight="1" spans="1:8">
      <c r="A7" s="470" t="s">
        <v>1299</v>
      </c>
      <c r="B7" s="471">
        <v>3</v>
      </c>
      <c r="C7" s="192">
        <v>5915450.94</v>
      </c>
      <c r="D7" s="192">
        <v>4368241.82</v>
      </c>
      <c r="E7" s="472" t="s">
        <v>1300</v>
      </c>
      <c r="F7" s="471">
        <v>46</v>
      </c>
      <c r="G7" s="473"/>
      <c r="H7" s="473"/>
    </row>
    <row r="8" ht="14.1" customHeight="1" spans="1:8">
      <c r="A8" s="470" t="s">
        <v>1301</v>
      </c>
      <c r="B8" s="471">
        <v>4</v>
      </c>
      <c r="C8" s="192"/>
      <c r="D8" s="192"/>
      <c r="E8" s="472" t="s">
        <v>1302</v>
      </c>
      <c r="F8" s="471">
        <v>47</v>
      </c>
      <c r="G8" s="473"/>
      <c r="H8" s="473"/>
    </row>
    <row r="9" ht="14.1" customHeight="1" spans="1:8">
      <c r="A9" s="470" t="s">
        <v>1303</v>
      </c>
      <c r="B9" s="471">
        <v>5</v>
      </c>
      <c r="C9" s="192">
        <v>1000000</v>
      </c>
      <c r="D9" s="192"/>
      <c r="E9" s="472" t="s">
        <v>1304</v>
      </c>
      <c r="F9" s="471">
        <v>48</v>
      </c>
      <c r="G9" s="474">
        <v>38246829.4</v>
      </c>
      <c r="H9" s="474">
        <v>81786731.79</v>
      </c>
    </row>
    <row r="10" ht="14.1" customHeight="1" spans="1:8">
      <c r="A10" s="470" t="s">
        <v>1305</v>
      </c>
      <c r="B10" s="471">
        <v>6</v>
      </c>
      <c r="C10" s="192">
        <f>4257840.14+3006252.32</f>
        <v>7264092.46</v>
      </c>
      <c r="D10" s="196">
        <v>2714853.99</v>
      </c>
      <c r="E10" s="472" t="s">
        <v>1306</v>
      </c>
      <c r="F10" s="471">
        <v>49</v>
      </c>
      <c r="G10" s="474"/>
      <c r="H10" s="474">
        <v>264485.32</v>
      </c>
    </row>
    <row r="11" ht="14.1" customHeight="1" spans="1:8">
      <c r="A11" s="470" t="s">
        <v>1307</v>
      </c>
      <c r="B11" s="471">
        <v>7</v>
      </c>
      <c r="C11" s="192">
        <v>26073129.52</v>
      </c>
      <c r="D11" s="196">
        <v>90968384.94</v>
      </c>
      <c r="E11" s="217" t="s">
        <v>1308</v>
      </c>
      <c r="F11" s="475">
        <v>50</v>
      </c>
      <c r="G11" s="476">
        <v>577902.84</v>
      </c>
      <c r="H11" s="476">
        <v>2801939.59</v>
      </c>
    </row>
    <row r="12" ht="14.1" customHeight="1" spans="1:8">
      <c r="A12" s="470" t="s">
        <v>1309</v>
      </c>
      <c r="B12" s="471">
        <v>8</v>
      </c>
      <c r="C12" s="192">
        <v>438225.84</v>
      </c>
      <c r="D12" s="196">
        <v>4071133.06</v>
      </c>
      <c r="E12" s="477" t="s">
        <v>1310</v>
      </c>
      <c r="F12" s="471">
        <v>51</v>
      </c>
      <c r="G12" s="474">
        <v>961635.53</v>
      </c>
      <c r="H12" s="474">
        <v>2031158.61</v>
      </c>
    </row>
    <row r="13" ht="14.1" customHeight="1" spans="1:8">
      <c r="A13" s="470" t="s">
        <v>1311</v>
      </c>
      <c r="B13" s="471">
        <v>9</v>
      </c>
      <c r="C13" s="192"/>
      <c r="D13" s="196"/>
      <c r="E13" s="472" t="s">
        <v>1312</v>
      </c>
      <c r="F13" s="471">
        <v>52</v>
      </c>
      <c r="G13" s="474">
        <v>8956.29</v>
      </c>
      <c r="H13" s="478">
        <v>349043.24</v>
      </c>
    </row>
    <row r="14" ht="14.1" customHeight="1" spans="1:8">
      <c r="A14" s="470" t="s">
        <v>1313</v>
      </c>
      <c r="B14" s="471">
        <v>10</v>
      </c>
      <c r="C14" s="192"/>
      <c r="D14" s="196"/>
      <c r="E14" s="472" t="s">
        <v>1314</v>
      </c>
      <c r="F14" s="471">
        <v>53</v>
      </c>
      <c r="G14" s="474"/>
      <c r="H14" s="474">
        <v>57236.1</v>
      </c>
    </row>
    <row r="15" ht="14.1" customHeight="1" spans="1:8">
      <c r="A15" s="470" t="s">
        <v>1315</v>
      </c>
      <c r="B15" s="471">
        <v>11</v>
      </c>
      <c r="C15" s="192">
        <v>262601.17</v>
      </c>
      <c r="D15" s="192">
        <v>651920.54</v>
      </c>
      <c r="E15" s="217" t="s">
        <v>1316</v>
      </c>
      <c r="F15" s="475">
        <v>54</v>
      </c>
      <c r="G15" s="476"/>
      <c r="H15" s="476"/>
    </row>
    <row r="16" ht="14.1" customHeight="1" spans="1:8">
      <c r="A16" s="470" t="s">
        <v>1317</v>
      </c>
      <c r="B16" s="471">
        <v>12</v>
      </c>
      <c r="C16" s="192">
        <v>8304935.65</v>
      </c>
      <c r="D16" s="192">
        <v>79990932.41</v>
      </c>
      <c r="E16" s="477" t="s">
        <v>1318</v>
      </c>
      <c r="F16" s="471">
        <v>55</v>
      </c>
      <c r="G16" s="474">
        <v>45443.36</v>
      </c>
      <c r="H16" s="474">
        <v>38701.27</v>
      </c>
    </row>
    <row r="17" ht="14.1" customHeight="1" spans="1:11">
      <c r="A17" s="470" t="s">
        <v>1319</v>
      </c>
      <c r="B17" s="471">
        <v>13</v>
      </c>
      <c r="C17" s="192">
        <v>999673.41</v>
      </c>
      <c r="D17" s="192">
        <v>27296705.53</v>
      </c>
      <c r="E17" s="472" t="s">
        <v>1320</v>
      </c>
      <c r="F17" s="471">
        <v>56</v>
      </c>
      <c r="G17" s="474"/>
      <c r="H17" s="474"/>
      <c r="I17" s="455"/>
      <c r="J17" s="479"/>
      <c r="K17" s="480" t="s">
        <v>1321</v>
      </c>
    </row>
    <row r="18" ht="14.1" customHeight="1" spans="1:11">
      <c r="A18" s="470" t="s">
        <v>1322</v>
      </c>
      <c r="B18" s="471">
        <v>14</v>
      </c>
      <c r="C18" s="192">
        <v>6867765.65</v>
      </c>
      <c r="D18" s="192">
        <v>9480945.24</v>
      </c>
      <c r="E18" s="472" t="s">
        <v>1323</v>
      </c>
      <c r="F18" s="471">
        <v>57</v>
      </c>
      <c r="G18" s="481">
        <v>4310147.38</v>
      </c>
      <c r="H18" s="481"/>
    </row>
    <row r="19" ht="14.1" customHeight="1" spans="1:11">
      <c r="A19" s="470" t="s">
        <v>1324</v>
      </c>
      <c r="B19" s="471">
        <v>15</v>
      </c>
      <c r="C19" s="192">
        <v>437496.59</v>
      </c>
      <c r="D19" s="192">
        <v>42209766.89</v>
      </c>
      <c r="E19" s="472"/>
      <c r="F19" s="471"/>
      <c r="G19" s="482"/>
      <c r="H19" s="482"/>
      <c r="I19" s="483">
        <f>(D18-C18)/0.75</f>
        <v>3484239.45333333</v>
      </c>
      <c r="J19" s="483">
        <f>I19/10000</f>
        <v>348.423945333333</v>
      </c>
      <c r="K19" s="484" t="s">
        <v>1325</v>
      </c>
    </row>
    <row r="20" ht="14.1" customHeight="1" spans="1:11">
      <c r="A20" s="470" t="s">
        <v>1326</v>
      </c>
      <c r="B20" s="471">
        <v>16</v>
      </c>
      <c r="C20" s="192"/>
      <c r="D20" s="192">
        <v>1003514.75</v>
      </c>
      <c r="E20" s="472"/>
      <c r="F20" s="471"/>
      <c r="G20" s="482"/>
      <c r="H20" s="482"/>
      <c r="I20" s="483">
        <f>(D19-C19)/0.75+新材料PL!E6</f>
        <v>160996396.39</v>
      </c>
      <c r="J20" s="483">
        <f>I20/10000</f>
        <v>16099.639639</v>
      </c>
      <c r="K20" s="484" t="s">
        <v>1327</v>
      </c>
    </row>
    <row r="21" ht="14.1" customHeight="1" spans="1:11">
      <c r="A21" s="470" t="s">
        <v>1328</v>
      </c>
      <c r="B21" s="471">
        <v>17</v>
      </c>
      <c r="C21" s="192"/>
      <c r="D21" s="192"/>
      <c r="E21" s="472"/>
      <c r="F21" s="471"/>
      <c r="G21" s="482"/>
      <c r="H21" s="482"/>
      <c r="I21" s="483">
        <f>I19+I20</f>
        <v>164480635.843333</v>
      </c>
      <c r="J21" s="483">
        <f>I21/10000</f>
        <v>16448.0635843333</v>
      </c>
      <c r="K21" s="484" t="s">
        <v>1329</v>
      </c>
    </row>
    <row r="22" ht="14.1" customHeight="1" spans="1:11">
      <c r="A22" s="470" t="s">
        <v>1330</v>
      </c>
      <c r="B22" s="471">
        <v>18</v>
      </c>
      <c r="C22" s="192">
        <v>1649153.35</v>
      </c>
      <c r="D22" s="192">
        <v>1649153.35</v>
      </c>
      <c r="E22" s="220" t="s">
        <v>1331</v>
      </c>
      <c r="F22" s="471">
        <v>58</v>
      </c>
      <c r="G22" s="221">
        <f>G9+G10+G12+G13+G16+G18+G11</f>
        <v>44150914.8</v>
      </c>
      <c r="H22" s="221">
        <f>SUM(H6:H18)</f>
        <v>102329295.92</v>
      </c>
    </row>
    <row r="23" ht="14.1" customHeight="1" spans="1:11">
      <c r="A23" s="470" t="s">
        <v>1332</v>
      </c>
      <c r="B23" s="471">
        <v>19</v>
      </c>
      <c r="C23" s="192"/>
      <c r="D23" s="192"/>
      <c r="E23" s="485" t="s">
        <v>1333</v>
      </c>
      <c r="F23" s="471">
        <v>59</v>
      </c>
      <c r="G23" s="482"/>
      <c r="H23" s="482"/>
    </row>
    <row r="24" ht="14.1" customHeight="1" spans="1:11">
      <c r="A24" s="470" t="s">
        <v>1334</v>
      </c>
      <c r="B24" s="471">
        <v>20</v>
      </c>
      <c r="C24" s="192">
        <v>27074.08</v>
      </c>
      <c r="D24" s="192">
        <v>137519.5</v>
      </c>
      <c r="E24" s="472" t="s">
        <v>1335</v>
      </c>
      <c r="F24" s="471">
        <v>60</v>
      </c>
      <c r="G24" s="192"/>
      <c r="H24" s="192"/>
    </row>
    <row r="25" ht="14.1" customHeight="1" spans="1:11">
      <c r="A25" s="486" t="s">
        <v>1336</v>
      </c>
      <c r="B25" s="471">
        <v>21</v>
      </c>
      <c r="C25" s="487">
        <f>C6+C9+C10+C11+C15+C16+C22+C24+C12</f>
        <v>50934663.01</v>
      </c>
      <c r="D25" s="487">
        <f>D6+D9+D10+D11+D15+D16+D22+D24+D12+D21</f>
        <v>184552139.61</v>
      </c>
      <c r="E25" s="472" t="s">
        <v>1337</v>
      </c>
      <c r="F25" s="471">
        <v>61</v>
      </c>
      <c r="G25" s="192"/>
      <c r="H25" s="192"/>
    </row>
    <row r="26" ht="14.1" customHeight="1" spans="1:11">
      <c r="A26" s="488" t="s">
        <v>1338</v>
      </c>
      <c r="B26" s="471">
        <v>22</v>
      </c>
      <c r="C26" s="209"/>
      <c r="D26" s="209"/>
      <c r="E26" s="472" t="s">
        <v>1339</v>
      </c>
      <c r="F26" s="471">
        <v>62</v>
      </c>
      <c r="G26" s="192"/>
      <c r="H26" s="192"/>
    </row>
    <row r="27" ht="14.1" customHeight="1" spans="1:11">
      <c r="A27" s="470" t="s">
        <v>1340</v>
      </c>
      <c r="B27" s="471">
        <v>23</v>
      </c>
      <c r="C27" s="192"/>
      <c r="D27" s="192"/>
      <c r="E27" s="472" t="s">
        <v>1341</v>
      </c>
      <c r="F27" s="471">
        <v>63</v>
      </c>
      <c r="G27" s="192"/>
      <c r="H27" s="192"/>
    </row>
    <row r="28" ht="14.1" customHeight="1" spans="1:11">
      <c r="A28" s="470" t="s">
        <v>1342</v>
      </c>
      <c r="B28" s="471">
        <v>24</v>
      </c>
      <c r="C28" s="192"/>
      <c r="D28" s="192"/>
      <c r="E28" s="472" t="s">
        <v>1343</v>
      </c>
      <c r="F28" s="471">
        <v>64</v>
      </c>
      <c r="G28" s="192"/>
      <c r="H28" s="192"/>
    </row>
    <row r="29" ht="14.1" customHeight="1" spans="1:11">
      <c r="A29" s="470" t="s">
        <v>1344</v>
      </c>
      <c r="B29" s="471">
        <v>25</v>
      </c>
      <c r="C29" s="192"/>
      <c r="D29" s="192"/>
      <c r="E29" s="217" t="s">
        <v>1345</v>
      </c>
      <c r="F29" s="475">
        <v>65</v>
      </c>
      <c r="G29" s="482"/>
      <c r="H29" s="482"/>
    </row>
    <row r="30" ht="14.1" customHeight="1" spans="1:11">
      <c r="A30" s="470" t="s">
        <v>1346</v>
      </c>
      <c r="B30" s="471">
        <v>26</v>
      </c>
      <c r="C30" s="192"/>
      <c r="D30" s="192"/>
      <c r="E30" s="477" t="s">
        <v>1347</v>
      </c>
      <c r="F30" s="471">
        <v>66</v>
      </c>
      <c r="G30" s="192"/>
      <c r="H30" s="192"/>
    </row>
    <row r="31" ht="14.1" customHeight="1" spans="1:11">
      <c r="A31" s="470" t="s">
        <v>1348</v>
      </c>
      <c r="B31" s="471">
        <v>27</v>
      </c>
      <c r="C31" s="192"/>
      <c r="D31" s="192"/>
      <c r="E31" s="472" t="s">
        <v>1349</v>
      </c>
      <c r="F31" s="471">
        <v>67</v>
      </c>
      <c r="G31" s="473"/>
      <c r="H31" s="473"/>
    </row>
    <row r="32" ht="14.1" customHeight="1" spans="1:11">
      <c r="A32" s="470" t="s">
        <v>1350</v>
      </c>
      <c r="B32" s="471">
        <v>28</v>
      </c>
      <c r="C32" s="489">
        <v>23788001.66</v>
      </c>
      <c r="D32" s="192">
        <v>189156615.1</v>
      </c>
      <c r="E32" s="220" t="s">
        <v>1351</v>
      </c>
      <c r="F32" s="471">
        <v>68</v>
      </c>
      <c r="G32" s="221">
        <v>0</v>
      </c>
      <c r="H32" s="221">
        <v>0</v>
      </c>
    </row>
    <row r="33" ht="14.1" customHeight="1" spans="1:13">
      <c r="A33" s="470" t="s">
        <v>1352</v>
      </c>
      <c r="B33" s="471">
        <v>29</v>
      </c>
      <c r="C33" s="489">
        <v>15959386.36</v>
      </c>
      <c r="D33" s="192">
        <v>53176462.66</v>
      </c>
      <c r="E33" s="220" t="s">
        <v>1353</v>
      </c>
      <c r="F33" s="471">
        <v>69</v>
      </c>
      <c r="G33" s="221">
        <f>G22+G32</f>
        <v>44150914.8</v>
      </c>
      <c r="H33" s="221">
        <f>H22+H32</f>
        <v>102329295.92</v>
      </c>
    </row>
    <row r="34" ht="14.1" customHeight="1" spans="1:13">
      <c r="A34" s="470" t="s">
        <v>1354</v>
      </c>
      <c r="B34" s="471">
        <v>30</v>
      </c>
      <c r="C34" s="490">
        <f>C32-C33</f>
        <v>7828615.3</v>
      </c>
      <c r="D34" s="490">
        <f>D32-D33</f>
        <v>135980152.44</v>
      </c>
      <c r="E34" s="472" t="s">
        <v>1355</v>
      </c>
      <c r="F34" s="471">
        <v>70</v>
      </c>
      <c r="G34" s="491"/>
      <c r="H34" s="491"/>
      <c r="I34" s="492"/>
    </row>
    <row r="35" ht="14.1" customHeight="1" spans="1:13">
      <c r="A35" s="470" t="s">
        <v>1356</v>
      </c>
      <c r="B35" s="471">
        <v>31</v>
      </c>
      <c r="C35" s="192"/>
      <c r="D35" s="192">
        <v>7466184.92</v>
      </c>
      <c r="E35" s="472" t="s">
        <v>1357</v>
      </c>
      <c r="F35" s="471">
        <v>71</v>
      </c>
      <c r="G35" s="192">
        <v>15000000</v>
      </c>
      <c r="H35" s="192">
        <v>235000000</v>
      </c>
      <c r="I35" s="492"/>
    </row>
    <row r="36" ht="14.1" customHeight="1" spans="1:13">
      <c r="A36" s="470" t="s">
        <v>1358</v>
      </c>
      <c r="B36" s="471">
        <v>32</v>
      </c>
      <c r="C36" s="192"/>
      <c r="D36" s="192"/>
      <c r="E36" s="472" t="s">
        <v>1359</v>
      </c>
      <c r="F36" s="471">
        <v>72</v>
      </c>
      <c r="G36" s="192"/>
      <c r="H36" s="192"/>
    </row>
    <row r="37" ht="14.1" customHeight="1" spans="1:13">
      <c r="A37" s="470" t="s">
        <v>1360</v>
      </c>
      <c r="B37" s="471">
        <v>33</v>
      </c>
      <c r="C37" s="192"/>
      <c r="D37" s="192"/>
      <c r="E37" s="472" t="s">
        <v>1361</v>
      </c>
      <c r="F37" s="471">
        <v>73</v>
      </c>
      <c r="G37" s="473"/>
      <c r="H37" s="473"/>
    </row>
    <row r="38" ht="14.1" customHeight="1" spans="1:13">
      <c r="A38" s="470" t="s">
        <v>1362</v>
      </c>
      <c r="B38" s="471">
        <v>34</v>
      </c>
      <c r="C38" s="192"/>
      <c r="D38" s="192"/>
      <c r="E38" s="472" t="s">
        <v>1363</v>
      </c>
      <c r="F38" s="471">
        <v>74</v>
      </c>
      <c r="G38" s="192"/>
      <c r="H38" s="192"/>
      <c r="I38" s="455"/>
    </row>
    <row r="39" ht="14.1" customHeight="1" spans="1:13">
      <c r="A39" s="470" t="s">
        <v>1364</v>
      </c>
      <c r="B39" s="471">
        <v>35</v>
      </c>
      <c r="C39" s="192"/>
      <c r="D39" s="192"/>
      <c r="E39" s="472" t="s">
        <v>1365</v>
      </c>
      <c r="F39" s="471">
        <v>75</v>
      </c>
      <c r="G39" s="192">
        <v>-145097.89</v>
      </c>
      <c r="H39" s="192">
        <v>-7719118.21</v>
      </c>
      <c r="I39" s="455">
        <f>H39-G39-新材料PL!E29</f>
        <v>0</v>
      </c>
    </row>
    <row r="40" ht="14.1" customHeight="1" spans="1:13">
      <c r="A40" s="470" t="s">
        <v>1366</v>
      </c>
      <c r="B40" s="471">
        <v>36</v>
      </c>
      <c r="C40" s="192">
        <v>8075.22</v>
      </c>
      <c r="D40" s="192">
        <v>1151902.87</v>
      </c>
      <c r="E40" s="220" t="s">
        <v>1367</v>
      </c>
      <c r="F40" s="471">
        <v>76</v>
      </c>
      <c r="G40" s="221">
        <f>G35+G39</f>
        <v>14854902.11</v>
      </c>
      <c r="H40" s="221">
        <f>H35+H39</f>
        <v>227280881.79</v>
      </c>
      <c r="I40" s="455"/>
    </row>
    <row r="41" ht="14.1" customHeight="1" spans="1:13">
      <c r="A41" s="470" t="s">
        <v>1368</v>
      </c>
      <c r="B41" s="471">
        <v>37</v>
      </c>
      <c r="C41" s="192"/>
      <c r="D41" s="192"/>
      <c r="E41" s="220"/>
      <c r="F41" s="471"/>
      <c r="G41" s="493"/>
      <c r="H41" s="493"/>
      <c r="I41" s="455"/>
    </row>
    <row r="42" ht="14.1" customHeight="1" spans="1:13">
      <c r="A42" s="470" t="s">
        <v>1369</v>
      </c>
      <c r="B42" s="471">
        <v>38</v>
      </c>
      <c r="C42" s="192"/>
      <c r="D42" s="192"/>
      <c r="E42" s="220"/>
      <c r="F42" s="471"/>
      <c r="G42" s="493"/>
      <c r="H42" s="493"/>
      <c r="I42" s="455"/>
    </row>
    <row r="43" ht="14.1" customHeight="1" spans="1:13">
      <c r="A43" s="470" t="s">
        <v>1370</v>
      </c>
      <c r="B43" s="471">
        <v>39</v>
      </c>
      <c r="C43" s="217">
        <v>131531.8</v>
      </c>
      <c r="D43" s="192">
        <v>356866.29</v>
      </c>
      <c r="E43" s="220"/>
      <c r="F43" s="471"/>
      <c r="G43" s="493"/>
      <c r="H43" s="493"/>
      <c r="I43" s="455"/>
    </row>
    <row r="44" ht="14.1" customHeight="1" spans="1:13">
      <c r="A44" s="470" t="s">
        <v>1371</v>
      </c>
      <c r="B44" s="471">
        <v>40</v>
      </c>
      <c r="C44" s="494">
        <v>102931.58</v>
      </c>
      <c r="D44" s="191">
        <v>102931.58</v>
      </c>
      <c r="E44" s="220"/>
      <c r="F44" s="471"/>
      <c r="G44" s="493"/>
      <c r="H44" s="493"/>
      <c r="I44" s="455"/>
    </row>
    <row r="45" ht="14.1" customHeight="1" spans="1:13">
      <c r="A45" s="470" t="s">
        <v>1372</v>
      </c>
      <c r="B45" s="471">
        <v>41</v>
      </c>
      <c r="C45" s="192"/>
      <c r="D45" s="192"/>
      <c r="E45" s="220"/>
      <c r="F45" s="471"/>
      <c r="G45" s="493"/>
      <c r="H45" s="493"/>
      <c r="I45" s="495"/>
    </row>
    <row r="46" s="454" customFormat="1" ht="14.1" customHeight="1" spans="1:13">
      <c r="A46" s="496" t="s">
        <v>1373</v>
      </c>
      <c r="B46" s="471">
        <v>42</v>
      </c>
      <c r="C46" s="497">
        <f>C34+C35+C40+C43+C44</f>
        <v>8071153.9</v>
      </c>
      <c r="D46" s="497">
        <f>D34+D35+D40+D43+D44</f>
        <v>145058038.1</v>
      </c>
      <c r="E46" s="220"/>
      <c r="F46" s="471"/>
      <c r="G46" s="493"/>
      <c r="H46" s="493"/>
      <c r="I46" s="455"/>
      <c r="J46" s="278"/>
      <c r="M46" s="278"/>
    </row>
    <row r="47" ht="14.1" customHeight="1" spans="1:13">
      <c r="A47" s="496" t="s">
        <v>1374</v>
      </c>
      <c r="B47" s="471">
        <v>43</v>
      </c>
      <c r="C47" s="497">
        <f>C46+C25</f>
        <v>59005816.91</v>
      </c>
      <c r="D47" s="497">
        <f>D46+D25</f>
        <v>329610177.71</v>
      </c>
      <c r="E47" s="220" t="s">
        <v>1375</v>
      </c>
      <c r="F47" s="471">
        <v>77</v>
      </c>
      <c r="G47" s="221">
        <f>G40+G33</f>
        <v>59005816.91</v>
      </c>
      <c r="H47" s="221">
        <f>H40+H33</f>
        <v>329610177.71</v>
      </c>
      <c r="I47" s="495"/>
      <c r="J47" s="495">
        <f>H33/D47</f>
        <v>0.31045551029687</v>
      </c>
    </row>
    <row r="48" ht="17.25" customHeight="1" spans="1:13">
      <c r="A48" s="498" t="s">
        <v>1376</v>
      </c>
      <c r="B48" s="498" t="s">
        <v>1377</v>
      </c>
      <c r="C48" s="499" t="s">
        <v>1378</v>
      </c>
      <c r="D48" s="498" t="s">
        <v>1379</v>
      </c>
      <c r="E48" s="458"/>
      <c r="F48" s="498" t="s">
        <v>1380</v>
      </c>
      <c r="G48" s="498"/>
      <c r="H48" s="500"/>
      <c r="I48" s="455"/>
    </row>
    <row r="49" ht="14.1" customHeight="1" spans="1:9">
      <c r="A49" s="501" t="s">
        <v>1381</v>
      </c>
      <c r="B49" s="200">
        <v>44</v>
      </c>
      <c r="C49" s="501">
        <f>G5</f>
        <v>0</v>
      </c>
      <c r="D49" s="501">
        <f>H5</f>
        <v>0</v>
      </c>
      <c r="E49" s="502"/>
      <c r="F49" s="200"/>
      <c r="G49" s="200"/>
      <c r="H49" s="503">
        <f>C47-G47</f>
        <v>0</v>
      </c>
      <c r="I49" s="455"/>
    </row>
    <row r="50" ht="14.1" customHeight="1" spans="1:9">
      <c r="A50" s="501" t="s">
        <v>1382</v>
      </c>
      <c r="B50" s="200">
        <v>45</v>
      </c>
      <c r="C50" s="501">
        <f t="shared" ref="C50:C91" si="0">G6</f>
        <v>0</v>
      </c>
      <c r="D50" s="501">
        <f t="shared" ref="D50:D91" si="1">H6</f>
        <v>15000000</v>
      </c>
      <c r="E50" s="200"/>
      <c r="F50" s="200"/>
      <c r="G50" s="200"/>
      <c r="H50" s="503">
        <f>D47-H47</f>
        <v>0</v>
      </c>
    </row>
    <row r="51" ht="14.1" customHeight="1" spans="1:9">
      <c r="A51" s="501" t="s">
        <v>1383</v>
      </c>
      <c r="B51" s="200">
        <v>46</v>
      </c>
      <c r="C51" s="501">
        <f t="shared" si="0"/>
        <v>0</v>
      </c>
      <c r="D51" s="501">
        <f t="shared" si="1"/>
        <v>0</v>
      </c>
      <c r="E51" s="200"/>
      <c r="F51" s="200"/>
      <c r="G51" s="200"/>
      <c r="H51" s="503"/>
    </row>
    <row r="52" ht="14.1" customHeight="1" spans="1:9">
      <c r="A52" s="501" t="s">
        <v>1384</v>
      </c>
      <c r="B52" s="200">
        <v>47</v>
      </c>
      <c r="C52" s="501">
        <f t="shared" si="0"/>
        <v>0</v>
      </c>
      <c r="D52" s="501">
        <f t="shared" si="1"/>
        <v>0</v>
      </c>
      <c r="E52" s="200"/>
      <c r="F52" s="200"/>
      <c r="G52" s="200"/>
      <c r="H52" s="503"/>
    </row>
    <row r="53" ht="14.1" customHeight="1" spans="1:9">
      <c r="A53" s="501" t="s">
        <v>1385</v>
      </c>
      <c r="B53" s="200">
        <v>48</v>
      </c>
      <c r="C53" s="501">
        <f t="shared" si="0"/>
        <v>38246829.4</v>
      </c>
      <c r="D53" s="501">
        <f t="shared" si="1"/>
        <v>81786731.79</v>
      </c>
      <c r="E53" s="504" t="s">
        <v>1227</v>
      </c>
      <c r="F53" s="200"/>
      <c r="G53" s="200"/>
      <c r="H53" s="503"/>
    </row>
    <row r="54" ht="14.1" customHeight="1" spans="1:9">
      <c r="A54" s="501" t="s">
        <v>1386</v>
      </c>
      <c r="B54" s="200">
        <v>49</v>
      </c>
      <c r="C54" s="501">
        <f t="shared" si="0"/>
        <v>0</v>
      </c>
      <c r="D54" s="501">
        <f t="shared" si="1"/>
        <v>264485.32</v>
      </c>
      <c r="E54" s="200"/>
      <c r="F54" s="200"/>
      <c r="G54" s="200"/>
      <c r="H54" s="503"/>
    </row>
    <row r="55" ht="14.1" customHeight="1" spans="1:9">
      <c r="A55" s="501" t="s">
        <v>1387</v>
      </c>
      <c r="B55" s="200">
        <v>50</v>
      </c>
      <c r="C55" s="501">
        <f t="shared" si="0"/>
        <v>577902.84</v>
      </c>
      <c r="D55" s="501">
        <f t="shared" si="1"/>
        <v>2801939.59</v>
      </c>
      <c r="E55" s="200"/>
      <c r="F55" s="200"/>
      <c r="G55" s="200"/>
      <c r="H55" s="503"/>
    </row>
    <row r="56" ht="14.1" customHeight="1" spans="1:9">
      <c r="A56" s="501" t="s">
        <v>1388</v>
      </c>
      <c r="B56" s="200">
        <v>51</v>
      </c>
      <c r="C56" s="501">
        <f t="shared" si="0"/>
        <v>961635.53</v>
      </c>
      <c r="D56" s="501">
        <f t="shared" si="1"/>
        <v>2031158.61</v>
      </c>
      <c r="E56" s="200"/>
      <c r="F56" s="200"/>
      <c r="G56" s="200"/>
      <c r="H56" s="503"/>
    </row>
    <row r="57" ht="14.1" customHeight="1" spans="1:9">
      <c r="A57" s="501" t="s">
        <v>1389</v>
      </c>
      <c r="B57" s="200">
        <v>52</v>
      </c>
      <c r="C57" s="501">
        <f t="shared" si="0"/>
        <v>8956.29</v>
      </c>
      <c r="D57" s="501">
        <f t="shared" si="1"/>
        <v>349043.24</v>
      </c>
      <c r="E57" s="200"/>
      <c r="F57" s="200"/>
      <c r="G57" s="200"/>
      <c r="H57" s="503"/>
    </row>
    <row r="58" ht="14.1" customHeight="1" spans="1:9">
      <c r="A58" s="501" t="s">
        <v>1390</v>
      </c>
      <c r="B58" s="200">
        <v>53</v>
      </c>
      <c r="C58" s="501">
        <f t="shared" si="0"/>
        <v>0</v>
      </c>
      <c r="D58" s="501">
        <f t="shared" si="1"/>
        <v>57236.1</v>
      </c>
      <c r="E58" s="200"/>
      <c r="F58" s="200"/>
      <c r="G58" s="200"/>
      <c r="H58" s="503"/>
    </row>
    <row r="59" ht="14.1" customHeight="1" spans="1:9">
      <c r="A59" s="501" t="s">
        <v>1391</v>
      </c>
      <c r="B59" s="200">
        <v>54</v>
      </c>
      <c r="C59" s="501">
        <f t="shared" si="0"/>
        <v>0</v>
      </c>
      <c r="D59" s="501">
        <f t="shared" si="1"/>
        <v>0</v>
      </c>
      <c r="E59" s="200"/>
      <c r="F59" s="200"/>
      <c r="G59" s="200"/>
      <c r="H59" s="503"/>
    </row>
    <row r="60" ht="14.1" customHeight="1" spans="1:9">
      <c r="A60" s="501" t="s">
        <v>1392</v>
      </c>
      <c r="B60" s="200">
        <v>55</v>
      </c>
      <c r="C60" s="501">
        <f t="shared" si="0"/>
        <v>45443.36</v>
      </c>
      <c r="D60" s="501">
        <f t="shared" si="1"/>
        <v>38701.27</v>
      </c>
      <c r="E60" s="200"/>
      <c r="F60" s="200"/>
      <c r="G60" s="200"/>
      <c r="H60" s="503"/>
    </row>
    <row r="61" ht="14.1" customHeight="1" spans="1:9">
      <c r="A61" s="501" t="s">
        <v>1393</v>
      </c>
      <c r="B61" s="200">
        <v>56</v>
      </c>
      <c r="C61" s="501">
        <f t="shared" si="0"/>
        <v>0</v>
      </c>
      <c r="D61" s="501">
        <f t="shared" si="1"/>
        <v>0</v>
      </c>
      <c r="E61" s="200"/>
      <c r="F61" s="200"/>
      <c r="G61" s="200"/>
      <c r="H61" s="503"/>
    </row>
    <row r="62" ht="14.1" customHeight="1" spans="1:9">
      <c r="A62" s="501" t="s">
        <v>1394</v>
      </c>
      <c r="B62" s="200">
        <v>57</v>
      </c>
      <c r="C62" s="501">
        <f t="shared" si="0"/>
        <v>4310147.38</v>
      </c>
      <c r="D62" s="501">
        <f t="shared" si="1"/>
        <v>0</v>
      </c>
      <c r="E62" s="200"/>
      <c r="F62" s="200"/>
      <c r="G62" s="200"/>
      <c r="H62" s="503"/>
    </row>
    <row r="63" ht="14.1" customHeight="1" spans="1:9">
      <c r="A63" s="501"/>
      <c r="B63" s="200"/>
      <c r="C63" s="501">
        <f t="shared" si="0"/>
        <v>0</v>
      </c>
      <c r="D63" s="501">
        <f t="shared" si="1"/>
        <v>0</v>
      </c>
      <c r="E63" s="200"/>
      <c r="F63" s="200"/>
      <c r="G63" s="200"/>
      <c r="H63" s="503"/>
    </row>
    <row r="64" spans="1:9">
      <c r="A64" s="501"/>
      <c r="B64" s="200"/>
      <c r="C64" s="501">
        <f t="shared" si="0"/>
        <v>0</v>
      </c>
      <c r="D64" s="501">
        <f t="shared" si="1"/>
        <v>0</v>
      </c>
      <c r="E64" s="200"/>
      <c r="F64" s="200"/>
      <c r="G64" s="200"/>
      <c r="H64" s="503"/>
    </row>
    <row r="65" spans="1:8">
      <c r="A65" s="501"/>
      <c r="B65" s="200"/>
      <c r="C65" s="501">
        <f t="shared" si="0"/>
        <v>0</v>
      </c>
      <c r="D65" s="501">
        <f t="shared" si="1"/>
        <v>0</v>
      </c>
      <c r="E65" s="200"/>
      <c r="F65" s="200"/>
      <c r="G65" s="200"/>
      <c r="H65" s="503"/>
    </row>
    <row r="66" ht="14.1" customHeight="1" spans="1:8">
      <c r="A66" s="501" t="s">
        <v>1395</v>
      </c>
      <c r="B66" s="200">
        <v>58</v>
      </c>
      <c r="C66" s="501">
        <f t="shared" si="0"/>
        <v>44150914.8</v>
      </c>
      <c r="D66" s="501">
        <f t="shared" si="1"/>
        <v>102329295.92</v>
      </c>
      <c r="E66" s="200"/>
      <c r="F66" s="200"/>
      <c r="G66" s="200"/>
      <c r="H66" s="503"/>
    </row>
    <row r="67" ht="14.1" customHeight="1" spans="1:8">
      <c r="A67" s="501" t="s">
        <v>1396</v>
      </c>
      <c r="B67" s="200">
        <v>59</v>
      </c>
      <c r="C67" s="501">
        <f t="shared" si="0"/>
        <v>0</v>
      </c>
      <c r="D67" s="501">
        <f t="shared" si="1"/>
        <v>0</v>
      </c>
      <c r="E67" s="200"/>
      <c r="F67" s="200"/>
      <c r="G67" s="200"/>
      <c r="H67" s="503"/>
    </row>
    <row r="68" ht="14.1" customHeight="1" spans="1:8">
      <c r="A68" s="501" t="s">
        <v>1397</v>
      </c>
      <c r="B68" s="200">
        <v>60</v>
      </c>
      <c r="C68" s="501">
        <f t="shared" si="0"/>
        <v>0</v>
      </c>
      <c r="D68" s="501">
        <f t="shared" si="1"/>
        <v>0</v>
      </c>
      <c r="E68" s="200"/>
      <c r="F68" s="200"/>
      <c r="G68" s="200"/>
      <c r="H68" s="503"/>
    </row>
    <row r="69" ht="14.1" customHeight="1" spans="1:8">
      <c r="A69" s="501" t="s">
        <v>1398</v>
      </c>
      <c r="B69" s="200">
        <v>61</v>
      </c>
      <c r="C69" s="501">
        <f t="shared" si="0"/>
        <v>0</v>
      </c>
      <c r="D69" s="501">
        <f t="shared" si="1"/>
        <v>0</v>
      </c>
      <c r="E69" s="200"/>
      <c r="F69" s="200"/>
      <c r="G69" s="200"/>
      <c r="H69" s="503"/>
    </row>
    <row r="70" ht="14.1" customHeight="1" spans="1:8">
      <c r="A70" s="501" t="s">
        <v>1399</v>
      </c>
      <c r="B70" s="200">
        <v>62</v>
      </c>
      <c r="C70" s="501">
        <f t="shared" si="0"/>
        <v>0</v>
      </c>
      <c r="D70" s="501">
        <f t="shared" si="1"/>
        <v>0</v>
      </c>
      <c r="E70" s="200"/>
      <c r="F70" s="200"/>
      <c r="G70" s="200"/>
      <c r="H70" s="503"/>
    </row>
    <row r="71" ht="14.1" customHeight="1" spans="1:8">
      <c r="A71" s="501" t="s">
        <v>1400</v>
      </c>
      <c r="B71" s="200">
        <v>63</v>
      </c>
      <c r="C71" s="501">
        <f t="shared" si="0"/>
        <v>0</v>
      </c>
      <c r="D71" s="501">
        <f t="shared" si="1"/>
        <v>0</v>
      </c>
      <c r="E71" s="200"/>
      <c r="F71" s="200"/>
      <c r="G71" s="200"/>
      <c r="H71" s="503"/>
    </row>
    <row r="72" ht="14.1" customHeight="1" spans="1:8">
      <c r="A72" s="501" t="s">
        <v>1401</v>
      </c>
      <c r="B72" s="200">
        <v>64</v>
      </c>
      <c r="C72" s="501">
        <f t="shared" si="0"/>
        <v>0</v>
      </c>
      <c r="D72" s="501">
        <f t="shared" si="1"/>
        <v>0</v>
      </c>
      <c r="E72" s="200"/>
      <c r="F72" s="200"/>
      <c r="G72" s="200"/>
      <c r="H72" s="503"/>
    </row>
    <row r="73" ht="14.1" customHeight="1" spans="1:8">
      <c r="A73" s="501" t="s">
        <v>1402</v>
      </c>
      <c r="B73" s="200">
        <v>65</v>
      </c>
      <c r="C73" s="501">
        <f t="shared" si="0"/>
        <v>0</v>
      </c>
      <c r="D73" s="501">
        <f t="shared" si="1"/>
        <v>0</v>
      </c>
      <c r="E73" s="200"/>
      <c r="F73" s="200"/>
      <c r="G73" s="200"/>
      <c r="H73" s="503"/>
    </row>
    <row r="74" ht="14.1" customHeight="1" spans="1:8">
      <c r="A74" s="501" t="s">
        <v>1403</v>
      </c>
      <c r="B74" s="200">
        <v>66</v>
      </c>
      <c r="C74" s="501">
        <f t="shared" si="0"/>
        <v>0</v>
      </c>
      <c r="D74" s="501">
        <f t="shared" si="1"/>
        <v>0</v>
      </c>
      <c r="E74" s="200"/>
      <c r="F74" s="200"/>
      <c r="G74" s="200"/>
      <c r="H74" s="503"/>
    </row>
    <row r="75" ht="14.1" customHeight="1" spans="1:8">
      <c r="A75" s="501" t="s">
        <v>1404</v>
      </c>
      <c r="B75" s="200">
        <v>67</v>
      </c>
      <c r="C75" s="501">
        <f t="shared" si="0"/>
        <v>0</v>
      </c>
      <c r="D75" s="501">
        <f t="shared" si="1"/>
        <v>0</v>
      </c>
      <c r="E75" s="200"/>
      <c r="F75" s="200"/>
      <c r="G75" s="200"/>
      <c r="H75" s="503"/>
    </row>
    <row r="76" ht="14.1" customHeight="1" spans="1:8">
      <c r="A76" s="501" t="s">
        <v>1405</v>
      </c>
      <c r="B76" s="200">
        <v>68</v>
      </c>
      <c r="C76" s="501">
        <f t="shared" si="0"/>
        <v>0</v>
      </c>
      <c r="D76" s="501">
        <f t="shared" si="1"/>
        <v>0</v>
      </c>
      <c r="E76" s="200"/>
      <c r="F76" s="200"/>
      <c r="G76" s="200"/>
      <c r="H76" s="503"/>
    </row>
    <row r="77" ht="14.1" customHeight="1" spans="1:8">
      <c r="A77" s="501" t="s">
        <v>1406</v>
      </c>
      <c r="B77" s="200">
        <v>69</v>
      </c>
      <c r="C77" s="501">
        <f t="shared" si="0"/>
        <v>44150914.8</v>
      </c>
      <c r="D77" s="501">
        <f t="shared" si="1"/>
        <v>102329295.92</v>
      </c>
      <c r="E77" s="200"/>
      <c r="F77" s="200"/>
      <c r="G77" s="200"/>
      <c r="H77" s="503"/>
    </row>
    <row r="78" ht="14.1" customHeight="1" spans="1:8">
      <c r="A78" s="501" t="s">
        <v>1407</v>
      </c>
      <c r="B78" s="200">
        <v>70</v>
      </c>
      <c r="C78" s="501">
        <f t="shared" si="0"/>
        <v>0</v>
      </c>
      <c r="D78" s="501">
        <f t="shared" si="1"/>
        <v>0</v>
      </c>
      <c r="E78" s="200"/>
      <c r="F78" s="200"/>
      <c r="G78" s="200"/>
      <c r="H78" s="503"/>
    </row>
    <row r="79" ht="14.1" customHeight="1" spans="1:8">
      <c r="A79" s="501" t="s">
        <v>1408</v>
      </c>
      <c r="B79" s="200">
        <v>71</v>
      </c>
      <c r="C79" s="501">
        <f t="shared" si="0"/>
        <v>15000000</v>
      </c>
      <c r="D79" s="501">
        <f t="shared" si="1"/>
        <v>235000000</v>
      </c>
      <c r="E79" s="200"/>
      <c r="F79" s="200"/>
      <c r="G79" s="200"/>
      <c r="H79" s="503"/>
    </row>
    <row r="80" ht="14.1" customHeight="1" spans="1:8">
      <c r="A80" s="501" t="s">
        <v>1409</v>
      </c>
      <c r="B80" s="200">
        <v>72</v>
      </c>
      <c r="C80" s="501">
        <f t="shared" si="0"/>
        <v>0</v>
      </c>
      <c r="D80" s="501">
        <f t="shared" si="1"/>
        <v>0</v>
      </c>
      <c r="E80" s="200"/>
      <c r="F80" s="200"/>
      <c r="G80" s="200"/>
      <c r="H80" s="503"/>
    </row>
    <row r="81" ht="14.1" customHeight="1" spans="1:8">
      <c r="A81" s="501" t="s">
        <v>1410</v>
      </c>
      <c r="B81" s="200">
        <v>73</v>
      </c>
      <c r="C81" s="501">
        <f t="shared" si="0"/>
        <v>0</v>
      </c>
      <c r="D81" s="501">
        <f t="shared" si="1"/>
        <v>0</v>
      </c>
      <c r="E81" s="200"/>
      <c r="F81" s="200"/>
      <c r="G81" s="200"/>
      <c r="H81" s="503"/>
    </row>
    <row r="82" ht="14.1" customHeight="1" spans="1:8">
      <c r="A82" s="501" t="s">
        <v>1411</v>
      </c>
      <c r="B82" s="200">
        <v>74</v>
      </c>
      <c r="C82" s="501">
        <f t="shared" si="0"/>
        <v>0</v>
      </c>
      <c r="D82" s="501">
        <f t="shared" si="1"/>
        <v>0</v>
      </c>
      <c r="E82" s="200"/>
      <c r="F82" s="200"/>
      <c r="G82" s="200"/>
      <c r="H82" s="503"/>
    </row>
    <row r="83" ht="14.1" customHeight="1" spans="1:8">
      <c r="A83" s="501" t="s">
        <v>1412</v>
      </c>
      <c r="B83" s="200">
        <v>75</v>
      </c>
      <c r="C83" s="501">
        <f t="shared" si="0"/>
        <v>-145097.89</v>
      </c>
      <c r="D83" s="501">
        <f t="shared" si="1"/>
        <v>-7719118.21</v>
      </c>
      <c r="E83" s="200"/>
      <c r="F83" s="200"/>
      <c r="G83" s="200"/>
      <c r="H83" s="503"/>
    </row>
    <row r="84" ht="14.1" customHeight="1" spans="1:8">
      <c r="A84" s="501" t="s">
        <v>1413</v>
      </c>
      <c r="B84" s="200">
        <v>76</v>
      </c>
      <c r="C84" s="501">
        <f t="shared" si="0"/>
        <v>14854902.11</v>
      </c>
      <c r="D84" s="501">
        <f t="shared" si="1"/>
        <v>227280881.79</v>
      </c>
      <c r="E84" s="200"/>
      <c r="F84" s="200"/>
      <c r="G84" s="200"/>
      <c r="H84" s="503"/>
    </row>
    <row r="85" ht="14.1" customHeight="1" spans="1:8">
      <c r="A85" s="501"/>
      <c r="B85" s="200"/>
      <c r="C85" s="501">
        <f t="shared" si="0"/>
        <v>0</v>
      </c>
      <c r="D85" s="501">
        <f t="shared" si="1"/>
        <v>0</v>
      </c>
      <c r="E85" s="200"/>
      <c r="F85" s="200"/>
      <c r="G85" s="200"/>
      <c r="H85" s="503"/>
    </row>
    <row r="86" spans="1:8">
      <c r="A86" s="501"/>
      <c r="B86" s="200"/>
      <c r="C86" s="501">
        <f t="shared" si="0"/>
        <v>0</v>
      </c>
      <c r="D86" s="501">
        <f t="shared" si="1"/>
        <v>0</v>
      </c>
      <c r="E86" s="200"/>
      <c r="F86" s="200"/>
      <c r="G86" s="200"/>
      <c r="H86" s="503"/>
    </row>
    <row r="87" spans="1:8">
      <c r="A87" s="501"/>
      <c r="B87" s="200"/>
      <c r="C87" s="501">
        <f t="shared" si="0"/>
        <v>0</v>
      </c>
      <c r="D87" s="501">
        <f t="shared" si="1"/>
        <v>0</v>
      </c>
      <c r="E87" s="200"/>
      <c r="F87" s="200"/>
      <c r="G87" s="200"/>
      <c r="H87" s="503"/>
    </row>
    <row r="88" spans="1:8">
      <c r="A88" s="501"/>
      <c r="B88" s="200"/>
      <c r="C88" s="501">
        <f t="shared" si="0"/>
        <v>0</v>
      </c>
      <c r="D88" s="501">
        <f t="shared" si="1"/>
        <v>0</v>
      </c>
      <c r="E88" s="200"/>
      <c r="F88" s="200"/>
      <c r="G88" s="200"/>
      <c r="H88" s="503"/>
    </row>
    <row r="89" spans="1:8">
      <c r="A89" s="501"/>
      <c r="B89" s="200"/>
      <c r="C89" s="501">
        <f t="shared" si="0"/>
        <v>0</v>
      </c>
      <c r="D89" s="501">
        <f t="shared" si="1"/>
        <v>0</v>
      </c>
      <c r="E89" s="200"/>
      <c r="F89" s="200"/>
      <c r="G89" s="200"/>
      <c r="H89" s="503"/>
    </row>
    <row r="90" spans="1:8">
      <c r="A90" s="501"/>
      <c r="B90" s="200"/>
      <c r="C90" s="501">
        <f t="shared" si="0"/>
        <v>0</v>
      </c>
      <c r="D90" s="501">
        <f t="shared" si="1"/>
        <v>0</v>
      </c>
      <c r="E90" s="200"/>
      <c r="F90" s="200"/>
      <c r="G90" s="200"/>
      <c r="H90" s="503"/>
    </row>
    <row r="91" ht="14.1" customHeight="1" spans="1:8">
      <c r="A91" s="501" t="s">
        <v>1414</v>
      </c>
      <c r="B91" s="200">
        <v>77</v>
      </c>
      <c r="C91" s="501">
        <f t="shared" si="0"/>
        <v>59005816.91</v>
      </c>
      <c r="D91" s="501">
        <f t="shared" si="1"/>
        <v>329610177.71</v>
      </c>
      <c r="E91" s="200"/>
      <c r="F91" s="200"/>
      <c r="G91" s="200"/>
      <c r="H91" s="503"/>
    </row>
    <row r="92" ht="14.1" customHeight="1" spans="1:8">
      <c r="A92" s="501"/>
      <c r="B92" s="200"/>
      <c r="C92" s="200"/>
      <c r="D92" s="503"/>
      <c r="E92" s="200"/>
      <c r="F92" s="200"/>
      <c r="G92" s="200"/>
      <c r="H92" s="503"/>
    </row>
    <row r="93" spans="1:8">
      <c r="A93" s="501"/>
      <c r="B93" s="200"/>
      <c r="C93" s="501">
        <f>C91-C47</f>
        <v>0</v>
      </c>
      <c r="D93" s="501">
        <f>D91-D47</f>
        <v>0</v>
      </c>
      <c r="E93" s="200"/>
      <c r="F93" s="200"/>
      <c r="G93" s="200"/>
      <c r="H93" s="503"/>
    </row>
    <row r="94" spans="1:8">
      <c r="A94" s="501"/>
      <c r="B94" s="200"/>
      <c r="C94" s="200"/>
      <c r="D94" s="503"/>
      <c r="E94" s="200"/>
      <c r="F94" s="200"/>
      <c r="G94" s="200"/>
      <c r="H94" s="503"/>
    </row>
    <row r="95" spans="1:8">
      <c r="A95" s="501"/>
      <c r="B95" s="200"/>
      <c r="C95" s="200"/>
      <c r="D95" s="503"/>
      <c r="E95" s="200"/>
      <c r="F95" s="200"/>
      <c r="G95" s="200"/>
      <c r="H95" s="503"/>
    </row>
    <row r="96" spans="1:8">
      <c r="A96" s="501"/>
      <c r="B96" s="200"/>
      <c r="C96" s="200"/>
      <c r="D96" s="503"/>
      <c r="E96" s="200"/>
      <c r="F96" s="200"/>
      <c r="G96" s="200"/>
      <c r="H96" s="503"/>
    </row>
    <row r="97" spans="1:8">
      <c r="A97" s="501"/>
      <c r="B97" s="200"/>
      <c r="C97" s="200"/>
      <c r="D97" s="503"/>
      <c r="E97" s="200"/>
      <c r="F97" s="200"/>
      <c r="G97" s="200"/>
      <c r="H97" s="503"/>
    </row>
    <row r="98" spans="1:8">
      <c r="A98" s="501"/>
      <c r="B98" s="200"/>
      <c r="C98" s="200"/>
      <c r="D98" s="503"/>
      <c r="E98" s="200"/>
      <c r="F98" s="200"/>
      <c r="G98" s="200"/>
      <c r="H98" s="503"/>
    </row>
    <row r="99" spans="1:8">
      <c r="A99" s="501"/>
      <c r="B99" s="200"/>
      <c r="C99" s="200"/>
      <c r="D99" s="503"/>
      <c r="E99" s="200"/>
      <c r="F99" s="200"/>
      <c r="G99" s="200"/>
      <c r="H99" s="503"/>
    </row>
    <row r="100" spans="1:8">
      <c r="A100" s="501"/>
      <c r="B100" s="200"/>
      <c r="C100" s="200"/>
      <c r="D100" s="503"/>
      <c r="E100" s="200"/>
      <c r="F100" s="200"/>
      <c r="G100" s="200"/>
      <c r="H100" s="503"/>
    </row>
    <row r="101" spans="1:8">
      <c r="A101" s="501"/>
      <c r="B101" s="200"/>
      <c r="C101" s="200"/>
      <c r="D101" s="503"/>
      <c r="E101" s="200"/>
      <c r="F101" s="200"/>
      <c r="G101" s="200"/>
      <c r="H101" s="503"/>
    </row>
    <row r="102" spans="1:8">
      <c r="A102" s="501"/>
      <c r="B102" s="200"/>
      <c r="C102" s="200"/>
      <c r="D102" s="503"/>
      <c r="E102" s="200"/>
      <c r="F102" s="200"/>
      <c r="G102" s="200"/>
      <c r="H102" s="503"/>
    </row>
    <row r="103" spans="1:8">
      <c r="A103" s="501"/>
      <c r="B103" s="200"/>
      <c r="C103" s="200"/>
      <c r="D103" s="503"/>
      <c r="E103" s="200"/>
      <c r="F103" s="200"/>
      <c r="G103" s="200"/>
      <c r="H103" s="503"/>
    </row>
    <row r="104" spans="1:8">
      <c r="A104" s="501"/>
      <c r="B104" s="200"/>
      <c r="C104" s="200"/>
      <c r="D104" s="503"/>
      <c r="E104" s="200"/>
      <c r="F104" s="200"/>
      <c r="G104" s="200"/>
      <c r="H104" s="503"/>
    </row>
    <row r="105" spans="1:8">
      <c r="A105" s="501"/>
      <c r="B105" s="200"/>
      <c r="C105" s="200"/>
      <c r="D105" s="503"/>
      <c r="E105" s="200"/>
      <c r="F105" s="200"/>
      <c r="G105" s="200"/>
      <c r="H105" s="503"/>
    </row>
    <row r="106" spans="1:8">
      <c r="A106" s="501"/>
      <c r="B106" s="200"/>
      <c r="C106" s="200"/>
      <c r="D106" s="503"/>
      <c r="E106" s="200"/>
      <c r="F106" s="200"/>
      <c r="G106" s="200"/>
      <c r="H106" s="503"/>
    </row>
    <row r="107" spans="1:8">
      <c r="A107" s="501"/>
      <c r="B107" s="200"/>
      <c r="C107" s="200"/>
      <c r="D107" s="503"/>
      <c r="E107" s="200"/>
      <c r="F107" s="200"/>
      <c r="G107" s="200"/>
      <c r="H107" s="503"/>
    </row>
    <row r="108" spans="1:8">
      <c r="A108" s="501"/>
      <c r="B108" s="200"/>
      <c r="C108" s="200"/>
      <c r="D108" s="503"/>
      <c r="E108" s="200"/>
      <c r="F108" s="200"/>
      <c r="G108" s="200"/>
      <c r="H108" s="503"/>
    </row>
    <row r="109" spans="1:8">
      <c r="A109" s="501"/>
      <c r="B109" s="200"/>
      <c r="C109" s="200"/>
      <c r="D109" s="503"/>
      <c r="E109" s="200"/>
      <c r="F109" s="200"/>
      <c r="G109" s="200"/>
      <c r="H109" s="503"/>
    </row>
    <row r="110" spans="1:8">
      <c r="A110" s="501"/>
      <c r="B110" s="200"/>
      <c r="C110" s="200"/>
      <c r="D110" s="503"/>
      <c r="E110" s="200"/>
      <c r="F110" s="200"/>
      <c r="G110" s="200"/>
      <c r="H110" s="503"/>
    </row>
    <row r="111" spans="1:8">
      <c r="A111" s="501"/>
      <c r="B111" s="200"/>
      <c r="C111" s="200"/>
      <c r="D111" s="503"/>
      <c r="E111" s="200"/>
      <c r="F111" s="200"/>
      <c r="G111" s="200"/>
      <c r="H111" s="503"/>
    </row>
    <row r="112" spans="1:8">
      <c r="A112" s="501"/>
      <c r="B112" s="200"/>
      <c r="C112" s="200"/>
      <c r="D112" s="503"/>
      <c r="E112" s="200"/>
      <c r="F112" s="200"/>
      <c r="G112" s="200"/>
      <c r="H112" s="503"/>
    </row>
    <row r="113" spans="1:8">
      <c r="A113" s="501"/>
      <c r="B113" s="200"/>
      <c r="C113" s="200"/>
      <c r="D113" s="503"/>
      <c r="E113" s="200"/>
      <c r="F113" s="200"/>
      <c r="G113" s="200"/>
      <c r="H113" s="503"/>
    </row>
    <row r="114" spans="1:8">
      <c r="A114" s="501"/>
      <c r="B114" s="200"/>
      <c r="C114" s="200"/>
      <c r="D114" s="503"/>
      <c r="E114" s="200"/>
      <c r="F114" s="200"/>
      <c r="G114" s="200"/>
      <c r="H114" s="503"/>
    </row>
    <row r="115" spans="1:8">
      <c r="A115" s="501"/>
      <c r="B115" s="200"/>
      <c r="C115" s="200"/>
      <c r="D115" s="503"/>
      <c r="E115" s="200"/>
      <c r="F115" s="200"/>
      <c r="G115" s="200"/>
      <c r="H115" s="503"/>
    </row>
    <row r="116" spans="1:8">
      <c r="A116" s="501"/>
      <c r="B116" s="200"/>
      <c r="C116" s="200"/>
      <c r="D116" s="503"/>
      <c r="E116" s="200"/>
      <c r="F116" s="200"/>
      <c r="G116" s="200"/>
      <c r="H116" s="503"/>
    </row>
  </sheetData>
  <mergeCells count="2">
    <mergeCell ref="A1:H1"/>
    <mergeCell ref="C3:D3"/>
  </mergeCells>
  <pageMargins left="0.25" right="0.25" top="0.75" bottom="0.75" header="0.3" footer="0.3"/>
  <pageSetup paperSize="9" scale="75" orientation="portrait"/>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92D050"/>
    <pageSetUpPr fitToPage="1"/>
  </sheetPr>
  <dimension ref="A1:N34"/>
  <sheetViews>
    <sheetView view="pageBreakPreview" zoomScaleNormal="100" topLeftCell="B1" workbookViewId="0">
      <selection activeCell="Y20" sqref="Y20"/>
    </sheetView>
  </sheetViews>
  <sheetFormatPr defaultColWidth="9" defaultRowHeight="15"/>
  <cols>
    <col min="1" max="1" width="2.625" style="410" hidden="1" customWidth="1"/>
    <col min="2" max="2" width="30.375" style="410" customWidth="1"/>
    <col min="3" max="3" width="10.125" style="410" customWidth="1"/>
    <col min="4" max="5" width="18.5" style="410" customWidth="1"/>
    <col min="6" max="6" width="10.9666666666667" style="410" customWidth="1"/>
    <col min="7" max="7" width="14.8416666666667" style="410" customWidth="1"/>
    <col min="8" max="8" width="5.93333333333333" style="410" customWidth="1"/>
    <col min="9" max="9" width="11.2583333333333" style="410"/>
    <col min="10" max="10" width="12.3166666666667" style="410"/>
    <col min="11" max="12" width="18.7833333333333" style="410" customWidth="1"/>
    <col min="13" max="13" width="11.5666666666667" style="410"/>
    <col min="14" max="14" width="11.4666666666667" style="410"/>
    <col min="15" max="16384" width="9" style="410"/>
  </cols>
  <sheetData>
    <row r="1" ht="30.75" customHeight="1" spans="1:14">
      <c r="A1" s="411"/>
      <c r="B1" s="412" t="s">
        <v>1415</v>
      </c>
      <c r="C1" s="412"/>
      <c r="D1" s="412"/>
      <c r="E1" s="412"/>
      <c r="F1" s="155"/>
      <c r="G1" s="411"/>
      <c r="H1" s="413"/>
      <c r="I1" s="413"/>
    </row>
    <row r="2" customFormat="1" ht="30.75" customHeight="1" spans="1:14">
      <c r="A2" s="411"/>
      <c r="B2" s="412"/>
      <c r="C2" s="412"/>
      <c r="D2" s="412"/>
      <c r="E2" s="412"/>
      <c r="F2" s="155"/>
      <c r="G2" s="411"/>
      <c r="H2" s="413"/>
      <c r="I2" s="413"/>
      <c r="M2">
        <f>M15-M3</f>
        <v>6973930.27000004</v>
      </c>
    </row>
    <row r="3" s="409" customFormat="1" ht="16.5" customHeight="1" spans="1:14">
      <c r="A3" s="414"/>
      <c r="B3" s="272" t="s">
        <v>1416</v>
      </c>
      <c r="C3" s="181">
        <f>精铸PL!B3</f>
        <v>45991</v>
      </c>
      <c r="D3" s="414"/>
      <c r="E3" s="285" t="s">
        <v>1417</v>
      </c>
      <c r="F3" s="415">
        <f>(D6-D9)/D6</f>
        <v>0.189450452535906</v>
      </c>
      <c r="G3" s="415">
        <f>(E6-E9)/E6</f>
        <v>0.0747817082488729</v>
      </c>
      <c r="H3" s="416"/>
      <c r="I3" s="416"/>
      <c r="M3" s="409">
        <v>3639827.28999999</v>
      </c>
    </row>
    <row r="4" s="409" customFormat="1" ht="16.5" customHeight="1" spans="1:14">
      <c r="A4" s="414"/>
      <c r="B4" s="417" t="s">
        <v>1418</v>
      </c>
      <c r="C4" s="418" t="s">
        <v>1288</v>
      </c>
      <c r="D4" s="419"/>
      <c r="E4" s="291" t="s">
        <v>99</v>
      </c>
      <c r="F4" s="420"/>
      <c r="G4" s="414"/>
      <c r="H4" s="416"/>
      <c r="I4" s="416"/>
    </row>
    <row r="5" s="409" customFormat="1" ht="15.95" customHeight="1" spans="1:14">
      <c r="A5" s="414"/>
      <c r="B5" s="421" t="s">
        <v>284</v>
      </c>
      <c r="C5" s="422" t="s">
        <v>285</v>
      </c>
      <c r="D5" s="423" t="s">
        <v>1229</v>
      </c>
      <c r="E5" s="423" t="s">
        <v>287</v>
      </c>
      <c r="F5" s="424" t="s">
        <v>1419</v>
      </c>
      <c r="G5" s="425" t="s">
        <v>1420</v>
      </c>
      <c r="H5" s="426" t="s">
        <v>1232</v>
      </c>
      <c r="I5" s="416"/>
      <c r="J5" s="427" t="s">
        <v>1421</v>
      </c>
      <c r="K5" s="427" t="s">
        <v>1422</v>
      </c>
      <c r="L5" s="427"/>
    </row>
    <row r="6" s="409" customFormat="1" ht="15.95" customHeight="1" spans="1:14">
      <c r="A6" s="414"/>
      <c r="B6" s="246" t="s">
        <v>612</v>
      </c>
      <c r="C6" s="428"/>
      <c r="D6" s="429">
        <f>E6-G6</f>
        <v>14643723.11</v>
      </c>
      <c r="E6" s="429">
        <v>105300035.99</v>
      </c>
      <c r="F6" s="430">
        <v>12406817.5</v>
      </c>
      <c r="G6" s="431">
        <v>90656312.88</v>
      </c>
      <c r="H6" s="432"/>
      <c r="I6" s="433" t="s">
        <v>1423</v>
      </c>
      <c r="J6" s="434">
        <f>D6+快速PL!C6</f>
        <v>17688265.31</v>
      </c>
      <c r="K6" s="434">
        <v>3096840.52</v>
      </c>
      <c r="L6" s="434"/>
      <c r="M6" s="434">
        <f>J6-K6</f>
        <v>14591424.79</v>
      </c>
      <c r="N6" s="434">
        <f>M6-L6</f>
        <v>14591424.79</v>
      </c>
    </row>
    <row r="7" s="409" customFormat="1" ht="15.95" customHeight="1" spans="1:14">
      <c r="A7" s="414"/>
      <c r="B7" s="435" t="s">
        <v>1233</v>
      </c>
      <c r="C7" s="436">
        <v>1</v>
      </c>
      <c r="D7" s="437">
        <f t="shared" ref="D7:D29" si="0">E7-G7</f>
        <v>14585505.76</v>
      </c>
      <c r="E7" s="437">
        <v>104013355.52</v>
      </c>
      <c r="F7" s="430">
        <v>12307601.71</v>
      </c>
      <c r="G7" s="438">
        <v>89427849.76</v>
      </c>
      <c r="H7" s="416"/>
      <c r="I7" s="433" t="s">
        <v>1424</v>
      </c>
      <c r="J7" s="434">
        <f>E6+快速PL!D6</f>
        <v>245126350.29</v>
      </c>
      <c r="K7" s="434">
        <f>97046286.95-合并调整抵消分录!F224</f>
        <v>97046286.95</v>
      </c>
      <c r="L7" s="434"/>
      <c r="M7" s="434">
        <f>J7-K7</f>
        <v>148080063.34</v>
      </c>
      <c r="N7" s="434">
        <f>M7-L7</f>
        <v>148080063.34</v>
      </c>
    </row>
    <row r="8" s="409" customFormat="1" ht="15.95" customHeight="1" spans="1:14">
      <c r="A8" s="414"/>
      <c r="B8" s="251" t="s">
        <v>823</v>
      </c>
      <c r="C8" s="439">
        <v>2</v>
      </c>
      <c r="D8" s="440">
        <f t="shared" si="0"/>
        <v>58217.3499999999</v>
      </c>
      <c r="E8" s="440">
        <v>1286680.47</v>
      </c>
      <c r="F8" s="430">
        <v>99215.79</v>
      </c>
      <c r="G8" s="438">
        <v>1228463.12</v>
      </c>
      <c r="H8" s="416"/>
      <c r="I8" s="416"/>
      <c r="J8" s="434"/>
    </row>
    <row r="9" s="409" customFormat="1" ht="15.95" customHeight="1" spans="1:14">
      <c r="A9" s="414"/>
      <c r="B9" s="251" t="s">
        <v>613</v>
      </c>
      <c r="C9" s="439">
        <v>3</v>
      </c>
      <c r="D9" s="441">
        <f t="shared" si="0"/>
        <v>11869463.14</v>
      </c>
      <c r="E9" s="441">
        <v>97425519.42</v>
      </c>
      <c r="F9" s="430">
        <v>11590709.48</v>
      </c>
      <c r="G9" s="438">
        <v>85556056.28</v>
      </c>
      <c r="H9" s="416"/>
      <c r="I9" s="416"/>
      <c r="J9" s="434">
        <f>D9+快速PL!C9</f>
        <v>16764416.79</v>
      </c>
      <c r="K9" s="434">
        <v>3096840.52</v>
      </c>
      <c r="M9" s="434">
        <f>J9-K9</f>
        <v>13667576.27</v>
      </c>
      <c r="N9" s="434">
        <f>M9-'利润表-新材料+快速'!W8</f>
        <v>8863004.41000002</v>
      </c>
    </row>
    <row r="10" s="409" customFormat="1" ht="15.95" customHeight="1" spans="1:14">
      <c r="A10" s="414"/>
      <c r="B10" s="435" t="s">
        <v>1234</v>
      </c>
      <c r="C10" s="436">
        <v>4</v>
      </c>
      <c r="D10" s="442">
        <f t="shared" si="0"/>
        <v>11813285.92</v>
      </c>
      <c r="E10" s="442">
        <v>96384044.56</v>
      </c>
      <c r="F10" s="430">
        <v>11551105.92</v>
      </c>
      <c r="G10" s="438">
        <v>84570758.64</v>
      </c>
      <c r="H10" s="416"/>
      <c r="I10" s="416"/>
      <c r="J10" s="434">
        <f>E9+快速PL!D9</f>
        <v>234490704.35</v>
      </c>
      <c r="K10" s="434">
        <f>97046286.95-合并调整抵消分录!F224-合并调整抵消分录!F196</f>
        <v>97024398.57</v>
      </c>
      <c r="M10" s="434">
        <f>J10-K10</f>
        <v>137466305.78</v>
      </c>
      <c r="N10" s="434">
        <f>M10-'利润表-新材料+快速'!X8</f>
        <v>34370717.91</v>
      </c>
    </row>
    <row r="11" s="409" customFormat="1" ht="15.95" customHeight="1" spans="1:14">
      <c r="A11" s="414"/>
      <c r="B11" s="251" t="s">
        <v>824</v>
      </c>
      <c r="C11" s="439">
        <v>5</v>
      </c>
      <c r="D11" s="441">
        <f t="shared" si="0"/>
        <v>56177.22</v>
      </c>
      <c r="E11" s="441">
        <v>1041474.86</v>
      </c>
      <c r="F11" s="430">
        <v>39603.5600000001</v>
      </c>
      <c r="G11" s="438">
        <v>985297.64</v>
      </c>
      <c r="H11" s="416"/>
      <c r="I11" s="416"/>
      <c r="J11" s="434"/>
    </row>
    <row r="12" s="409" customFormat="1" ht="15.95" customHeight="1" spans="1:14">
      <c r="A12" s="414"/>
      <c r="B12" s="251" t="s">
        <v>1235</v>
      </c>
      <c r="C12" s="439">
        <v>6</v>
      </c>
      <c r="D12" s="441">
        <f t="shared" si="0"/>
        <v>0</v>
      </c>
      <c r="E12" s="441">
        <v>92047.22</v>
      </c>
      <c r="F12" s="430">
        <v>4709.66</v>
      </c>
      <c r="G12" s="438">
        <v>92047.22</v>
      </c>
      <c r="H12" s="416"/>
      <c r="I12" s="416"/>
      <c r="L12" s="434">
        <f>E12/7*4</f>
        <v>52598.4114285714</v>
      </c>
      <c r="N12" s="434">
        <f>L7-N10</f>
        <v>-34370717.91</v>
      </c>
    </row>
    <row r="13" s="409" customFormat="1" ht="15.95" customHeight="1" spans="1:14">
      <c r="A13" s="414"/>
      <c r="B13" s="251" t="s">
        <v>826</v>
      </c>
      <c r="C13" s="439">
        <v>7</v>
      </c>
      <c r="D13" s="441">
        <f t="shared" si="0"/>
        <v>1891985.15</v>
      </c>
      <c r="E13" s="441">
        <v>7264568.53</v>
      </c>
      <c r="F13" s="443">
        <v>627220.02</v>
      </c>
      <c r="G13" s="438">
        <v>5372583.38</v>
      </c>
      <c r="H13" s="416"/>
      <c r="I13" s="416"/>
      <c r="L13" s="434">
        <f>E13/7*4</f>
        <v>4151182.01714286</v>
      </c>
    </row>
    <row r="14" s="409" customFormat="1" ht="15.95" customHeight="1" spans="1:14">
      <c r="A14" s="414"/>
      <c r="B14" s="251" t="s">
        <v>825</v>
      </c>
      <c r="C14" s="439">
        <v>8</v>
      </c>
      <c r="D14" s="441">
        <f t="shared" si="0"/>
        <v>108340.1</v>
      </c>
      <c r="E14" s="441">
        <v>1514310.36</v>
      </c>
      <c r="F14" s="443">
        <v>126273.09</v>
      </c>
      <c r="G14" s="438">
        <v>1405970.26</v>
      </c>
      <c r="H14" s="416"/>
      <c r="I14" s="416"/>
      <c r="L14" s="434">
        <f>E14/7*4</f>
        <v>865320.205714286</v>
      </c>
      <c r="M14" s="434">
        <f>M6-M9</f>
        <v>923848.519999992</v>
      </c>
    </row>
    <row r="15" s="409" customFormat="1" ht="15.95" customHeight="1" spans="1:14">
      <c r="A15" s="414"/>
      <c r="B15" s="251" t="s">
        <v>827</v>
      </c>
      <c r="C15" s="439"/>
      <c r="D15" s="441">
        <f t="shared" si="0"/>
        <v>662794.51</v>
      </c>
      <c r="E15" s="441">
        <v>5421896.77</v>
      </c>
      <c r="F15" s="430">
        <v>266705</v>
      </c>
      <c r="G15" s="438">
        <v>4759102.26</v>
      </c>
      <c r="H15" s="416"/>
      <c r="I15" s="416"/>
      <c r="L15" s="434">
        <f>E15/7*4</f>
        <v>3098226.72571429</v>
      </c>
      <c r="M15" s="434">
        <f>M7-M10</f>
        <v>10613757.56</v>
      </c>
    </row>
    <row r="16" s="409" customFormat="1" ht="15.95" customHeight="1" spans="1:14">
      <c r="A16" s="414"/>
      <c r="B16" s="251" t="s">
        <v>828</v>
      </c>
      <c r="C16" s="439">
        <v>9</v>
      </c>
      <c r="D16" s="441">
        <f t="shared" si="0"/>
        <v>42031.9</v>
      </c>
      <c r="E16" s="441">
        <v>163794.35</v>
      </c>
      <c r="F16" s="430">
        <v>38205.91</v>
      </c>
      <c r="G16" s="438">
        <v>121762.45</v>
      </c>
      <c r="H16" s="416"/>
      <c r="I16" s="416"/>
      <c r="L16" s="434">
        <f>E16/7*4</f>
        <v>93596.7714285714</v>
      </c>
    </row>
    <row r="17" s="409" customFormat="1" ht="15.95" customHeight="1" spans="1:12">
      <c r="A17" s="414"/>
      <c r="B17" s="251" t="s">
        <v>788</v>
      </c>
      <c r="C17" s="439">
        <v>10</v>
      </c>
      <c r="D17" s="441">
        <f t="shared" si="0"/>
        <v>0</v>
      </c>
      <c r="E17" s="441"/>
      <c r="F17" s="430">
        <v>0</v>
      </c>
      <c r="G17" s="438"/>
      <c r="H17" s="416"/>
      <c r="I17" s="433" t="s">
        <v>1425</v>
      </c>
    </row>
    <row r="18" s="409" customFormat="1" ht="15.95" customHeight="1" spans="1:12">
      <c r="A18" s="414"/>
      <c r="B18" s="251" t="s">
        <v>1236</v>
      </c>
      <c r="C18" s="439"/>
      <c r="D18" s="441">
        <f t="shared" si="0"/>
        <v>0</v>
      </c>
      <c r="E18" s="441">
        <v>-1038357.9</v>
      </c>
      <c r="F18" s="430">
        <v>0</v>
      </c>
      <c r="G18" s="438">
        <v>-1038357.9</v>
      </c>
      <c r="H18" s="416"/>
      <c r="I18" s="433" t="s">
        <v>1426</v>
      </c>
    </row>
    <row r="19" s="409" customFormat="1" ht="15.95" customHeight="1" spans="1:12">
      <c r="A19" s="414"/>
      <c r="B19" s="251" t="s">
        <v>1427</v>
      </c>
      <c r="C19" s="439">
        <v>11</v>
      </c>
      <c r="D19" s="441">
        <f t="shared" si="0"/>
        <v>0</v>
      </c>
      <c r="E19" s="441"/>
      <c r="F19" s="430">
        <v>0</v>
      </c>
      <c r="G19" s="438"/>
      <c r="H19" s="444"/>
      <c r="I19" s="416"/>
    </row>
    <row r="20" s="409" customFormat="1" ht="15.95" customHeight="1" spans="1:12">
      <c r="A20" s="414"/>
      <c r="B20" s="251" t="s">
        <v>793</v>
      </c>
      <c r="C20" s="439"/>
      <c r="D20" s="441">
        <f t="shared" si="0"/>
        <v>0</v>
      </c>
      <c r="E20" s="441">
        <v>17487</v>
      </c>
      <c r="F20" s="430">
        <v>17487</v>
      </c>
      <c r="G20" s="438">
        <v>17487</v>
      </c>
      <c r="H20" s="416"/>
      <c r="I20" s="416"/>
    </row>
    <row r="21" s="409" customFormat="1" ht="15.95" customHeight="1" spans="1:12">
      <c r="A21" s="414"/>
      <c r="B21" s="251" t="s">
        <v>1428</v>
      </c>
      <c r="C21" s="439">
        <v>12</v>
      </c>
      <c r="D21" s="441">
        <f t="shared" si="0"/>
        <v>0</v>
      </c>
      <c r="E21" s="441"/>
      <c r="F21" s="430">
        <v>0</v>
      </c>
      <c r="G21" s="438"/>
      <c r="H21" s="416"/>
      <c r="I21" s="444"/>
    </row>
    <row r="22" s="409" customFormat="1" ht="15.95" customHeight="1" spans="1:12">
      <c r="A22" s="414"/>
      <c r="B22" s="251" t="s">
        <v>1239</v>
      </c>
      <c r="C22" s="439">
        <v>13</v>
      </c>
      <c r="D22" s="441">
        <f t="shared" si="0"/>
        <v>0</v>
      </c>
      <c r="E22" s="441"/>
      <c r="F22" s="430">
        <v>0</v>
      </c>
      <c r="G22" s="438"/>
      <c r="H22" s="416"/>
      <c r="I22" s="416"/>
    </row>
    <row r="23" s="409" customFormat="1" ht="15.95" customHeight="1" spans="1:12">
      <c r="A23" s="414"/>
      <c r="B23" s="246" t="s">
        <v>1429</v>
      </c>
      <c r="C23" s="428">
        <v>16</v>
      </c>
      <c r="D23" s="445">
        <f t="shared" si="0"/>
        <v>69108.3100000033</v>
      </c>
      <c r="E23" s="445">
        <f>E6-E9-E12-E13-E14-E15-E16+E17+E18+E20</f>
        <v>-7602971.56000001</v>
      </c>
      <c r="F23" s="430">
        <v>-229518.660000006</v>
      </c>
      <c r="G23" s="438">
        <v>-7672079.87000001</v>
      </c>
      <c r="H23" s="416"/>
      <c r="I23" s="416"/>
    </row>
    <row r="24" s="409" customFormat="1" ht="15.95" customHeight="1" spans="1:12">
      <c r="A24" s="414"/>
      <c r="B24" s="251" t="s">
        <v>632</v>
      </c>
      <c r="C24" s="439">
        <v>17</v>
      </c>
      <c r="D24" s="441">
        <f t="shared" si="0"/>
        <v>0</v>
      </c>
      <c r="E24" s="441">
        <v>30001.26</v>
      </c>
      <c r="F24" s="446">
        <v>0</v>
      </c>
      <c r="G24" s="438">
        <v>30001.26</v>
      </c>
      <c r="H24" s="416"/>
      <c r="I24" s="416"/>
      <c r="L24" s="434">
        <f>E24/7*4</f>
        <v>17143.5771428571</v>
      </c>
    </row>
    <row r="25" s="409" customFormat="1" ht="15.95" customHeight="1" spans="1:12">
      <c r="A25" s="414"/>
      <c r="B25" s="251" t="s">
        <v>633</v>
      </c>
      <c r="C25" s="439">
        <v>18</v>
      </c>
      <c r="D25" s="441">
        <f t="shared" si="0"/>
        <v>0</v>
      </c>
      <c r="E25" s="441">
        <v>1050.02</v>
      </c>
      <c r="F25" s="430">
        <v>0</v>
      </c>
      <c r="G25" s="438">
        <v>1050.02</v>
      </c>
      <c r="H25" s="416"/>
      <c r="I25" s="416"/>
      <c r="L25" s="434">
        <f>E25/7*4</f>
        <v>600.011428571429</v>
      </c>
    </row>
    <row r="26" s="409" customFormat="1" ht="15.95" customHeight="1" spans="1:12">
      <c r="A26" s="414"/>
      <c r="B26" s="251" t="s">
        <v>1241</v>
      </c>
      <c r="C26" s="439">
        <v>19</v>
      </c>
      <c r="D26" s="441">
        <f t="shared" si="0"/>
        <v>0</v>
      </c>
      <c r="E26" s="441"/>
      <c r="F26" s="430">
        <v>0</v>
      </c>
      <c r="G26" s="438"/>
      <c r="H26" s="416"/>
      <c r="I26" s="416"/>
    </row>
    <row r="27" s="409" customFormat="1" ht="15.95" customHeight="1" spans="1:12">
      <c r="A27" s="414"/>
      <c r="B27" s="246" t="s">
        <v>1430</v>
      </c>
      <c r="C27" s="428">
        <v>20</v>
      </c>
      <c r="D27" s="445">
        <f t="shared" si="0"/>
        <v>69108.3100000033</v>
      </c>
      <c r="E27" s="445">
        <f>E23+E24-E25</f>
        <v>-7574020.32000001</v>
      </c>
      <c r="F27" s="430">
        <v>-229518.660000006</v>
      </c>
      <c r="G27" s="438">
        <v>-7643128.63000001</v>
      </c>
      <c r="H27" s="416"/>
      <c r="I27" s="416"/>
    </row>
    <row r="28" s="409" customFormat="1" ht="15.95" customHeight="1" spans="1:12">
      <c r="A28" s="414"/>
      <c r="B28" s="251" t="s">
        <v>635</v>
      </c>
      <c r="C28" s="439">
        <v>21</v>
      </c>
      <c r="D28" s="441">
        <f t="shared" si="0"/>
        <v>0</v>
      </c>
      <c r="E28" s="441"/>
      <c r="F28" s="430">
        <v>0</v>
      </c>
      <c r="G28" s="438"/>
      <c r="H28" s="416"/>
      <c r="I28" s="416"/>
    </row>
    <row r="29" s="409" customFormat="1" ht="15.95" customHeight="1" spans="1:12">
      <c r="A29" s="414"/>
      <c r="B29" s="246" t="s">
        <v>1431</v>
      </c>
      <c r="C29" s="428">
        <v>22</v>
      </c>
      <c r="D29" s="445">
        <f t="shared" si="0"/>
        <v>69108.3100000033</v>
      </c>
      <c r="E29" s="445">
        <f>E27-E28</f>
        <v>-7574020.32000001</v>
      </c>
      <c r="F29" s="430">
        <v>-229518.660000006</v>
      </c>
      <c r="G29" s="438">
        <v>-7643128.63000001</v>
      </c>
      <c r="H29" s="416"/>
      <c r="I29" s="416"/>
    </row>
    <row r="30" s="409" customFormat="1" ht="15.95" customHeight="1" spans="1:12">
      <c r="A30" s="414"/>
      <c r="B30" s="246" t="s">
        <v>1244</v>
      </c>
      <c r="C30" s="428">
        <v>23</v>
      </c>
      <c r="D30" s="447"/>
      <c r="E30" s="448"/>
      <c r="F30" s="430"/>
      <c r="G30" s="438"/>
      <c r="H30" s="416"/>
      <c r="I30" s="449">
        <f>D18+快速PL!C18+热等静压PL!B17+精铸PL!B17</f>
        <v>0</v>
      </c>
    </row>
    <row r="31" s="409" customFormat="1" ht="15.95" customHeight="1" spans="1:12">
      <c r="A31" s="414"/>
      <c r="B31" s="251" t="s">
        <v>1245</v>
      </c>
      <c r="C31" s="439">
        <v>24</v>
      </c>
      <c r="D31" s="450"/>
      <c r="E31" s="450"/>
      <c r="F31" s="420"/>
      <c r="G31" s="451"/>
      <c r="H31" s="416"/>
      <c r="I31" s="416"/>
    </row>
    <row r="32" s="409" customFormat="1" ht="15.95" customHeight="1" spans="1:12">
      <c r="B32" s="251" t="s">
        <v>1246</v>
      </c>
      <c r="C32" s="439">
        <v>25</v>
      </c>
      <c r="D32" s="452"/>
      <c r="E32" s="452"/>
      <c r="F32" s="420"/>
    </row>
    <row r="33" s="409" customFormat="1" ht="15.95" customHeight="1" spans="2:6">
      <c r="B33" s="272" t="s">
        <v>1432</v>
      </c>
      <c r="C33" s="426"/>
      <c r="D33" s="273" t="s">
        <v>1433</v>
      </c>
      <c r="E33" s="453"/>
      <c r="F33" s="420"/>
    </row>
    <row r="34" s="409" customFormat="1" ht="12.75"/>
  </sheetData>
  <mergeCells count="1">
    <mergeCell ref="B1:E1"/>
  </mergeCells>
  <pageMargins left="0.7" right="0.7" top="0.75" bottom="0.75" header="0.3" footer="0.3"/>
  <pageSetup paperSize="9" orientation="portrait"/>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92D050"/>
  </sheetPr>
  <dimension ref="A1:K103"/>
  <sheetViews>
    <sheetView showGridLines="0" zoomScale="85" zoomScaleNormal="85" workbookViewId="0">
      <pane xSplit="1" ySplit="8" topLeftCell="B48" activePane="bottomRight" state="frozen"/>
      <selection/>
      <selection pane="topRight"/>
      <selection pane="bottomLeft"/>
      <selection pane="bottomRight" activeCell="I51" sqref="I51"/>
    </sheetView>
  </sheetViews>
  <sheetFormatPr defaultColWidth="8.25" defaultRowHeight="14.25"/>
  <cols>
    <col min="1" max="1" width="19.8" style="383" customWidth="1"/>
    <col min="2" max="3" width="17.6" style="383" customWidth="1"/>
    <col min="4" max="4" width="19.8" style="383" customWidth="1"/>
    <col min="5" max="6" width="17.6" style="383" customWidth="1"/>
    <col min="7" max="7" width="12.4833333333333" style="122" customWidth="1"/>
    <col min="8" max="8" width="20.7333333333333" style="122" customWidth="1"/>
    <col min="9" max="9" width="16.2666666666667" style="122" customWidth="1"/>
    <col min="10" max="10" width="9.41666666666667" style="122"/>
    <col min="11" max="11" width="13.0583333333333" style="122"/>
    <col min="12" max="16384" width="8.25" style="122"/>
  </cols>
  <sheetData>
    <row r="1" ht="43.2" customHeight="1" spans="1:11">
      <c r="A1" s="385"/>
      <c r="B1" s="385"/>
      <c r="C1" s="396" t="s">
        <v>100</v>
      </c>
      <c r="D1" s="397" t="s">
        <v>1204</v>
      </c>
      <c r="E1" s="385"/>
      <c r="F1" s="385"/>
    </row>
    <row r="2" ht="18" customHeight="1" spans="1:11">
      <c r="A2" s="386"/>
      <c r="B2" s="386"/>
      <c r="C2" s="386"/>
      <c r="D2" s="386"/>
      <c r="E2" s="386"/>
      <c r="F2" s="398" t="s">
        <v>97</v>
      </c>
    </row>
    <row r="3" ht="18" customHeight="1" spans="1:11">
      <c r="A3" s="387" t="s">
        <v>194</v>
      </c>
      <c r="B3" s="387"/>
      <c r="C3" s="386" t="s">
        <v>195</v>
      </c>
      <c r="D3" s="399">
        <f>新材料BS新!D2</f>
        <v>45991</v>
      </c>
      <c r="E3" s="386" t="s">
        <v>196</v>
      </c>
      <c r="F3" s="387" t="s">
        <v>197</v>
      </c>
    </row>
    <row r="4" ht="7.2" customHeight="1"/>
    <row r="5" ht="18" customHeight="1" spans="1:11">
      <c r="A5" s="387" t="s">
        <v>1434</v>
      </c>
      <c r="B5" s="387"/>
    </row>
    <row r="6" ht="7.2" customHeight="1"/>
    <row r="7" ht="18" customHeight="1" spans="1:11">
      <c r="A7" s="390" t="s">
        <v>100</v>
      </c>
      <c r="B7" s="390" t="s">
        <v>101</v>
      </c>
      <c r="C7" s="390" t="s">
        <v>102</v>
      </c>
      <c r="D7" s="390" t="s">
        <v>198</v>
      </c>
      <c r="E7" s="390" t="s">
        <v>101</v>
      </c>
      <c r="F7" s="390" t="s">
        <v>102</v>
      </c>
    </row>
    <row r="8" ht="18" customHeight="1" spans="1:11">
      <c r="A8" s="391" t="s">
        <v>104</v>
      </c>
      <c r="B8" s="393"/>
      <c r="C8" s="393"/>
      <c r="D8" s="391" t="s">
        <v>105</v>
      </c>
      <c r="E8" s="393"/>
      <c r="F8" s="393"/>
    </row>
    <row r="9" ht="18" customHeight="1" spans="1:11">
      <c r="A9" s="391" t="s">
        <v>199</v>
      </c>
      <c r="B9" s="393">
        <v>24245573.21</v>
      </c>
      <c r="C9" s="393">
        <v>40351321.46</v>
      </c>
      <c r="D9" s="391" t="s">
        <v>200</v>
      </c>
      <c r="E9" s="393">
        <v>71755312.09</v>
      </c>
      <c r="F9" s="393">
        <v>81680000</v>
      </c>
      <c r="H9" s="400" t="s">
        <v>1435</v>
      </c>
      <c r="I9" s="401"/>
    </row>
    <row r="10" ht="18" customHeight="1" spans="1:11">
      <c r="A10" s="391" t="s">
        <v>201</v>
      </c>
      <c r="B10" s="393">
        <v>24243183.5</v>
      </c>
      <c r="C10" s="393">
        <v>39784651.27</v>
      </c>
      <c r="D10" s="391" t="s">
        <v>202</v>
      </c>
      <c r="E10" s="393"/>
      <c r="F10" s="393"/>
    </row>
    <row r="11" ht="18" customHeight="1" spans="1:11">
      <c r="A11" s="391" t="s">
        <v>203</v>
      </c>
      <c r="B11" s="393">
        <v>2389.71</v>
      </c>
      <c r="C11" s="393">
        <v>566670.19</v>
      </c>
      <c r="D11" s="391" t="s">
        <v>204</v>
      </c>
      <c r="E11" s="393"/>
      <c r="F11" s="393">
        <v>1128557.48</v>
      </c>
    </row>
    <row r="12" ht="18" customHeight="1" spans="1:11">
      <c r="A12" s="391" t="s">
        <v>205</v>
      </c>
      <c r="B12" s="393"/>
      <c r="C12" s="393"/>
      <c r="D12" s="391" t="s">
        <v>206</v>
      </c>
      <c r="E12" s="393">
        <v>111177471.64</v>
      </c>
      <c r="F12" s="393">
        <v>99797183.19</v>
      </c>
      <c r="H12" s="402"/>
      <c r="I12" s="403"/>
    </row>
    <row r="13" ht="18" customHeight="1" spans="1:11">
      <c r="A13" s="391" t="s">
        <v>207</v>
      </c>
      <c r="B13" s="393">
        <v>7506546.11</v>
      </c>
      <c r="C13" s="393">
        <v>1944969.93</v>
      </c>
      <c r="D13" s="391" t="s">
        <v>208</v>
      </c>
      <c r="E13" s="393">
        <v>6027769.12</v>
      </c>
      <c r="F13" s="393">
        <v>2852509.12</v>
      </c>
    </row>
    <row r="14" ht="18" customHeight="1" spans="1:11">
      <c r="A14" s="391" t="s">
        <v>209</v>
      </c>
      <c r="B14" s="393">
        <v>55585013.19</v>
      </c>
      <c r="C14" s="393">
        <v>49191612.29</v>
      </c>
      <c r="D14" s="391" t="s">
        <v>210</v>
      </c>
      <c r="E14" s="393">
        <v>3876976.8</v>
      </c>
      <c r="F14" s="393">
        <v>795634.24</v>
      </c>
      <c r="H14" s="404" t="s">
        <v>1436</v>
      </c>
      <c r="I14" s="405">
        <f>F27</f>
        <v>48710000</v>
      </c>
    </row>
    <row r="15" ht="18" customHeight="1" spans="1:11">
      <c r="A15" s="391" t="s">
        <v>211</v>
      </c>
      <c r="B15" s="393"/>
      <c r="C15" s="393"/>
      <c r="D15" s="391" t="s">
        <v>212</v>
      </c>
      <c r="E15" s="393">
        <v>2438565.22</v>
      </c>
      <c r="F15" s="393">
        <v>832375.14</v>
      </c>
      <c r="H15" s="404" t="s">
        <v>1437</v>
      </c>
      <c r="I15" s="405">
        <v>2890000</v>
      </c>
      <c r="K15" s="121"/>
    </row>
    <row r="16" ht="18" customHeight="1" spans="1:11">
      <c r="A16" s="391" t="s">
        <v>213</v>
      </c>
      <c r="B16" s="393">
        <v>15473367.55</v>
      </c>
      <c r="C16" s="393">
        <v>4125185.07</v>
      </c>
      <c r="D16" s="391" t="s">
        <v>214</v>
      </c>
      <c r="E16" s="393">
        <v>1270209.94</v>
      </c>
      <c r="F16" s="393">
        <v>135260.06</v>
      </c>
      <c r="H16" s="404" t="s">
        <v>1438</v>
      </c>
      <c r="I16" s="405">
        <f>F20-I15</f>
        <v>5482322.74</v>
      </c>
    </row>
    <row r="17" ht="18" customHeight="1" spans="1:11">
      <c r="A17" s="391" t="s">
        <v>215</v>
      </c>
      <c r="B17" s="393"/>
      <c r="C17" s="393"/>
      <c r="D17" s="391" t="s">
        <v>216</v>
      </c>
      <c r="E17" s="393"/>
      <c r="F17" s="393">
        <v>427719.6</v>
      </c>
      <c r="K17" s="121"/>
    </row>
    <row r="18" ht="18" customHeight="1" spans="1:11">
      <c r="A18" s="391" t="s">
        <v>217</v>
      </c>
      <c r="B18" s="393"/>
      <c r="C18" s="393"/>
      <c r="D18" s="391" t="s">
        <v>218</v>
      </c>
      <c r="E18" s="393"/>
      <c r="F18" s="393"/>
    </row>
    <row r="19" ht="18" customHeight="1" spans="1:11">
      <c r="A19" s="391" t="s">
        <v>219</v>
      </c>
      <c r="B19" s="393">
        <v>251060.57</v>
      </c>
      <c r="C19" s="393">
        <v>83537.31</v>
      </c>
      <c r="D19" s="391" t="s">
        <v>220</v>
      </c>
      <c r="E19" s="393">
        <v>1375495.67</v>
      </c>
      <c r="F19" s="393">
        <v>2953198.65</v>
      </c>
    </row>
    <row r="20" ht="18" customHeight="1" spans="1:11">
      <c r="A20" s="391" t="s">
        <v>221</v>
      </c>
      <c r="B20" s="393">
        <v>12190266.49</v>
      </c>
      <c r="C20" s="393">
        <v>13492043.86</v>
      </c>
      <c r="D20" s="391" t="s">
        <v>222</v>
      </c>
      <c r="E20" s="393">
        <v>35008703.7</v>
      </c>
      <c r="F20" s="406">
        <v>8372322.74</v>
      </c>
    </row>
    <row r="21" ht="18" customHeight="1" spans="1:11">
      <c r="A21" s="391" t="s">
        <v>223</v>
      </c>
      <c r="B21" s="393">
        <v>7539134.18</v>
      </c>
      <c r="C21" s="393">
        <v>6085684.08</v>
      </c>
      <c r="D21" s="391" t="s">
        <v>224</v>
      </c>
      <c r="E21" s="393">
        <v>8358859.5</v>
      </c>
      <c r="F21" s="393">
        <v>2047336.77</v>
      </c>
    </row>
    <row r="22" ht="18" customHeight="1" spans="1:11">
      <c r="A22" s="391" t="s">
        <v>225</v>
      </c>
      <c r="B22" s="393">
        <v>2190237.06</v>
      </c>
      <c r="C22" s="393">
        <v>2675150.8</v>
      </c>
      <c r="D22" s="391"/>
      <c r="E22" s="393"/>
      <c r="F22" s="393"/>
      <c r="H22" s="121">
        <f>(C22-B22)/0.75/10000</f>
        <v>64.6551653333333</v>
      </c>
      <c r="I22" s="122" t="s">
        <v>133</v>
      </c>
    </row>
    <row r="23" ht="18" customHeight="1" spans="1:11">
      <c r="A23" s="391" t="s">
        <v>226</v>
      </c>
      <c r="B23" s="393">
        <v>2356401.89</v>
      </c>
      <c r="C23" s="393">
        <v>4571726.6</v>
      </c>
      <c r="D23" s="391"/>
      <c r="E23" s="393"/>
      <c r="F23" s="393"/>
      <c r="H23" s="121">
        <f>((C23-B23)/0.75+快速PL新!D9)/10000</f>
        <v>4858.759581</v>
      </c>
      <c r="I23" s="122" t="s">
        <v>135</v>
      </c>
    </row>
    <row r="24" ht="18" customHeight="1" spans="1:11">
      <c r="A24" s="391" t="s">
        <v>227</v>
      </c>
      <c r="B24" s="393">
        <v>104493.36</v>
      </c>
      <c r="C24" s="393">
        <v>159482.38</v>
      </c>
      <c r="D24" s="391"/>
      <c r="E24" s="393"/>
      <c r="F24" s="393"/>
      <c r="H24" s="121">
        <f>H22+H23</f>
        <v>4923.41474633333</v>
      </c>
      <c r="I24" s="122" t="s">
        <v>137</v>
      </c>
    </row>
    <row r="25" ht="18" customHeight="1" spans="1:11">
      <c r="A25" s="391" t="s">
        <v>228</v>
      </c>
      <c r="B25" s="393">
        <v>99880.84</v>
      </c>
      <c r="C25" s="393">
        <v>30960.55</v>
      </c>
      <c r="D25" s="391" t="s">
        <v>229</v>
      </c>
      <c r="E25" s="393">
        <v>241289363.68</v>
      </c>
      <c r="F25" s="393">
        <v>201022096.99</v>
      </c>
      <c r="H25" s="121">
        <f>H22/1.13+H23</f>
        <v>4915.97654147198</v>
      </c>
      <c r="I25" s="122" t="s">
        <v>145</v>
      </c>
    </row>
    <row r="26" ht="18" customHeight="1" spans="1:11">
      <c r="A26" s="391" t="s">
        <v>230</v>
      </c>
      <c r="B26" s="393">
        <v>2241739.95</v>
      </c>
      <c r="C26" s="393"/>
      <c r="D26" s="391" t="s">
        <v>144</v>
      </c>
      <c r="E26" s="393"/>
      <c r="F26" s="393"/>
    </row>
    <row r="27" ht="18" customHeight="1" spans="1:11">
      <c r="A27" s="391" t="s">
        <v>232</v>
      </c>
      <c r="B27" s="393"/>
      <c r="C27" s="393"/>
      <c r="D27" s="391" t="s">
        <v>233</v>
      </c>
      <c r="E27" s="393">
        <v>23800000</v>
      </c>
      <c r="F27" s="406">
        <v>48710000</v>
      </c>
    </row>
    <row r="28" ht="18" customHeight="1" spans="1:11">
      <c r="A28" s="391" t="s">
        <v>234</v>
      </c>
      <c r="B28" s="393">
        <v>325872.34</v>
      </c>
      <c r="C28" s="393">
        <v>2877816.76</v>
      </c>
      <c r="D28" s="391" t="s">
        <v>235</v>
      </c>
      <c r="E28" s="393"/>
      <c r="F28" s="393"/>
    </row>
    <row r="29" ht="18" customHeight="1" spans="1:11">
      <c r="A29" s="391" t="s">
        <v>236</v>
      </c>
      <c r="B29" s="393">
        <v>117919320.25</v>
      </c>
      <c r="C29" s="393">
        <v>112097447.23</v>
      </c>
      <c r="D29" s="391" t="s">
        <v>237</v>
      </c>
      <c r="E29" s="393"/>
      <c r="F29" s="393"/>
    </row>
    <row r="30" ht="18" customHeight="1" spans="1:11">
      <c r="A30" s="391"/>
      <c r="B30" s="393"/>
      <c r="C30" s="393"/>
      <c r="D30" s="391" t="s">
        <v>238</v>
      </c>
      <c r="E30" s="393"/>
      <c r="F30" s="393"/>
    </row>
    <row r="31" ht="18" customHeight="1" spans="1:11">
      <c r="A31" s="391"/>
      <c r="B31" s="393"/>
      <c r="C31" s="393"/>
      <c r="D31" s="391" t="s">
        <v>239</v>
      </c>
      <c r="E31" s="393"/>
      <c r="F31" s="393"/>
    </row>
    <row r="32" ht="18" customHeight="1" spans="1:11">
      <c r="A32" s="391"/>
      <c r="B32" s="393"/>
      <c r="C32" s="393"/>
      <c r="D32" s="391" t="s">
        <v>240</v>
      </c>
      <c r="E32" s="393">
        <v>6958008.61</v>
      </c>
      <c r="F32" s="393">
        <v>33580808.61</v>
      </c>
    </row>
    <row r="33" ht="18" customHeight="1" spans="1:8">
      <c r="A33" s="391" t="s">
        <v>146</v>
      </c>
      <c r="B33" s="393"/>
      <c r="C33" s="393"/>
      <c r="D33" s="391" t="s">
        <v>241</v>
      </c>
      <c r="E33" s="393"/>
      <c r="F33" s="393"/>
    </row>
    <row r="34" ht="18" customHeight="1" spans="1:8">
      <c r="A34" s="391" t="s">
        <v>242</v>
      </c>
      <c r="B34" s="393"/>
      <c r="C34" s="393"/>
      <c r="D34" s="391" t="s">
        <v>243</v>
      </c>
      <c r="E34" s="393"/>
      <c r="F34" s="393"/>
    </row>
    <row r="35" ht="18" customHeight="1" spans="1:8">
      <c r="A35" s="391" t="s">
        <v>244</v>
      </c>
      <c r="B35" s="393"/>
      <c r="C35" s="393"/>
      <c r="D35" s="391" t="s">
        <v>245</v>
      </c>
      <c r="E35" s="393">
        <v>30758008.61</v>
      </c>
      <c r="F35" s="393">
        <v>82290808.61</v>
      </c>
    </row>
    <row r="36" ht="18" customHeight="1" spans="1:8">
      <c r="A36" s="391" t="s">
        <v>246</v>
      </c>
      <c r="B36" s="393"/>
      <c r="C36" s="393"/>
      <c r="D36" s="391" t="s">
        <v>247</v>
      </c>
      <c r="E36" s="393">
        <v>272047372.29</v>
      </c>
      <c r="F36" s="393">
        <v>283312905.6</v>
      </c>
    </row>
    <row r="37" ht="18" customHeight="1" spans="1:8">
      <c r="A37" s="391" t="s">
        <v>248</v>
      </c>
      <c r="B37" s="393">
        <v>260428991.81</v>
      </c>
      <c r="C37" s="393">
        <v>260428991.81</v>
      </c>
      <c r="D37" s="391"/>
      <c r="E37" s="393"/>
      <c r="F37" s="393"/>
    </row>
    <row r="38" ht="18" customHeight="1" spans="1:8">
      <c r="A38" s="391" t="s">
        <v>249</v>
      </c>
      <c r="B38" s="393">
        <v>17507065.67</v>
      </c>
      <c r="C38" s="393">
        <v>3000000</v>
      </c>
      <c r="D38" s="391"/>
      <c r="E38" s="393"/>
      <c r="F38" s="393"/>
    </row>
    <row r="39" ht="18" customHeight="1" spans="1:8">
      <c r="A39" s="391" t="s">
        <v>250</v>
      </c>
      <c r="B39" s="393"/>
      <c r="C39" s="393"/>
      <c r="D39" s="391" t="s">
        <v>169</v>
      </c>
      <c r="E39" s="393"/>
      <c r="F39" s="393"/>
    </row>
    <row r="40" ht="18" customHeight="1" spans="1:8">
      <c r="A40" s="391" t="s">
        <v>251</v>
      </c>
      <c r="B40" s="393">
        <v>131108887.61</v>
      </c>
      <c r="C40" s="393">
        <v>144270006.82</v>
      </c>
      <c r="D40" s="391" t="s">
        <v>252</v>
      </c>
      <c r="E40" s="393">
        <v>260216000</v>
      </c>
      <c r="F40" s="393">
        <v>262811200</v>
      </c>
    </row>
    <row r="41" ht="18" customHeight="1" spans="1:8">
      <c r="A41" s="391" t="s">
        <v>253</v>
      </c>
      <c r="B41" s="393">
        <v>69959453.44</v>
      </c>
      <c r="C41" s="393">
        <v>76500619.78</v>
      </c>
      <c r="D41" s="391" t="s">
        <v>254</v>
      </c>
      <c r="E41" s="393">
        <v>108256248</v>
      </c>
      <c r="F41" s="393">
        <v>120661048</v>
      </c>
    </row>
    <row r="42" ht="18" customHeight="1" spans="1:8">
      <c r="A42" s="391" t="s">
        <v>255</v>
      </c>
      <c r="B42" s="393">
        <v>61149434.17</v>
      </c>
      <c r="C42" s="393">
        <v>67769387.04</v>
      </c>
      <c r="D42" s="391" t="s">
        <v>256</v>
      </c>
      <c r="E42" s="393"/>
      <c r="F42" s="393"/>
    </row>
    <row r="43" ht="18" customHeight="1" spans="1:8">
      <c r="A43" s="391" t="s">
        <v>257</v>
      </c>
      <c r="B43" s="393">
        <v>3109954.07</v>
      </c>
      <c r="C43" s="393">
        <v>31434621.22</v>
      </c>
      <c r="D43" s="391" t="s">
        <v>258</v>
      </c>
      <c r="E43" s="393"/>
      <c r="F43" s="393"/>
    </row>
    <row r="44" ht="18" customHeight="1" spans="1:8">
      <c r="A44" s="391" t="s">
        <v>259</v>
      </c>
      <c r="B44" s="393"/>
      <c r="C44" s="393"/>
      <c r="D44" s="391" t="s">
        <v>260</v>
      </c>
      <c r="E44" s="393">
        <v>-164766292.09</v>
      </c>
      <c r="F44" s="393">
        <v>-178010824.21</v>
      </c>
      <c r="G44" s="121">
        <f>F44-E44-快速PL新!D36</f>
        <v>0</v>
      </c>
      <c r="H44" s="121"/>
    </row>
    <row r="45" ht="18" customHeight="1" spans="1:8">
      <c r="A45" s="391" t="s">
        <v>261</v>
      </c>
      <c r="B45" s="393"/>
      <c r="C45" s="393"/>
      <c r="D45" s="391" t="s">
        <v>266</v>
      </c>
      <c r="E45" s="393">
        <v>203705955.91</v>
      </c>
      <c r="F45" s="393">
        <v>205461423.79</v>
      </c>
    </row>
    <row r="46" ht="18" customHeight="1" spans="1:8">
      <c r="A46" s="391" t="s">
        <v>263</v>
      </c>
      <c r="B46" s="393"/>
      <c r="C46" s="393"/>
      <c r="D46" s="391"/>
      <c r="E46" s="393"/>
      <c r="F46" s="393"/>
    </row>
    <row r="47" ht="18" customHeight="1" spans="1:8">
      <c r="A47" s="391" t="s">
        <v>265</v>
      </c>
      <c r="B47" s="393">
        <v>11984001</v>
      </c>
      <c r="C47" s="393">
        <v>11601524.18</v>
      </c>
      <c r="D47" s="391"/>
      <c r="E47" s="393"/>
      <c r="F47" s="393"/>
    </row>
    <row r="48" ht="18" customHeight="1" spans="1:8">
      <c r="A48" s="391" t="s">
        <v>267</v>
      </c>
      <c r="B48" s="393"/>
      <c r="C48" s="393"/>
      <c r="D48" s="391"/>
      <c r="E48" s="393"/>
      <c r="F48" s="393"/>
    </row>
    <row r="49" ht="18" customHeight="1" spans="1:6">
      <c r="A49" s="391" t="s">
        <v>268</v>
      </c>
      <c r="B49" s="393"/>
      <c r="C49" s="393"/>
      <c r="D49" s="391"/>
      <c r="E49" s="393"/>
      <c r="F49" s="393"/>
    </row>
    <row r="50" ht="18" customHeight="1" spans="1:6">
      <c r="A50" s="391" t="s">
        <v>269</v>
      </c>
      <c r="B50" s="393">
        <v>3654561.23</v>
      </c>
      <c r="C50" s="393">
        <v>2442357.91</v>
      </c>
      <c r="D50" s="391"/>
      <c r="E50" s="393"/>
      <c r="F50" s="393"/>
    </row>
    <row r="51" ht="18" customHeight="1" spans="1:6">
      <c r="A51" s="391" t="s">
        <v>270</v>
      </c>
      <c r="B51" s="393"/>
      <c r="C51" s="393"/>
      <c r="D51" s="391"/>
      <c r="E51" s="393"/>
      <c r="F51" s="393"/>
    </row>
    <row r="52" ht="18" customHeight="1" spans="1:6">
      <c r="A52" s="391" t="s">
        <v>271</v>
      </c>
      <c r="B52" s="393"/>
      <c r="C52" s="393"/>
      <c r="D52" s="391"/>
      <c r="E52" s="393"/>
      <c r="F52" s="393"/>
    </row>
    <row r="53" ht="18" customHeight="1" spans="1:6">
      <c r="A53" s="391" t="s">
        <v>272</v>
      </c>
      <c r="B53" s="393">
        <v>357834007.95</v>
      </c>
      <c r="C53" s="393">
        <v>376676882.16</v>
      </c>
      <c r="D53" s="391"/>
      <c r="E53" s="393"/>
      <c r="F53" s="393"/>
    </row>
    <row r="54" ht="18" customHeight="1" spans="1:6">
      <c r="A54" s="391" t="s">
        <v>273</v>
      </c>
      <c r="B54" s="393">
        <v>475753328.2</v>
      </c>
      <c r="C54" s="393">
        <v>488774329.39</v>
      </c>
      <c r="D54" s="391" t="s">
        <v>274</v>
      </c>
      <c r="E54" s="393">
        <v>475753328.2</v>
      </c>
      <c r="F54" s="393">
        <v>488774329.39</v>
      </c>
    </row>
    <row r="55" ht="20.15" customHeight="1" spans="1:6">
      <c r="A55" s="390" t="s">
        <v>198</v>
      </c>
      <c r="B55" s="390" t="s">
        <v>101</v>
      </c>
      <c r="C55" s="390" t="s">
        <v>102</v>
      </c>
      <c r="E55" s="407">
        <f>E54-B54</f>
        <v>0</v>
      </c>
      <c r="F55" s="407">
        <f>F54-C54</f>
        <v>0</v>
      </c>
    </row>
    <row r="56" ht="15.8" customHeight="1" spans="1:6">
      <c r="A56" s="391" t="s">
        <v>105</v>
      </c>
      <c r="B56" s="408">
        <f>E8</f>
        <v>0</v>
      </c>
      <c r="C56" s="408">
        <f>F8</f>
        <v>0</v>
      </c>
      <c r="D56" s="387"/>
      <c r="E56" s="386"/>
      <c r="F56" s="387"/>
    </row>
    <row r="57" ht="15.1" customHeight="1" spans="1:6">
      <c r="A57" s="391" t="s">
        <v>200</v>
      </c>
      <c r="B57" s="408">
        <f t="shared" ref="B57:B102" si="0">E9</f>
        <v>71755312.09</v>
      </c>
      <c r="C57" s="408">
        <f t="shared" ref="C57:C102" si="1">F9</f>
        <v>81680000</v>
      </c>
    </row>
    <row r="58" spans="1:6">
      <c r="A58" s="391" t="s">
        <v>202</v>
      </c>
      <c r="B58" s="408">
        <f t="shared" si="0"/>
        <v>0</v>
      </c>
      <c r="C58" s="408">
        <f t="shared" si="1"/>
        <v>0</v>
      </c>
    </row>
    <row r="59" spans="1:6">
      <c r="A59" s="391" t="s">
        <v>204</v>
      </c>
      <c r="B59" s="408">
        <f t="shared" si="0"/>
        <v>0</v>
      </c>
      <c r="C59" s="408">
        <f t="shared" si="1"/>
        <v>1128557.48</v>
      </c>
    </row>
    <row r="60" spans="1:6">
      <c r="A60" s="391" t="s">
        <v>206</v>
      </c>
      <c r="B60" s="408">
        <f t="shared" si="0"/>
        <v>111177471.64</v>
      </c>
      <c r="C60" s="408">
        <f t="shared" si="1"/>
        <v>99797183.19</v>
      </c>
    </row>
    <row r="61" spans="1:6">
      <c r="A61" s="391" t="s">
        <v>208</v>
      </c>
      <c r="B61" s="408">
        <f t="shared" si="0"/>
        <v>6027769.12</v>
      </c>
      <c r="C61" s="408">
        <f t="shared" si="1"/>
        <v>2852509.12</v>
      </c>
    </row>
    <row r="62" spans="1:6">
      <c r="A62" s="391" t="s">
        <v>210</v>
      </c>
      <c r="B62" s="408">
        <f t="shared" si="0"/>
        <v>3876976.8</v>
      </c>
      <c r="C62" s="408">
        <f t="shared" si="1"/>
        <v>795634.24</v>
      </c>
    </row>
    <row r="63" spans="1:6">
      <c r="A63" s="391" t="s">
        <v>212</v>
      </c>
      <c r="B63" s="408">
        <f t="shared" si="0"/>
        <v>2438565.22</v>
      </c>
      <c r="C63" s="408">
        <f t="shared" si="1"/>
        <v>832375.14</v>
      </c>
    </row>
    <row r="64" spans="1:6">
      <c r="A64" s="391" t="s">
        <v>214</v>
      </c>
      <c r="B64" s="408">
        <f t="shared" si="0"/>
        <v>1270209.94</v>
      </c>
      <c r="C64" s="408">
        <f t="shared" si="1"/>
        <v>135260.06</v>
      </c>
    </row>
    <row r="65" spans="1:3">
      <c r="A65" s="391" t="s">
        <v>216</v>
      </c>
      <c r="B65" s="408">
        <f t="shared" si="0"/>
        <v>0</v>
      </c>
      <c r="C65" s="408">
        <f t="shared" si="1"/>
        <v>427719.6</v>
      </c>
    </row>
    <row r="66" spans="1:3">
      <c r="A66" s="391" t="s">
        <v>218</v>
      </c>
      <c r="B66" s="408">
        <f t="shared" si="0"/>
        <v>0</v>
      </c>
      <c r="C66" s="408">
        <f t="shared" si="1"/>
        <v>0</v>
      </c>
    </row>
    <row r="67" spans="1:3">
      <c r="A67" s="391" t="s">
        <v>220</v>
      </c>
      <c r="B67" s="408">
        <f t="shared" si="0"/>
        <v>1375495.67</v>
      </c>
      <c r="C67" s="408">
        <f t="shared" si="1"/>
        <v>2953198.65</v>
      </c>
    </row>
    <row r="68" spans="1:3">
      <c r="A68" s="391" t="s">
        <v>222</v>
      </c>
      <c r="B68" s="408">
        <f t="shared" si="0"/>
        <v>35008703.7</v>
      </c>
      <c r="C68" s="408">
        <f t="shared" si="1"/>
        <v>8372322.74</v>
      </c>
    </row>
    <row r="69" spans="1:3">
      <c r="A69" s="391" t="s">
        <v>224</v>
      </c>
      <c r="B69" s="408">
        <f t="shared" si="0"/>
        <v>8358859.5</v>
      </c>
      <c r="C69" s="408">
        <f t="shared" si="1"/>
        <v>2047336.77</v>
      </c>
    </row>
    <row r="70" spans="1:3">
      <c r="A70" s="391"/>
      <c r="B70" s="408">
        <f t="shared" si="0"/>
        <v>0</v>
      </c>
      <c r="C70" s="408">
        <f t="shared" si="1"/>
        <v>0</v>
      </c>
    </row>
    <row r="71" spans="1:3">
      <c r="A71" s="391"/>
      <c r="B71" s="408">
        <f t="shared" si="0"/>
        <v>0</v>
      </c>
      <c r="C71" s="408">
        <f t="shared" si="1"/>
        <v>0</v>
      </c>
    </row>
    <row r="72" spans="1:3">
      <c r="A72" s="391"/>
      <c r="B72" s="408">
        <f t="shared" si="0"/>
        <v>0</v>
      </c>
      <c r="C72" s="408">
        <f t="shared" si="1"/>
        <v>0</v>
      </c>
    </row>
    <row r="73" spans="1:3">
      <c r="A73" s="391" t="s">
        <v>229</v>
      </c>
      <c r="B73" s="408">
        <f t="shared" si="0"/>
        <v>241289363.68</v>
      </c>
      <c r="C73" s="408">
        <f t="shared" si="1"/>
        <v>201022096.99</v>
      </c>
    </row>
    <row r="74" spans="1:3">
      <c r="A74" s="391" t="s">
        <v>144</v>
      </c>
      <c r="B74" s="408">
        <f t="shared" si="0"/>
        <v>0</v>
      </c>
      <c r="C74" s="408">
        <f t="shared" si="1"/>
        <v>0</v>
      </c>
    </row>
    <row r="75" spans="1:3">
      <c r="A75" s="391" t="s">
        <v>233</v>
      </c>
      <c r="B75" s="408">
        <f t="shared" si="0"/>
        <v>23800000</v>
      </c>
      <c r="C75" s="408">
        <f t="shared" si="1"/>
        <v>48710000</v>
      </c>
    </row>
    <row r="76" spans="1:3">
      <c r="A76" s="391" t="s">
        <v>235</v>
      </c>
      <c r="B76" s="408">
        <f t="shared" si="0"/>
        <v>0</v>
      </c>
      <c r="C76" s="408">
        <f t="shared" si="1"/>
        <v>0</v>
      </c>
    </row>
    <row r="77" spans="1:3">
      <c r="A77" s="391" t="s">
        <v>237</v>
      </c>
      <c r="B77" s="408">
        <f t="shared" si="0"/>
        <v>0</v>
      </c>
      <c r="C77" s="408">
        <f t="shared" si="1"/>
        <v>0</v>
      </c>
    </row>
    <row r="78" spans="1:3">
      <c r="A78" s="391" t="s">
        <v>238</v>
      </c>
      <c r="B78" s="408">
        <f t="shared" si="0"/>
        <v>0</v>
      </c>
      <c r="C78" s="408">
        <f t="shared" si="1"/>
        <v>0</v>
      </c>
    </row>
    <row r="79" spans="1:3">
      <c r="A79" s="391" t="s">
        <v>239</v>
      </c>
      <c r="B79" s="408">
        <f t="shared" si="0"/>
        <v>0</v>
      </c>
      <c r="C79" s="408">
        <f t="shared" si="1"/>
        <v>0</v>
      </c>
    </row>
    <row r="80" spans="1:3">
      <c r="A80" s="391" t="s">
        <v>240</v>
      </c>
      <c r="B80" s="408">
        <f t="shared" si="0"/>
        <v>6958008.61</v>
      </c>
      <c r="C80" s="408">
        <f t="shared" si="1"/>
        <v>33580808.61</v>
      </c>
    </row>
    <row r="81" spans="1:3">
      <c r="A81" s="391" t="s">
        <v>241</v>
      </c>
      <c r="B81" s="408">
        <f t="shared" si="0"/>
        <v>0</v>
      </c>
      <c r="C81" s="408">
        <f t="shared" si="1"/>
        <v>0</v>
      </c>
    </row>
    <row r="82" spans="1:3">
      <c r="A82" s="391" t="s">
        <v>243</v>
      </c>
      <c r="B82" s="408">
        <f t="shared" si="0"/>
        <v>0</v>
      </c>
      <c r="C82" s="408">
        <f t="shared" si="1"/>
        <v>0</v>
      </c>
    </row>
    <row r="83" spans="1:3">
      <c r="A83" s="391" t="s">
        <v>245</v>
      </c>
      <c r="B83" s="408">
        <f t="shared" si="0"/>
        <v>30758008.61</v>
      </c>
      <c r="C83" s="408">
        <f t="shared" si="1"/>
        <v>82290808.61</v>
      </c>
    </row>
    <row r="84" spans="1:3">
      <c r="A84" s="391" t="s">
        <v>247</v>
      </c>
      <c r="B84" s="408">
        <f t="shared" si="0"/>
        <v>272047372.29</v>
      </c>
      <c r="C84" s="408">
        <f t="shared" si="1"/>
        <v>283312905.6</v>
      </c>
    </row>
    <row r="85" spans="1:3">
      <c r="A85" s="391"/>
      <c r="B85" s="408">
        <f t="shared" si="0"/>
        <v>0</v>
      </c>
      <c r="C85" s="408">
        <f t="shared" si="1"/>
        <v>0</v>
      </c>
    </row>
    <row r="86" spans="1:3">
      <c r="A86" s="391"/>
      <c r="B86" s="408">
        <f t="shared" si="0"/>
        <v>0</v>
      </c>
      <c r="C86" s="408">
        <f t="shared" si="1"/>
        <v>0</v>
      </c>
    </row>
    <row r="87" spans="1:3">
      <c r="A87" s="391" t="s">
        <v>169</v>
      </c>
      <c r="B87" s="408">
        <f t="shared" si="0"/>
        <v>0</v>
      </c>
      <c r="C87" s="408">
        <f t="shared" si="1"/>
        <v>0</v>
      </c>
    </row>
    <row r="88" spans="1:3">
      <c r="A88" s="391" t="s">
        <v>252</v>
      </c>
      <c r="B88" s="408">
        <f t="shared" si="0"/>
        <v>260216000</v>
      </c>
      <c r="C88" s="408">
        <f t="shared" si="1"/>
        <v>262811200</v>
      </c>
    </row>
    <row r="89" spans="1:3">
      <c r="A89" s="391" t="s">
        <v>254</v>
      </c>
      <c r="B89" s="408">
        <f t="shared" si="0"/>
        <v>108256248</v>
      </c>
      <c r="C89" s="408">
        <f t="shared" si="1"/>
        <v>120661048</v>
      </c>
    </row>
    <row r="90" spans="1:3">
      <c r="A90" s="391" t="s">
        <v>256</v>
      </c>
      <c r="B90" s="408">
        <f t="shared" si="0"/>
        <v>0</v>
      </c>
      <c r="C90" s="408">
        <f t="shared" si="1"/>
        <v>0</v>
      </c>
    </row>
    <row r="91" spans="1:3">
      <c r="A91" s="391" t="s">
        <v>258</v>
      </c>
      <c r="B91" s="408">
        <f t="shared" si="0"/>
        <v>0</v>
      </c>
      <c r="C91" s="408">
        <f t="shared" si="1"/>
        <v>0</v>
      </c>
    </row>
    <row r="92" spans="1:3">
      <c r="A92" s="391" t="s">
        <v>260</v>
      </c>
      <c r="B92" s="408">
        <f t="shared" si="0"/>
        <v>-164766292.09</v>
      </c>
      <c r="C92" s="408">
        <f t="shared" si="1"/>
        <v>-178010824.21</v>
      </c>
    </row>
    <row r="93" spans="1:3">
      <c r="A93" s="391" t="s">
        <v>266</v>
      </c>
      <c r="B93" s="408">
        <f t="shared" si="0"/>
        <v>203705955.91</v>
      </c>
      <c r="C93" s="408">
        <f t="shared" si="1"/>
        <v>205461423.79</v>
      </c>
    </row>
    <row r="94" spans="1:3">
      <c r="A94" s="391"/>
      <c r="B94" s="408">
        <f t="shared" si="0"/>
        <v>0</v>
      </c>
      <c r="C94" s="408">
        <f t="shared" si="1"/>
        <v>0</v>
      </c>
    </row>
    <row r="95" spans="1:3">
      <c r="A95" s="391"/>
      <c r="B95" s="408">
        <f t="shared" si="0"/>
        <v>0</v>
      </c>
      <c r="C95" s="408">
        <f t="shared" si="1"/>
        <v>0</v>
      </c>
    </row>
    <row r="96" spans="1:3">
      <c r="A96" s="391"/>
      <c r="B96" s="408">
        <f t="shared" si="0"/>
        <v>0</v>
      </c>
      <c r="C96" s="408">
        <f t="shared" si="1"/>
        <v>0</v>
      </c>
    </row>
    <row r="97" spans="1:3">
      <c r="A97" s="391"/>
      <c r="B97" s="408">
        <f t="shared" si="0"/>
        <v>0</v>
      </c>
      <c r="C97" s="408">
        <f t="shared" si="1"/>
        <v>0</v>
      </c>
    </row>
    <row r="98" spans="1:3">
      <c r="A98" s="391"/>
      <c r="B98" s="408">
        <f t="shared" si="0"/>
        <v>0</v>
      </c>
      <c r="C98" s="408">
        <f t="shared" si="1"/>
        <v>0</v>
      </c>
    </row>
    <row r="99" spans="1:3">
      <c r="A99" s="391"/>
      <c r="B99" s="408">
        <f t="shared" si="0"/>
        <v>0</v>
      </c>
      <c r="C99" s="408">
        <f t="shared" si="1"/>
        <v>0</v>
      </c>
    </row>
    <row r="100" spans="1:3">
      <c r="A100" s="391"/>
      <c r="B100" s="408">
        <f t="shared" si="0"/>
        <v>0</v>
      </c>
      <c r="C100" s="408">
        <f t="shared" si="1"/>
        <v>0</v>
      </c>
    </row>
    <row r="101" spans="1:3">
      <c r="A101" s="391"/>
      <c r="B101" s="408">
        <f t="shared" si="0"/>
        <v>0</v>
      </c>
      <c r="C101" s="408">
        <f t="shared" si="1"/>
        <v>0</v>
      </c>
    </row>
    <row r="102" spans="1:3">
      <c r="A102" s="391" t="s">
        <v>274</v>
      </c>
      <c r="B102" s="408">
        <f t="shared" si="0"/>
        <v>475753328.2</v>
      </c>
      <c r="C102" s="408">
        <f t="shared" si="1"/>
        <v>488774329.39</v>
      </c>
    </row>
    <row r="103" spans="1:3">
      <c r="B103" s="407">
        <f>B102-B54</f>
        <v>0</v>
      </c>
      <c r="C103" s="407">
        <f>C102-C54</f>
        <v>0</v>
      </c>
    </row>
  </sheetData>
  <mergeCells count="2">
    <mergeCell ref="A3:B3"/>
    <mergeCell ref="A5:B5"/>
  </mergeCells>
  <pageMargins left="0.299027777777778" right="0.299027777777778" top="0.299027777777778" bottom="0.299027777777778" header="0.3" footer="0.3"/>
  <pageSetup paperSize="9" orientation="portrait" useFirstPageNumber="1" horizontalDpi="600" verticalDpi="6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tabColor rgb="FF92D050"/>
  </sheetPr>
  <dimension ref="A1:L66"/>
  <sheetViews>
    <sheetView showGridLines="0" zoomScale="85" zoomScaleNormal="85" workbookViewId="0">
      <selection activeCell="J8" sqref="J8"/>
    </sheetView>
  </sheetViews>
  <sheetFormatPr defaultColWidth="8.25" defaultRowHeight="14.25"/>
  <cols>
    <col min="1" max="1" width="33" style="383" customWidth="1"/>
    <col min="2" max="2" width="9.9" style="383" customWidth="1"/>
    <col min="3" max="4" width="24.2" style="383" customWidth="1"/>
    <col min="5" max="5" width="12.7083333333333" style="122"/>
    <col min="6" max="7" width="14.125" style="384"/>
    <col min="8" max="8" width="8.25" style="122"/>
    <col min="9" max="9" width="13.0583333333333" style="122"/>
    <col min="10" max="10" width="12.7083333333333" style="122"/>
    <col min="11" max="11" width="13.8333333333333" style="122"/>
    <col min="12" max="12" width="13.85" style="122"/>
    <col min="13" max="16384" width="8.25" style="122"/>
  </cols>
  <sheetData>
    <row r="1" ht="43.2" customHeight="1" spans="1:12">
      <c r="A1" s="385"/>
      <c r="B1" s="385"/>
      <c r="C1" s="385" t="s">
        <v>609</v>
      </c>
      <c r="D1" s="385"/>
    </row>
    <row r="2" ht="18" customHeight="1" spans="1:12">
      <c r="A2" s="386"/>
      <c r="B2" s="386"/>
      <c r="C2" s="386"/>
      <c r="D2" s="386" t="s">
        <v>280</v>
      </c>
    </row>
    <row r="3" ht="15.8" customHeight="1" spans="1:12">
      <c r="A3" s="387" t="s">
        <v>194</v>
      </c>
      <c r="B3" s="386" t="s">
        <v>281</v>
      </c>
      <c r="C3" s="388">
        <f>精铸PL新!C3</f>
        <v>45991</v>
      </c>
      <c r="D3" s="387" t="s">
        <v>282</v>
      </c>
    </row>
    <row r="4" ht="2.15" customHeight="1" spans="1:12">
      <c r="A4" s="387"/>
      <c r="B4" s="386"/>
      <c r="C4" s="388"/>
    </row>
    <row r="5" ht="7.2" customHeight="1"/>
    <row r="6" ht="18" customHeight="1" spans="1:12">
      <c r="A6" s="387" t="s">
        <v>283</v>
      </c>
      <c r="C6" s="389">
        <f>(C9-C12)/C9</f>
        <v>0.218032294046173</v>
      </c>
      <c r="D6" s="389">
        <f>(D9-D12)/D9</f>
        <v>0.269032334047903</v>
      </c>
      <c r="I6" s="121"/>
    </row>
    <row r="7" ht="10.05" customHeight="1"/>
    <row r="8" ht="18" customHeight="1" spans="1:12">
      <c r="A8" s="390" t="s">
        <v>284</v>
      </c>
      <c r="B8" s="390" t="s">
        <v>285</v>
      </c>
      <c r="C8" s="390" t="s">
        <v>1208</v>
      </c>
      <c r="D8" s="390" t="s">
        <v>497</v>
      </c>
      <c r="F8" s="65" t="s">
        <v>1209</v>
      </c>
      <c r="G8" s="65" t="s">
        <v>1210</v>
      </c>
    </row>
    <row r="9" ht="18" customHeight="1" spans="1:12">
      <c r="A9" s="391" t="s">
        <v>291</v>
      </c>
      <c r="B9" s="392" t="s">
        <v>292</v>
      </c>
      <c r="C9" s="393">
        <f>D9-G9</f>
        <v>7973274.04</v>
      </c>
      <c r="D9" s="393">
        <v>45633829.53</v>
      </c>
      <c r="E9" s="121"/>
      <c r="F9" s="384">
        <v>1868171.17</v>
      </c>
      <c r="G9" s="384">
        <v>37660555.49</v>
      </c>
      <c r="J9" s="121"/>
      <c r="K9" s="121"/>
      <c r="L9" s="121"/>
    </row>
    <row r="10" ht="18" customHeight="1" spans="1:12">
      <c r="A10" s="391" t="s">
        <v>294</v>
      </c>
      <c r="B10" s="392" t="s">
        <v>295</v>
      </c>
      <c r="C10" s="393">
        <f t="shared" ref="C10:C36" si="0">D10-G10</f>
        <v>5825086.55</v>
      </c>
      <c r="D10" s="393">
        <v>30342659.99</v>
      </c>
      <c r="E10" s="121"/>
      <c r="F10" s="384">
        <v>996460.170000002</v>
      </c>
      <c r="G10" s="384">
        <v>24517573.44</v>
      </c>
      <c r="I10" s="394">
        <f>(C10-C13)/C10</f>
        <v>0.0767537711521213</v>
      </c>
      <c r="J10" s="121" t="s">
        <v>1439</v>
      </c>
      <c r="K10" s="121"/>
      <c r="L10" s="121"/>
    </row>
    <row r="11" ht="18" customHeight="1" spans="1:12">
      <c r="A11" s="391" t="s">
        <v>296</v>
      </c>
      <c r="B11" s="392" t="s">
        <v>297</v>
      </c>
      <c r="C11" s="393">
        <f t="shared" si="0"/>
        <v>2148187.49</v>
      </c>
      <c r="D11" s="393">
        <v>15291169.54</v>
      </c>
      <c r="E11" s="121"/>
      <c r="F11" s="384">
        <v>871711</v>
      </c>
      <c r="G11" s="384">
        <v>13142982.05</v>
      </c>
      <c r="I11" s="394">
        <f>(C11-C14)/C11</f>
        <v>0.601127171632491</v>
      </c>
      <c r="J11" s="121" t="s">
        <v>1440</v>
      </c>
      <c r="K11" s="121"/>
      <c r="L11" s="121"/>
    </row>
    <row r="12" ht="18" customHeight="1" spans="1:12">
      <c r="A12" s="391" t="s">
        <v>298</v>
      </c>
      <c r="B12" s="392" t="s">
        <v>299</v>
      </c>
      <c r="C12" s="393">
        <f t="shared" si="0"/>
        <v>6234842.81</v>
      </c>
      <c r="D12" s="393">
        <v>33356853.86</v>
      </c>
      <c r="E12" s="121"/>
      <c r="F12" s="384">
        <v>2025726.55</v>
      </c>
      <c r="G12" s="384">
        <v>27122011.05</v>
      </c>
      <c r="J12" s="121"/>
      <c r="K12" s="121"/>
      <c r="L12" s="121"/>
    </row>
    <row r="13" ht="18" customHeight="1" spans="1:12">
      <c r="A13" s="391" t="s">
        <v>300</v>
      </c>
      <c r="B13" s="392" t="s">
        <v>301</v>
      </c>
      <c r="C13" s="393">
        <f t="shared" si="0"/>
        <v>5377989.19</v>
      </c>
      <c r="D13" s="393">
        <v>24203455.08</v>
      </c>
      <c r="E13" s="121"/>
      <c r="F13" s="384">
        <v>1286547.6</v>
      </c>
      <c r="G13" s="384">
        <v>18825465.89</v>
      </c>
      <c r="J13" s="121"/>
      <c r="K13" s="121"/>
      <c r="L13" s="121"/>
    </row>
    <row r="14" ht="18" customHeight="1" spans="1:12">
      <c r="A14" s="391" t="s">
        <v>302</v>
      </c>
      <c r="B14" s="392" t="s">
        <v>303</v>
      </c>
      <c r="C14" s="393">
        <f t="shared" si="0"/>
        <v>856853.619999999</v>
      </c>
      <c r="D14" s="393">
        <v>9153398.78</v>
      </c>
      <c r="E14" s="121"/>
      <c r="F14" s="384">
        <v>739178.95</v>
      </c>
      <c r="G14" s="384">
        <v>8296545.16</v>
      </c>
      <c r="I14" s="121"/>
      <c r="J14" s="121"/>
      <c r="K14" s="121"/>
      <c r="L14" s="121"/>
    </row>
    <row r="15" ht="18" customHeight="1" spans="1:12">
      <c r="A15" s="391" t="s">
        <v>304</v>
      </c>
      <c r="B15" s="392" t="s">
        <v>305</v>
      </c>
      <c r="C15" s="393">
        <f t="shared" si="0"/>
        <v>71724.7000000001</v>
      </c>
      <c r="D15" s="393">
        <v>761818.53</v>
      </c>
      <c r="E15" s="121"/>
      <c r="F15" s="384">
        <v>63823.88</v>
      </c>
      <c r="G15" s="384">
        <v>690093.83</v>
      </c>
      <c r="J15" s="121"/>
      <c r="K15" s="121"/>
      <c r="L15" s="121"/>
    </row>
    <row r="16" ht="18" customHeight="1" spans="1:12">
      <c r="A16" s="391" t="s">
        <v>306</v>
      </c>
      <c r="B16" s="392" t="s">
        <v>307</v>
      </c>
      <c r="C16" s="393">
        <f t="shared" si="0"/>
        <v>278068.41</v>
      </c>
      <c r="D16" s="393">
        <v>1157856.27</v>
      </c>
      <c r="E16" s="121"/>
      <c r="F16" s="384">
        <v>58967.85</v>
      </c>
      <c r="G16" s="384">
        <v>879787.86</v>
      </c>
      <c r="J16" s="121"/>
      <c r="K16" s="121"/>
      <c r="L16" s="121"/>
    </row>
    <row r="17" ht="18" customHeight="1" spans="1:12">
      <c r="A17" s="391" t="s">
        <v>308</v>
      </c>
      <c r="B17" s="392" t="s">
        <v>309</v>
      </c>
      <c r="C17" s="393">
        <f t="shared" si="0"/>
        <v>1008270.46</v>
      </c>
      <c r="D17" s="393">
        <v>7601010.42</v>
      </c>
      <c r="E17" s="121"/>
      <c r="F17" s="384">
        <v>654167.57</v>
      </c>
      <c r="G17" s="384">
        <v>6592739.96</v>
      </c>
      <c r="J17" s="121"/>
      <c r="K17" s="121"/>
      <c r="L17" s="121"/>
    </row>
    <row r="18" ht="18" customHeight="1" spans="1:12">
      <c r="A18" s="391" t="s">
        <v>310</v>
      </c>
      <c r="B18" s="392" t="s">
        <v>311</v>
      </c>
      <c r="C18" s="393">
        <f t="shared" si="0"/>
        <v>2241198.86</v>
      </c>
      <c r="D18" s="393">
        <v>13707935.34</v>
      </c>
      <c r="E18" s="121"/>
      <c r="F18" s="384">
        <v>1407899.91</v>
      </c>
      <c r="G18" s="384">
        <v>11466736.48</v>
      </c>
      <c r="J18" s="121"/>
      <c r="K18" s="121"/>
      <c r="L18" s="121"/>
    </row>
    <row r="19" ht="18" customHeight="1" spans="1:12">
      <c r="A19" s="391" t="s">
        <v>312</v>
      </c>
      <c r="B19" s="392" t="s">
        <v>313</v>
      </c>
      <c r="C19" s="393">
        <f t="shared" si="0"/>
        <v>368551.45</v>
      </c>
      <c r="D19" s="393">
        <v>3587103.92</v>
      </c>
      <c r="E19" s="121"/>
      <c r="F19" s="384">
        <v>321088.88</v>
      </c>
      <c r="G19" s="384">
        <v>3218552.47</v>
      </c>
      <c r="J19" s="121"/>
      <c r="K19" s="121"/>
      <c r="L19" s="121"/>
    </row>
    <row r="20" ht="18" customHeight="1" spans="1:12">
      <c r="A20" s="391" t="s">
        <v>314</v>
      </c>
      <c r="B20" s="392" t="s">
        <v>315</v>
      </c>
      <c r="C20" s="393">
        <f t="shared" si="0"/>
        <v>368990.02</v>
      </c>
      <c r="D20" s="393">
        <v>3593021.91</v>
      </c>
      <c r="E20" s="121"/>
      <c r="F20" s="384">
        <v>320094.73</v>
      </c>
      <c r="G20" s="384">
        <v>3224031.89</v>
      </c>
      <c r="J20" s="121"/>
      <c r="K20" s="121"/>
      <c r="L20" s="121"/>
    </row>
    <row r="21" ht="18" customHeight="1" spans="1:12">
      <c r="A21" s="391" t="s">
        <v>316</v>
      </c>
      <c r="B21" s="392" t="s">
        <v>317</v>
      </c>
      <c r="C21" s="393">
        <f t="shared" si="0"/>
        <v>-160.469999999994</v>
      </c>
      <c r="D21" s="393">
        <v>-64012.09</v>
      </c>
      <c r="E21" s="121"/>
      <c r="F21" s="384">
        <v>0</v>
      </c>
      <c r="G21" s="384">
        <v>-63851.62</v>
      </c>
      <c r="J21" s="121"/>
      <c r="K21" s="121"/>
      <c r="L21" s="121"/>
    </row>
    <row r="22" ht="18" customHeight="1" spans="1:12">
      <c r="A22" s="391" t="s">
        <v>318</v>
      </c>
      <c r="B22" s="392" t="s">
        <v>319</v>
      </c>
      <c r="C22" s="393">
        <f t="shared" si="0"/>
        <v>0</v>
      </c>
      <c r="D22" s="393">
        <v>915234.83</v>
      </c>
      <c r="E22" s="121"/>
      <c r="F22" s="384">
        <v>0</v>
      </c>
      <c r="G22" s="384">
        <v>915234.83</v>
      </c>
      <c r="J22" s="121"/>
      <c r="K22" s="121"/>
      <c r="L22" s="121"/>
    </row>
    <row r="23" ht="18" customHeight="1" spans="1:12">
      <c r="A23" s="391" t="s">
        <v>320</v>
      </c>
      <c r="B23" s="392" t="s">
        <v>321</v>
      </c>
      <c r="C23" s="393">
        <f t="shared" si="0"/>
        <v>0</v>
      </c>
      <c r="D23" s="393">
        <v>853056.55</v>
      </c>
      <c r="E23" s="121"/>
      <c r="F23" s="384">
        <v>0</v>
      </c>
      <c r="G23" s="384">
        <v>853056.55</v>
      </c>
      <c r="J23" s="121"/>
      <c r="K23" s="121"/>
      <c r="L23" s="121"/>
    </row>
    <row r="24" ht="18" customHeight="1" spans="1:12">
      <c r="A24" s="391" t="s">
        <v>322</v>
      </c>
      <c r="B24" s="392" t="s">
        <v>323</v>
      </c>
      <c r="C24" s="393">
        <f t="shared" si="0"/>
        <v>0</v>
      </c>
      <c r="D24" s="393"/>
      <c r="E24" s="121"/>
      <c r="F24" s="384">
        <v>0</v>
      </c>
      <c r="J24" s="121"/>
      <c r="K24" s="121"/>
      <c r="L24" s="121"/>
    </row>
    <row r="25" ht="18" customHeight="1" spans="1:12">
      <c r="A25" s="391" t="s">
        <v>324</v>
      </c>
      <c r="B25" s="392" t="s">
        <v>325</v>
      </c>
      <c r="C25" s="393">
        <f t="shared" si="0"/>
        <v>0</v>
      </c>
      <c r="D25" s="393"/>
      <c r="E25" s="121"/>
      <c r="F25" s="384">
        <v>0</v>
      </c>
      <c r="J25" s="121"/>
      <c r="K25" s="121"/>
      <c r="L25" s="121"/>
    </row>
    <row r="26" ht="18" customHeight="1" spans="1:12">
      <c r="A26" s="391" t="s">
        <v>326</v>
      </c>
      <c r="B26" s="392" t="s">
        <v>327</v>
      </c>
      <c r="C26" s="393">
        <f t="shared" si="0"/>
        <v>0</v>
      </c>
      <c r="D26" s="393"/>
      <c r="E26" s="121"/>
      <c r="F26" s="384">
        <v>0</v>
      </c>
      <c r="J26" s="121"/>
      <c r="K26" s="121"/>
      <c r="L26" s="121"/>
    </row>
    <row r="27" ht="18" customHeight="1" spans="1:12">
      <c r="A27" s="391" t="s">
        <v>328</v>
      </c>
      <c r="B27" s="392" t="s">
        <v>329</v>
      </c>
      <c r="C27" s="393">
        <f t="shared" si="0"/>
        <v>0</v>
      </c>
      <c r="D27" s="393"/>
      <c r="E27" s="121"/>
      <c r="F27" s="384">
        <v>0</v>
      </c>
      <c r="J27" s="121"/>
      <c r="K27" s="121"/>
      <c r="L27" s="121"/>
    </row>
    <row r="28" ht="18" customHeight="1" spans="1:12">
      <c r="A28" s="391" t="s">
        <v>330</v>
      </c>
      <c r="B28" s="392" t="s">
        <v>331</v>
      </c>
      <c r="C28" s="393">
        <f t="shared" si="0"/>
        <v>0</v>
      </c>
      <c r="D28" s="393">
        <v>-451706.29</v>
      </c>
      <c r="E28" s="121"/>
      <c r="F28" s="384">
        <v>0</v>
      </c>
      <c r="G28" s="384">
        <v>-451706.29</v>
      </c>
      <c r="J28" s="121"/>
      <c r="K28" s="121"/>
      <c r="L28" s="121"/>
    </row>
    <row r="29" ht="18" customHeight="1" spans="1:12">
      <c r="A29" s="391" t="s">
        <v>332</v>
      </c>
      <c r="B29" s="392" t="s">
        <v>333</v>
      </c>
      <c r="C29" s="393">
        <f t="shared" si="0"/>
        <v>0</v>
      </c>
      <c r="D29" s="393"/>
      <c r="E29" s="121"/>
      <c r="F29" s="384">
        <v>0</v>
      </c>
      <c r="J29" s="121"/>
      <c r="K29" s="121"/>
      <c r="L29" s="121"/>
    </row>
    <row r="30" ht="18" customHeight="1" spans="1:12">
      <c r="A30" s="391" t="s">
        <v>334</v>
      </c>
      <c r="B30" s="392" t="s">
        <v>335</v>
      </c>
      <c r="C30" s="393">
        <f t="shared" si="0"/>
        <v>0</v>
      </c>
      <c r="D30" s="393"/>
      <c r="E30" s="121"/>
      <c r="F30" s="384">
        <v>0</v>
      </c>
      <c r="J30" s="121"/>
      <c r="K30" s="121"/>
      <c r="L30" s="121"/>
    </row>
    <row r="31" ht="18" customHeight="1" spans="1:12">
      <c r="A31" s="391" t="s">
        <v>336</v>
      </c>
      <c r="B31" s="392" t="s">
        <v>337</v>
      </c>
      <c r="C31" s="393">
        <f t="shared" si="0"/>
        <v>-2229382.65</v>
      </c>
      <c r="D31" s="393">
        <v>-13222163.72</v>
      </c>
      <c r="E31" s="121"/>
      <c r="F31" s="384">
        <v>-2663503.47</v>
      </c>
      <c r="G31" s="384">
        <v>-10992781.07</v>
      </c>
      <c r="J31" s="121"/>
      <c r="K31" s="121"/>
      <c r="L31" s="121"/>
    </row>
    <row r="32" ht="18" customHeight="1" spans="1:12">
      <c r="A32" s="391" t="s">
        <v>338</v>
      </c>
      <c r="B32" s="392" t="s">
        <v>339</v>
      </c>
      <c r="C32" s="393">
        <f t="shared" si="0"/>
        <v>0</v>
      </c>
      <c r="D32" s="393">
        <v>120.02</v>
      </c>
      <c r="E32" s="121"/>
      <c r="F32" s="384">
        <v>0</v>
      </c>
      <c r="G32" s="384">
        <v>120.02</v>
      </c>
      <c r="J32" s="121"/>
      <c r="K32" s="121"/>
      <c r="L32" s="121"/>
    </row>
    <row r="33" ht="18" customHeight="1" spans="1:12">
      <c r="A33" s="391" t="s">
        <v>340</v>
      </c>
      <c r="B33" s="392" t="s">
        <v>341</v>
      </c>
      <c r="C33" s="393">
        <f t="shared" si="0"/>
        <v>0</v>
      </c>
      <c r="D33" s="393">
        <v>22488.42</v>
      </c>
      <c r="E33" s="121"/>
      <c r="F33" s="384">
        <v>0.00999999999839929</v>
      </c>
      <c r="G33" s="384">
        <v>22488.42</v>
      </c>
      <c r="J33" s="121"/>
      <c r="K33" s="121"/>
      <c r="L33" s="121"/>
    </row>
    <row r="34" ht="18" customHeight="1" spans="1:12">
      <c r="A34" s="391" t="s">
        <v>342</v>
      </c>
      <c r="B34" s="392" t="s">
        <v>343</v>
      </c>
      <c r="C34" s="393">
        <f t="shared" si="0"/>
        <v>-2229382.65</v>
      </c>
      <c r="D34" s="393">
        <v>-13244532.12</v>
      </c>
      <c r="E34" s="121"/>
      <c r="F34" s="384">
        <v>-2663503.48</v>
      </c>
      <c r="G34" s="384">
        <v>-11015149.47</v>
      </c>
      <c r="J34" s="121"/>
      <c r="K34" s="121"/>
      <c r="L34" s="121"/>
    </row>
    <row r="35" ht="18" customHeight="1" spans="1:12">
      <c r="A35" s="391" t="s">
        <v>344</v>
      </c>
      <c r="B35" s="392" t="s">
        <v>345</v>
      </c>
      <c r="C35" s="393">
        <f t="shared" si="0"/>
        <v>0</v>
      </c>
      <c r="D35" s="393"/>
      <c r="E35" s="121"/>
      <c r="F35" s="384">
        <v>0</v>
      </c>
      <c r="J35" s="121"/>
      <c r="K35" s="121"/>
      <c r="L35" s="121"/>
    </row>
    <row r="36" ht="18" customHeight="1" spans="1:12">
      <c r="A36" s="391" t="s">
        <v>346</v>
      </c>
      <c r="B36" s="392" t="s">
        <v>347</v>
      </c>
      <c r="C36" s="393">
        <f t="shared" si="0"/>
        <v>-2229382.65</v>
      </c>
      <c r="D36" s="393">
        <v>-13244532.12</v>
      </c>
      <c r="E36" s="121"/>
      <c r="F36" s="384">
        <v>-2663503.48</v>
      </c>
      <c r="G36" s="384">
        <v>-11015149.47</v>
      </c>
      <c r="J36" s="121"/>
      <c r="K36" s="121"/>
      <c r="L36" s="121"/>
    </row>
    <row r="37" ht="18" customHeight="1" spans="1:12">
      <c r="A37" s="391" t="s">
        <v>1211</v>
      </c>
      <c r="B37" s="392" t="s">
        <v>349</v>
      </c>
      <c r="C37" s="393"/>
      <c r="D37" s="393"/>
    </row>
    <row r="38" ht="18" customHeight="1" spans="1:12">
      <c r="A38" s="391" t="s">
        <v>1212</v>
      </c>
      <c r="B38" s="392" t="s">
        <v>351</v>
      </c>
      <c r="C38" s="393"/>
      <c r="D38" s="393"/>
    </row>
    <row r="39" ht="18" customHeight="1" spans="1:12">
      <c r="A39" s="391" t="s">
        <v>352</v>
      </c>
      <c r="B39" s="392" t="s">
        <v>353</v>
      </c>
      <c r="C39" s="393"/>
      <c r="D39" s="393"/>
    </row>
    <row r="40" ht="18" customHeight="1" spans="1:12">
      <c r="A40" s="391" t="s">
        <v>354</v>
      </c>
      <c r="B40" s="392" t="s">
        <v>355</v>
      </c>
      <c r="C40" s="393"/>
      <c r="D40" s="393"/>
    </row>
    <row r="41" ht="18" customHeight="1" spans="1:12">
      <c r="A41" s="391" t="s">
        <v>356</v>
      </c>
      <c r="B41" s="392" t="s">
        <v>357</v>
      </c>
      <c r="C41" s="393"/>
      <c r="D41" s="393"/>
    </row>
    <row r="42" ht="18" customHeight="1" spans="1:12">
      <c r="A42" s="391" t="s">
        <v>358</v>
      </c>
      <c r="B42" s="392" t="s">
        <v>359</v>
      </c>
      <c r="C42" s="393"/>
      <c r="D42" s="393"/>
    </row>
    <row r="43" ht="18" customHeight="1" spans="1:12">
      <c r="A43" s="391" t="s">
        <v>360</v>
      </c>
      <c r="B43" s="392" t="s">
        <v>361</v>
      </c>
      <c r="C43" s="393"/>
      <c r="D43" s="393"/>
    </row>
    <row r="44" ht="18" customHeight="1" spans="1:12">
      <c r="A44" s="391" t="s">
        <v>362</v>
      </c>
      <c r="B44" s="392" t="s">
        <v>363</v>
      </c>
      <c r="C44" s="393"/>
      <c r="D44" s="393"/>
    </row>
    <row r="45" ht="18" customHeight="1" spans="1:12">
      <c r="A45" s="391" t="s">
        <v>364</v>
      </c>
      <c r="B45" s="392" t="s">
        <v>365</v>
      </c>
      <c r="C45" s="393"/>
      <c r="D45" s="393"/>
    </row>
    <row r="46" ht="18" customHeight="1" spans="1:12">
      <c r="A46" s="391" t="s">
        <v>366</v>
      </c>
      <c r="B46" s="392" t="s">
        <v>367</v>
      </c>
      <c r="C46" s="393"/>
      <c r="D46" s="393"/>
    </row>
    <row r="47" ht="18" customHeight="1" spans="1:12">
      <c r="A47" s="391" t="s">
        <v>368</v>
      </c>
      <c r="B47" s="392" t="s">
        <v>369</v>
      </c>
      <c r="C47" s="393"/>
      <c r="D47" s="393"/>
    </row>
    <row r="48" ht="18" customHeight="1" spans="1:12">
      <c r="A48" s="391" t="s">
        <v>370</v>
      </c>
      <c r="B48" s="392" t="s">
        <v>371</v>
      </c>
      <c r="C48" s="393"/>
      <c r="D48" s="393"/>
    </row>
    <row r="49" ht="18" customHeight="1" spans="1:4">
      <c r="A49" s="391" t="s">
        <v>372</v>
      </c>
      <c r="B49" s="392" t="s">
        <v>373</v>
      </c>
      <c r="C49" s="393"/>
      <c r="D49" s="393"/>
    </row>
    <row r="50" ht="18" customHeight="1" spans="1:4">
      <c r="A50" s="391" t="s">
        <v>374</v>
      </c>
      <c r="B50" s="392" t="s">
        <v>375</v>
      </c>
      <c r="C50" s="393"/>
      <c r="D50" s="393"/>
    </row>
    <row r="51" ht="18" customHeight="1" spans="1:4">
      <c r="A51" s="391" t="s">
        <v>376</v>
      </c>
      <c r="B51" s="392" t="s">
        <v>377</v>
      </c>
      <c r="C51" s="393"/>
      <c r="D51" s="393"/>
    </row>
    <row r="52" ht="18" customHeight="1" spans="1:4">
      <c r="A52" s="391" t="s">
        <v>378</v>
      </c>
      <c r="B52" s="392" t="s">
        <v>379</v>
      </c>
      <c r="C52" s="393"/>
      <c r="D52" s="393"/>
    </row>
    <row r="53" ht="18" customHeight="1" spans="1:4">
      <c r="A53" s="391" t="s">
        <v>380</v>
      </c>
      <c r="B53" s="392" t="s">
        <v>381</v>
      </c>
      <c r="C53" s="393"/>
      <c r="D53" s="393"/>
    </row>
    <row r="54" ht="18" customHeight="1" spans="1:4">
      <c r="A54" s="391" t="s">
        <v>382</v>
      </c>
      <c r="B54" s="392" t="s">
        <v>383</v>
      </c>
      <c r="C54" s="393"/>
      <c r="D54" s="393"/>
    </row>
    <row r="55" ht="18" customHeight="1" spans="1:4">
      <c r="A55" s="391" t="s">
        <v>384</v>
      </c>
      <c r="B55" s="392" t="s">
        <v>385</v>
      </c>
      <c r="C55" s="393"/>
      <c r="D55" s="393"/>
    </row>
    <row r="56" ht="18" customHeight="1" spans="1:4">
      <c r="A56" s="391"/>
      <c r="B56" s="392"/>
      <c r="C56" s="395"/>
      <c r="D56" s="395"/>
    </row>
    <row r="57" ht="18" customHeight="1" spans="1:4">
      <c r="A57" s="391" t="s">
        <v>386</v>
      </c>
      <c r="B57" s="392"/>
      <c r="C57" s="395"/>
      <c r="D57" s="395"/>
    </row>
    <row r="58" ht="18" customHeight="1" spans="1:4">
      <c r="A58" s="391" t="s">
        <v>387</v>
      </c>
      <c r="B58" s="392" t="s">
        <v>292</v>
      </c>
      <c r="C58" s="393"/>
      <c r="D58" s="393"/>
    </row>
    <row r="59" ht="18" customHeight="1" spans="1:4">
      <c r="A59" s="391" t="s">
        <v>388</v>
      </c>
      <c r="B59" s="392" t="s">
        <v>295</v>
      </c>
      <c r="C59" s="393"/>
      <c r="D59" s="393"/>
    </row>
    <row r="60" ht="18" customHeight="1" spans="1:4">
      <c r="A60" s="391" t="s">
        <v>389</v>
      </c>
      <c r="B60" s="392" t="s">
        <v>297</v>
      </c>
      <c r="C60" s="393"/>
      <c r="D60" s="393"/>
    </row>
    <row r="61" ht="18" customHeight="1" spans="1:4">
      <c r="A61" s="391" t="s">
        <v>390</v>
      </c>
      <c r="B61" s="392" t="s">
        <v>299</v>
      </c>
      <c r="C61" s="393"/>
      <c r="D61" s="393"/>
    </row>
    <row r="62" ht="18" customHeight="1" spans="1:4">
      <c r="A62" s="391" t="s">
        <v>391</v>
      </c>
      <c r="B62" s="392" t="s">
        <v>301</v>
      </c>
      <c r="C62" s="393"/>
      <c r="D62" s="393"/>
    </row>
    <row r="63" ht="18" customHeight="1" spans="1:4">
      <c r="A63" s="391" t="s">
        <v>392</v>
      </c>
      <c r="B63" s="392" t="s">
        <v>303</v>
      </c>
      <c r="C63" s="393"/>
      <c r="D63" s="393"/>
    </row>
    <row r="64" ht="10.8" customHeight="1"/>
    <row r="65" ht="15.8" customHeight="1" spans="1:4">
      <c r="A65" s="387"/>
      <c r="B65" s="386"/>
      <c r="C65" s="387"/>
      <c r="D65" s="387"/>
    </row>
    <row r="66" ht="21.6" customHeight="1"/>
  </sheetData>
  <mergeCells count="3">
    <mergeCell ref="A3:A4"/>
    <mergeCell ref="B3:B4"/>
    <mergeCell ref="C3:C4"/>
  </mergeCells>
  <pageMargins left="0.299027777777778" right="0.299027777777778" top="0.299027777777778" bottom="0.299027777777778" header="0.3" footer="0.3"/>
  <pageSetup paperSize="9" orientation="portrait" useFirstPageNumber="1" horizontalDpi="600" verticalDpi="600"/>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92D050"/>
  </sheetPr>
  <dimension ref="A1:P93"/>
  <sheetViews>
    <sheetView view="pageBreakPreview" zoomScaleNormal="100" topLeftCell="A35" workbookViewId="0">
      <selection activeCell="E52" sqref="E52"/>
    </sheetView>
  </sheetViews>
  <sheetFormatPr defaultColWidth="9" defaultRowHeight="14.25"/>
  <cols>
    <col min="1" max="1" width="22.75" style="277" customWidth="1"/>
    <col min="2" max="2" width="5.375" style="278" customWidth="1"/>
    <col min="3" max="3" width="14" style="278" customWidth="1"/>
    <col min="4" max="4" width="14.625" style="278" customWidth="1"/>
    <col min="5" max="5" width="20.75" style="278" customWidth="1"/>
    <col min="6" max="6" width="5.375" style="278" customWidth="1"/>
    <col min="7" max="7" width="15.25" style="278" customWidth="1"/>
    <col min="8" max="8" width="14.625" style="278" customWidth="1"/>
    <col min="9" max="11" width="16.875" style="24" customWidth="1" outlineLevel="1"/>
    <col min="12" max="12" width="17.5" style="24" customWidth="1"/>
    <col min="13" max="13" width="15.1916666666667" style="24"/>
    <col min="14" max="15" width="13.625" style="24"/>
    <col min="16" max="16" width="15.1916666666667" style="24"/>
    <col min="17" max="16384" width="9" style="24"/>
  </cols>
  <sheetData>
    <row r="1" ht="21.75" spans="1:13">
      <c r="A1" s="279" t="s">
        <v>1441</v>
      </c>
      <c r="B1" s="279"/>
      <c r="C1" s="279"/>
      <c r="D1" s="279"/>
      <c r="E1" s="279"/>
      <c r="F1" s="279"/>
      <c r="G1" s="279"/>
      <c r="H1" s="279"/>
      <c r="J1" s="280"/>
      <c r="K1" s="280"/>
    </row>
    <row r="2" spans="1:13">
      <c r="A2" s="281" t="s">
        <v>1416</v>
      </c>
      <c r="B2" s="282"/>
      <c r="C2" s="283">
        <f>精铸BS!D3</f>
        <v>45991</v>
      </c>
      <c r="D2" s="284"/>
      <c r="E2" s="284"/>
      <c r="F2" s="282"/>
      <c r="G2" s="284"/>
      <c r="H2" s="285" t="s">
        <v>1442</v>
      </c>
      <c r="J2" s="280"/>
      <c r="K2" s="280"/>
    </row>
    <row r="3" spans="1:13">
      <c r="A3" s="286" t="s">
        <v>1418</v>
      </c>
      <c r="B3" s="287"/>
      <c r="C3" s="288" t="s">
        <v>4</v>
      </c>
      <c r="D3" s="289"/>
      <c r="E3" s="284"/>
      <c r="F3" s="287"/>
      <c r="G3" s="290"/>
      <c r="H3" s="291" t="s">
        <v>99</v>
      </c>
      <c r="J3" s="292"/>
    </row>
    <row r="4" spans="1:13">
      <c r="A4" s="293" t="s">
        <v>100</v>
      </c>
      <c r="B4" s="294" t="s">
        <v>285</v>
      </c>
      <c r="C4" s="294" t="s">
        <v>1219</v>
      </c>
      <c r="D4" s="294" t="s">
        <v>1220</v>
      </c>
      <c r="E4" s="295" t="s">
        <v>589</v>
      </c>
      <c r="F4" s="294" t="s">
        <v>285</v>
      </c>
      <c r="G4" s="294" t="s">
        <v>1219</v>
      </c>
      <c r="H4" s="294" t="s">
        <v>1220</v>
      </c>
      <c r="J4" s="296"/>
    </row>
    <row r="5" spans="1:13">
      <c r="A5" s="297" t="s">
        <v>104</v>
      </c>
      <c r="B5" s="298">
        <v>1</v>
      </c>
      <c r="C5" s="299"/>
      <c r="D5" s="300"/>
      <c r="E5" s="301" t="s">
        <v>105</v>
      </c>
      <c r="F5" s="302">
        <v>44</v>
      </c>
      <c r="G5" s="303"/>
      <c r="H5" s="303"/>
      <c r="J5" s="304"/>
    </row>
    <row r="6" spans="1:13">
      <c r="A6" s="305" t="s">
        <v>106</v>
      </c>
      <c r="B6" s="306">
        <v>2</v>
      </c>
      <c r="C6" s="307">
        <v>46938006.1</v>
      </c>
      <c r="D6" s="308">
        <v>13842075.51</v>
      </c>
      <c r="E6" s="309" t="s">
        <v>107</v>
      </c>
      <c r="F6" s="310">
        <v>44</v>
      </c>
      <c r="G6" s="308">
        <v>56870613.89</v>
      </c>
      <c r="H6" s="311">
        <v>62000000</v>
      </c>
      <c r="I6" s="280"/>
      <c r="L6" s="312"/>
    </row>
    <row r="7" spans="1:13">
      <c r="A7" s="305" t="s">
        <v>108</v>
      </c>
      <c r="B7" s="306">
        <v>3</v>
      </c>
      <c r="C7" s="307">
        <v>34393907.06</v>
      </c>
      <c r="D7" s="308">
        <v>13337678.37</v>
      </c>
      <c r="E7" s="309" t="s">
        <v>109</v>
      </c>
      <c r="F7" s="310">
        <v>45</v>
      </c>
      <c r="G7" s="313"/>
      <c r="H7" s="311"/>
      <c r="I7" s="280"/>
      <c r="J7" s="24" t="s">
        <v>1443</v>
      </c>
      <c r="L7" s="312"/>
    </row>
    <row r="8" spans="1:13">
      <c r="A8" s="314" t="s">
        <v>110</v>
      </c>
      <c r="B8" s="306">
        <v>4</v>
      </c>
      <c r="C8" s="307">
        <v>12544099.04</v>
      </c>
      <c r="D8" s="308">
        <v>504397.14</v>
      </c>
      <c r="E8" s="309" t="s">
        <v>111</v>
      </c>
      <c r="F8" s="310">
        <v>46</v>
      </c>
      <c r="G8" s="313">
        <v>13013332.6</v>
      </c>
      <c r="H8" s="311">
        <v>479225.68</v>
      </c>
      <c r="I8" s="280"/>
      <c r="J8" s="280">
        <v>1174300</v>
      </c>
      <c r="L8" s="312"/>
    </row>
    <row r="9" spans="1:13">
      <c r="A9" s="305" t="s">
        <v>112</v>
      </c>
      <c r="B9" s="306">
        <v>5</v>
      </c>
      <c r="C9" s="307"/>
      <c r="D9" s="308"/>
      <c r="E9" s="309" t="s">
        <v>113</v>
      </c>
      <c r="F9" s="310">
        <v>47</v>
      </c>
      <c r="G9" s="313">
        <v>92144576.09</v>
      </c>
      <c r="H9" s="311">
        <v>111740754.23</v>
      </c>
      <c r="I9" s="280"/>
      <c r="L9" s="312"/>
    </row>
    <row r="10" spans="1:13">
      <c r="A10" s="305" t="s">
        <v>114</v>
      </c>
      <c r="B10" s="306">
        <v>6</v>
      </c>
      <c r="C10" s="307">
        <v>16758518.78</v>
      </c>
      <c r="D10" s="315">
        <v>271750</v>
      </c>
      <c r="E10" s="309" t="s">
        <v>115</v>
      </c>
      <c r="F10" s="310">
        <v>48</v>
      </c>
      <c r="G10" s="313">
        <v>6821446.77</v>
      </c>
      <c r="H10" s="311">
        <v>414664.12</v>
      </c>
      <c r="I10" s="280"/>
      <c r="L10" s="312"/>
    </row>
    <row r="11" spans="1:13">
      <c r="A11" s="305" t="s">
        <v>116</v>
      </c>
      <c r="B11" s="306">
        <v>7</v>
      </c>
      <c r="C11" s="307">
        <v>81206214.33</v>
      </c>
      <c r="D11" s="308">
        <v>59596390.01</v>
      </c>
      <c r="E11" s="316" t="s">
        <v>88</v>
      </c>
      <c r="F11" s="317"/>
      <c r="G11" s="313">
        <v>342361.31</v>
      </c>
      <c r="H11" s="318">
        <v>392920.36</v>
      </c>
      <c r="I11" s="280"/>
      <c r="J11" s="280"/>
      <c r="L11" s="312"/>
    </row>
    <row r="12" spans="1:13">
      <c r="A12" s="305" t="s">
        <v>117</v>
      </c>
      <c r="B12" s="306">
        <v>8</v>
      </c>
      <c r="C12" s="307"/>
      <c r="D12" s="315">
        <v>4656214</v>
      </c>
      <c r="E12" s="309" t="s">
        <v>118</v>
      </c>
      <c r="F12" s="310">
        <v>49</v>
      </c>
      <c r="G12" s="313">
        <v>2944144.74</v>
      </c>
      <c r="H12" s="311">
        <v>548098.81</v>
      </c>
      <c r="J12" s="280">
        <f>22500000-5000000</f>
        <v>17500000</v>
      </c>
      <c r="K12" s="24" t="s">
        <v>1444</v>
      </c>
      <c r="L12" s="312"/>
    </row>
    <row r="13" spans="1:13">
      <c r="A13" s="305" t="s">
        <v>119</v>
      </c>
      <c r="B13" s="306">
        <v>9</v>
      </c>
      <c r="C13" s="307"/>
      <c r="D13" s="315"/>
      <c r="E13" s="309" t="s">
        <v>120</v>
      </c>
      <c r="F13" s="310">
        <v>50</v>
      </c>
      <c r="G13" s="308">
        <v>386283.97</v>
      </c>
      <c r="H13" s="311">
        <v>690922.97</v>
      </c>
      <c r="J13" s="280">
        <f>27500000+5000000</f>
        <v>32500000</v>
      </c>
      <c r="K13" s="24" t="s">
        <v>434</v>
      </c>
      <c r="L13" s="312"/>
      <c r="M13" s="47"/>
    </row>
    <row r="14" spans="1:13">
      <c r="A14" s="305" t="s">
        <v>121</v>
      </c>
      <c r="B14" s="306">
        <v>10</v>
      </c>
      <c r="C14" s="307"/>
      <c r="D14" s="315"/>
      <c r="E14" s="309" t="s">
        <v>122</v>
      </c>
      <c r="F14" s="310">
        <v>51</v>
      </c>
      <c r="G14" s="308"/>
      <c r="H14" s="311">
        <v>505663.89</v>
      </c>
      <c r="J14" s="280">
        <v>2849232.34</v>
      </c>
      <c r="K14" s="24" t="s">
        <v>437</v>
      </c>
      <c r="M14" s="47"/>
    </row>
    <row r="15" spans="1:13">
      <c r="A15" s="305" t="s">
        <v>123</v>
      </c>
      <c r="B15" s="306">
        <v>11</v>
      </c>
      <c r="C15" s="307">
        <v>2137229.57</v>
      </c>
      <c r="D15" s="308">
        <v>69902.34</v>
      </c>
      <c r="E15" s="309" t="s">
        <v>124</v>
      </c>
      <c r="F15" s="310">
        <v>52</v>
      </c>
      <c r="G15" s="308"/>
      <c r="H15" s="311"/>
      <c r="L15" s="312"/>
    </row>
    <row r="16" ht="15" spans="1:13">
      <c r="A16" s="305" t="s">
        <v>125</v>
      </c>
      <c r="B16" s="306">
        <v>12</v>
      </c>
      <c r="C16" s="307">
        <v>83933632.58</v>
      </c>
      <c r="D16" s="308">
        <v>9516507.29</v>
      </c>
      <c r="E16" s="309" t="s">
        <v>126</v>
      </c>
      <c r="F16" s="310">
        <v>53</v>
      </c>
      <c r="G16" s="308">
        <v>1152108.38</v>
      </c>
      <c r="H16" s="311">
        <v>1285747.21</v>
      </c>
      <c r="L16" s="312" t="s">
        <v>1445</v>
      </c>
    </row>
    <row r="17" ht="15" spans="1:16">
      <c r="A17" s="305" t="s">
        <v>1446</v>
      </c>
      <c r="B17" s="306">
        <v>13</v>
      </c>
      <c r="C17" s="307">
        <v>35673403.52</v>
      </c>
      <c r="D17" s="311">
        <v>6180165.45</v>
      </c>
      <c r="E17" s="309" t="s">
        <v>128</v>
      </c>
      <c r="F17" s="310">
        <v>54</v>
      </c>
      <c r="G17" s="313">
        <v>36548985.36</v>
      </c>
      <c r="H17" s="311">
        <v>35349232.34</v>
      </c>
      <c r="L17" s="319" t="s">
        <v>1447</v>
      </c>
      <c r="M17" s="320"/>
    </row>
    <row r="18" spans="1:16">
      <c r="A18" s="321" t="s">
        <v>132</v>
      </c>
      <c r="B18" s="306">
        <v>14</v>
      </c>
      <c r="C18" s="307">
        <v>9233146.85</v>
      </c>
      <c r="D18" s="311">
        <v>1390762.22</v>
      </c>
      <c r="E18" s="322" t="s">
        <v>433</v>
      </c>
      <c r="F18" s="310">
        <v>55</v>
      </c>
      <c r="G18" s="323">
        <v>13564276.81</v>
      </c>
      <c r="H18" s="324">
        <v>0</v>
      </c>
      <c r="I18" s="325">
        <f>(D18-C18)/0.75</f>
        <v>-10456512.84</v>
      </c>
      <c r="J18" s="326">
        <f>I18/10000</f>
        <v>-1045.651284</v>
      </c>
      <c r="K18" s="327" t="s">
        <v>133</v>
      </c>
      <c r="L18" s="328">
        <f>(O29-C18)/0.75</f>
        <v>394382.480000002</v>
      </c>
      <c r="M18" s="329"/>
      <c r="N18" s="280">
        <f>(D18-(C18-L29-M29))/0.75</f>
        <v>116290.506666667</v>
      </c>
    </row>
    <row r="19" spans="1:16">
      <c r="A19" s="321" t="s">
        <v>1448</v>
      </c>
      <c r="B19" s="306">
        <v>15</v>
      </c>
      <c r="C19" s="307">
        <v>37431085.64</v>
      </c>
      <c r="D19" s="311">
        <v>1883169.69</v>
      </c>
      <c r="E19" s="309"/>
      <c r="F19" s="310"/>
      <c r="G19" s="323"/>
      <c r="H19" s="330"/>
      <c r="I19" s="331">
        <f>(D19-C19)/0.75+快速PL!D6</f>
        <v>92429093.0333333</v>
      </c>
      <c r="J19" s="47">
        <f>I19/10000</f>
        <v>9242.90930333333</v>
      </c>
      <c r="K19" s="292" t="s">
        <v>1224</v>
      </c>
      <c r="L19" s="328">
        <f>(O30-C19)/0.75+(快速PL!D6-11191088.8-14149734.49-505118.2-62273759.03)</f>
        <v>46976005.640636</v>
      </c>
      <c r="M19" s="329"/>
      <c r="N19" s="280">
        <f>(D19-(C19-L30-M30-N30))/0.75+(快速PL!D6-11191088.8-14149734.49)</f>
        <v>106753603.070636</v>
      </c>
    </row>
    <row r="20" ht="15" spans="1:16">
      <c r="A20" s="314" t="s">
        <v>136</v>
      </c>
      <c r="B20" s="306">
        <v>16</v>
      </c>
      <c r="C20" s="307">
        <v>1595996.57</v>
      </c>
      <c r="D20" s="332">
        <v>62409.93</v>
      </c>
      <c r="E20" s="309"/>
      <c r="F20" s="310"/>
      <c r="G20" s="323"/>
      <c r="H20" s="330"/>
      <c r="I20" s="333">
        <f>I18+I19</f>
        <v>81972580.1933333</v>
      </c>
      <c r="J20" s="334">
        <f>J18+J19</f>
        <v>8197.25801933333</v>
      </c>
      <c r="K20" s="335" t="s">
        <v>137</v>
      </c>
      <c r="L20" s="336">
        <f>SUM(L18:L19)</f>
        <v>47370388.120636</v>
      </c>
      <c r="M20" s="337">
        <f>L20/1000</f>
        <v>47370.388120636</v>
      </c>
    </row>
    <row r="21" spans="1:16">
      <c r="A21" s="314" t="s">
        <v>138</v>
      </c>
      <c r="B21" s="306">
        <v>17</v>
      </c>
      <c r="C21" s="307"/>
      <c r="D21" s="308">
        <v>0</v>
      </c>
      <c r="E21" s="309"/>
      <c r="F21" s="310"/>
      <c r="G21" s="323"/>
      <c r="H21" s="323"/>
      <c r="J21" s="47"/>
    </row>
    <row r="22" spans="1:16">
      <c r="A22" s="305" t="s">
        <v>139</v>
      </c>
      <c r="B22" s="306">
        <v>18</v>
      </c>
      <c r="C22" s="307">
        <v>713818.6</v>
      </c>
      <c r="D22" s="308">
        <v>713818.6</v>
      </c>
      <c r="E22" s="338" t="s">
        <v>142</v>
      </c>
      <c r="F22" s="310">
        <v>56</v>
      </c>
      <c r="G22" s="339">
        <v>223788129.92</v>
      </c>
      <c r="H22" s="340">
        <f>SUM(H6:H18)</f>
        <v>213407229.61</v>
      </c>
      <c r="J22" s="47"/>
      <c r="L22" s="312"/>
      <c r="M22" s="24">
        <v>413.46</v>
      </c>
      <c r="N22" s="47">
        <f>M20+M22</f>
        <v>47783.848120636</v>
      </c>
      <c r="P22" s="47">
        <f>-11191088.8-14149734.49-505118.2-62273759.03</f>
        <v>-88119700.52</v>
      </c>
    </row>
    <row r="23" spans="1:16">
      <c r="A23" s="341" t="s">
        <v>140</v>
      </c>
      <c r="B23" s="342">
        <v>19</v>
      </c>
      <c r="C23" s="307"/>
      <c r="D23" s="308"/>
      <c r="E23" s="343" t="s">
        <v>144</v>
      </c>
      <c r="F23" s="310">
        <v>57</v>
      </c>
      <c r="G23" s="323"/>
      <c r="H23" s="323"/>
      <c r="J23" s="47">
        <f>J18/1.13+J19</f>
        <v>8317.55418474926</v>
      </c>
      <c r="K23" s="24" t="s">
        <v>1449</v>
      </c>
      <c r="M23" s="344" t="s">
        <v>1450</v>
      </c>
    </row>
    <row r="24" spans="1:16">
      <c r="A24" s="341" t="s">
        <v>141</v>
      </c>
      <c r="B24" s="342">
        <v>20</v>
      </c>
      <c r="C24" s="307"/>
      <c r="D24" s="345">
        <v>114410.32</v>
      </c>
      <c r="E24" s="309" t="s">
        <v>147</v>
      </c>
      <c r="F24" s="310">
        <v>58</v>
      </c>
      <c r="G24" s="308">
        <v>50000000</v>
      </c>
      <c r="H24" s="308">
        <v>17500000</v>
      </c>
      <c r="L24" s="312"/>
    </row>
    <row r="25" ht="15" spans="1:16">
      <c r="A25" s="346" t="s">
        <v>143</v>
      </c>
      <c r="B25" s="347">
        <v>21</v>
      </c>
      <c r="C25" s="348">
        <f>C6+C10+C11+C15+C16+C22</f>
        <v>231687419.96</v>
      </c>
      <c r="D25" s="348">
        <f>D6+D10+D11+D15+D16+D22+D12+D21+D24</f>
        <v>88781068.07</v>
      </c>
      <c r="E25" s="309" t="s">
        <v>149</v>
      </c>
      <c r="F25" s="310">
        <v>59</v>
      </c>
      <c r="G25" s="308"/>
      <c r="H25" s="308"/>
      <c r="J25" s="349"/>
      <c r="K25" s="47"/>
      <c r="L25" s="312"/>
    </row>
    <row r="26" spans="1:16">
      <c r="A26" s="305" t="s">
        <v>146</v>
      </c>
      <c r="B26" s="306">
        <v>22</v>
      </c>
      <c r="C26" s="350"/>
      <c r="D26" s="351"/>
      <c r="E26" s="309" t="s">
        <v>151</v>
      </c>
      <c r="F26" s="310">
        <v>60</v>
      </c>
      <c r="G26" s="308">
        <v>2447726.48</v>
      </c>
      <c r="H26" s="315">
        <v>0</v>
      </c>
      <c r="J26" s="352"/>
      <c r="K26" s="353">
        <v>2406</v>
      </c>
      <c r="L26" s="353" t="s">
        <v>1451</v>
      </c>
      <c r="M26" s="353" t="s">
        <v>1451</v>
      </c>
      <c r="N26" s="353" t="s">
        <v>1451</v>
      </c>
      <c r="O26" s="354" t="s">
        <v>1452</v>
      </c>
    </row>
    <row r="27" spans="1:16">
      <c r="A27" s="305" t="s">
        <v>148</v>
      </c>
      <c r="B27" s="306">
        <v>23</v>
      </c>
      <c r="C27" s="307"/>
      <c r="D27" s="308"/>
      <c r="E27" s="309" t="s">
        <v>153</v>
      </c>
      <c r="F27" s="310">
        <v>61</v>
      </c>
      <c r="G27" s="308"/>
      <c r="H27" s="308"/>
      <c r="J27" s="355" t="s">
        <v>125</v>
      </c>
      <c r="K27" s="280">
        <v>10610259.77</v>
      </c>
      <c r="L27" s="280"/>
      <c r="M27" s="280"/>
      <c r="N27" s="280"/>
      <c r="O27" s="356">
        <f>O28+O29+O30+O31</f>
        <v>84075107.595477</v>
      </c>
    </row>
    <row r="28" spans="1:16">
      <c r="A28" s="305" t="s">
        <v>150</v>
      </c>
      <c r="B28" s="306">
        <v>24</v>
      </c>
      <c r="C28" s="307"/>
      <c r="D28" s="308"/>
      <c r="E28" s="309" t="s">
        <v>155</v>
      </c>
      <c r="F28" s="310">
        <v>62</v>
      </c>
      <c r="G28" s="308"/>
      <c r="H28" s="308"/>
      <c r="J28" s="355" t="s">
        <v>1453</v>
      </c>
      <c r="K28" s="280">
        <v>4685614.52</v>
      </c>
      <c r="L28" s="280">
        <v>16237501.08</v>
      </c>
      <c r="M28" s="280">
        <v>17952747.68</v>
      </c>
      <c r="N28" s="280"/>
      <c r="O28" s="356">
        <f>K28+L28+M28+N28</f>
        <v>38875863.28</v>
      </c>
    </row>
    <row r="29" spans="1:16">
      <c r="A29" s="305" t="s">
        <v>152</v>
      </c>
      <c r="B29" s="306">
        <v>25</v>
      </c>
      <c r="C29" s="307"/>
      <c r="D29" s="308"/>
      <c r="E29" s="322" t="s">
        <v>157</v>
      </c>
      <c r="F29" s="310">
        <v>55</v>
      </c>
      <c r="G29" s="323">
        <v>5448006.79</v>
      </c>
      <c r="H29" s="323">
        <v>9601532.64</v>
      </c>
      <c r="J29" s="355" t="s">
        <v>132</v>
      </c>
      <c r="K29" s="280">
        <v>1599331.2</v>
      </c>
      <c r="L29" s="280"/>
      <c r="M29" s="280">
        <v>7929602.51</v>
      </c>
      <c r="N29" s="280"/>
      <c r="O29" s="356">
        <f>K29+L29+M29+N29</f>
        <v>9528933.71</v>
      </c>
    </row>
    <row r="30" spans="1:16">
      <c r="A30" s="305" t="s">
        <v>154</v>
      </c>
      <c r="B30" s="306">
        <v>26</v>
      </c>
      <c r="C30" s="307">
        <v>32000000</v>
      </c>
      <c r="D30" s="308">
        <v>260428991.81</v>
      </c>
      <c r="E30" s="309" t="s">
        <v>159</v>
      </c>
      <c r="F30" s="310">
        <v>63</v>
      </c>
      <c r="G30" s="308"/>
      <c r="H30" s="308"/>
      <c r="J30" s="355" t="s">
        <v>1448</v>
      </c>
      <c r="K30" s="280">
        <v>4134129.54</v>
      </c>
      <c r="L30" s="280">
        <v>434927.16666667</v>
      </c>
      <c r="M30" s="280">
        <v>5613633.11977665</v>
      </c>
      <c r="N30" s="280">
        <v>23700439.7090337</v>
      </c>
      <c r="O30" s="356">
        <f>K30+L30+M30+N30</f>
        <v>33883129.535477</v>
      </c>
    </row>
    <row r="31" ht="15" spans="1:16">
      <c r="A31" s="305" t="s">
        <v>156</v>
      </c>
      <c r="B31" s="306">
        <v>27</v>
      </c>
      <c r="C31" s="307"/>
      <c r="D31" s="308"/>
      <c r="E31" s="309" t="s">
        <v>162</v>
      </c>
      <c r="F31" s="310">
        <v>64</v>
      </c>
      <c r="G31" s="313"/>
      <c r="H31" s="313"/>
      <c r="J31" s="357" t="s">
        <v>136</v>
      </c>
      <c r="K31" s="358">
        <v>191184.51</v>
      </c>
      <c r="L31" s="358">
        <v>1595996.56</v>
      </c>
      <c r="M31" s="358"/>
      <c r="N31" s="358"/>
      <c r="O31" s="337">
        <f>K31+L31+M31+N31</f>
        <v>1787181.07</v>
      </c>
    </row>
    <row r="32" spans="1:16">
      <c r="A32" s="305" t="s">
        <v>1154</v>
      </c>
      <c r="B32" s="306">
        <v>28</v>
      </c>
      <c r="C32" s="359">
        <v>293569526.67</v>
      </c>
      <c r="D32" s="308">
        <v>130865746.02</v>
      </c>
      <c r="E32" s="338" t="s">
        <v>165</v>
      </c>
      <c r="F32" s="310">
        <v>65</v>
      </c>
      <c r="G32" s="339">
        <v>57895733.27</v>
      </c>
      <c r="H32" s="339">
        <f>SUM(H24:H31)</f>
        <v>27101532.64</v>
      </c>
      <c r="L32" s="312"/>
      <c r="O32" s="280"/>
    </row>
    <row r="33" spans="1:15">
      <c r="A33" s="305" t="s">
        <v>1454</v>
      </c>
      <c r="B33" s="306">
        <v>29</v>
      </c>
      <c r="C33" s="359">
        <v>92619421.09</v>
      </c>
      <c r="D33" s="308">
        <v>69324916.83</v>
      </c>
      <c r="E33" s="338" t="s">
        <v>167</v>
      </c>
      <c r="F33" s="310">
        <v>66</v>
      </c>
      <c r="G33" s="339">
        <v>281683863.19</v>
      </c>
      <c r="H33" s="339">
        <f>H22+H32</f>
        <v>240508762.25</v>
      </c>
      <c r="L33" s="312"/>
      <c r="O33" s="280"/>
    </row>
    <row r="34" ht="24" spans="1:15">
      <c r="A34" s="314" t="s">
        <v>164</v>
      </c>
      <c r="B34" s="306">
        <v>30</v>
      </c>
      <c r="C34" s="359">
        <v>200950105.58</v>
      </c>
      <c r="D34" s="308">
        <f>D32-D33</f>
        <v>61540829.19</v>
      </c>
      <c r="E34" s="309" t="s">
        <v>169</v>
      </c>
      <c r="F34" s="310">
        <v>67</v>
      </c>
      <c r="G34" s="360"/>
      <c r="H34" s="360"/>
      <c r="L34" s="312"/>
      <c r="M34" s="312"/>
    </row>
    <row r="35" spans="1:15">
      <c r="A35" s="305" t="s">
        <v>166</v>
      </c>
      <c r="B35" s="306">
        <v>31</v>
      </c>
      <c r="C35" s="307">
        <v>16311724.78</v>
      </c>
      <c r="D35" s="308">
        <v>2356308.31</v>
      </c>
      <c r="E35" s="309" t="s">
        <v>171</v>
      </c>
      <c r="F35" s="310">
        <v>68</v>
      </c>
      <c r="G35" s="308">
        <v>260216000</v>
      </c>
      <c r="H35" s="308">
        <v>260216000</v>
      </c>
      <c r="L35" s="312"/>
    </row>
    <row r="36" spans="1:15">
      <c r="A36" s="305" t="s">
        <v>168</v>
      </c>
      <c r="B36" s="306">
        <v>32</v>
      </c>
      <c r="C36" s="307"/>
      <c r="D36" s="308"/>
      <c r="E36" s="309" t="s">
        <v>173</v>
      </c>
      <c r="F36" s="310">
        <v>69</v>
      </c>
      <c r="G36" s="308">
        <v>108256248</v>
      </c>
      <c r="H36" s="308">
        <v>108256248</v>
      </c>
      <c r="J36" s="312"/>
      <c r="L36" s="312"/>
    </row>
    <row r="37" spans="1:15">
      <c r="A37" s="305" t="s">
        <v>170</v>
      </c>
      <c r="B37" s="306">
        <v>33</v>
      </c>
      <c r="C37" s="307"/>
      <c r="D37" s="308"/>
      <c r="E37" s="309" t="s">
        <v>175</v>
      </c>
      <c r="F37" s="310">
        <v>70</v>
      </c>
      <c r="G37" s="313"/>
      <c r="H37" s="313"/>
    </row>
    <row r="38" spans="1:15">
      <c r="A38" s="305" t="s">
        <v>172</v>
      </c>
      <c r="B38" s="306">
        <v>34</v>
      </c>
      <c r="C38" s="307"/>
      <c r="D38" s="308"/>
      <c r="E38" s="309" t="s">
        <v>177</v>
      </c>
      <c r="F38" s="310">
        <v>71</v>
      </c>
      <c r="G38" s="308"/>
      <c r="H38" s="308"/>
    </row>
    <row r="39" spans="1:15">
      <c r="A39" s="305" t="s">
        <v>174</v>
      </c>
      <c r="B39" s="306">
        <v>35</v>
      </c>
      <c r="C39" s="307"/>
      <c r="D39" s="308"/>
      <c r="E39" s="309" t="s">
        <v>179</v>
      </c>
      <c r="F39" s="310">
        <v>72</v>
      </c>
      <c r="G39" s="361">
        <v>-139793299.12</v>
      </c>
      <c r="H39" s="361">
        <v>-168363266.69</v>
      </c>
      <c r="I39" s="362">
        <f>H39-G39-快速PL!D29</f>
        <v>0</v>
      </c>
      <c r="J39" s="363"/>
      <c r="L39" s="312"/>
    </row>
    <row r="40" ht="24" spans="1:15">
      <c r="A40" s="305" t="s">
        <v>176</v>
      </c>
      <c r="B40" s="306">
        <v>36</v>
      </c>
      <c r="C40" s="307">
        <v>12858790.14</v>
      </c>
      <c r="D40" s="308">
        <v>12018771.62</v>
      </c>
      <c r="E40" s="338" t="s">
        <v>1455</v>
      </c>
      <c r="F40" s="310">
        <v>73</v>
      </c>
      <c r="G40" s="339">
        <v>228678948.88</v>
      </c>
      <c r="H40" s="339">
        <f>SUM(H35:H39)</f>
        <v>200108981.31</v>
      </c>
      <c r="I40" s="364"/>
      <c r="L40" s="312"/>
    </row>
    <row r="41" spans="1:15">
      <c r="A41" s="305" t="s">
        <v>178</v>
      </c>
      <c r="B41" s="306">
        <v>37</v>
      </c>
      <c r="C41" s="307"/>
      <c r="D41" s="308"/>
      <c r="E41" s="338"/>
      <c r="F41" s="310"/>
      <c r="G41" s="365"/>
      <c r="H41" s="365"/>
    </row>
    <row r="42" spans="1:15">
      <c r="A42" s="305" t="s">
        <v>180</v>
      </c>
      <c r="B42" s="306">
        <v>38</v>
      </c>
      <c r="C42" s="307"/>
      <c r="D42" s="308"/>
      <c r="E42" s="338"/>
      <c r="F42" s="310"/>
      <c r="G42" s="365"/>
      <c r="H42" s="365"/>
    </row>
    <row r="43" spans="1:15">
      <c r="A43" s="305" t="s">
        <v>182</v>
      </c>
      <c r="B43" s="306">
        <v>39</v>
      </c>
      <c r="C43" s="307">
        <v>4422080.89</v>
      </c>
      <c r="D43" s="308">
        <v>3780575.01</v>
      </c>
      <c r="E43" s="338"/>
      <c r="F43" s="310"/>
      <c r="G43" s="365"/>
      <c r="H43" s="365"/>
      <c r="L43" s="312"/>
    </row>
    <row r="44" spans="1:15">
      <c r="A44" s="305" t="s">
        <v>184</v>
      </c>
      <c r="B44" s="306">
        <v>40</v>
      </c>
      <c r="C44" s="307"/>
      <c r="D44" s="308"/>
      <c r="E44" s="338"/>
      <c r="F44" s="310"/>
      <c r="G44" s="365"/>
      <c r="H44" s="365"/>
    </row>
    <row r="45" spans="1:15">
      <c r="A45" s="341" t="s">
        <v>186</v>
      </c>
      <c r="B45" s="342">
        <v>41</v>
      </c>
      <c r="C45" s="307">
        <v>12132690.72</v>
      </c>
      <c r="D45" s="366">
        <f>429421.99+11281777.56</f>
        <v>11711199.55</v>
      </c>
      <c r="E45" s="338"/>
      <c r="F45" s="310"/>
      <c r="G45" s="365"/>
      <c r="H45" s="365"/>
      <c r="J45" s="312"/>
      <c r="K45" s="280"/>
      <c r="L45" s="312"/>
    </row>
    <row r="46" spans="1:15">
      <c r="A46" s="367" t="s">
        <v>187</v>
      </c>
      <c r="B46" s="368">
        <v>42</v>
      </c>
      <c r="C46" s="369">
        <f>C30+C34+C35+C40+C43+C45</f>
        <v>278675392.11</v>
      </c>
      <c r="D46" s="369">
        <f>D30+D34+D35+D40+D43+D45</f>
        <v>351836675.49</v>
      </c>
      <c r="E46" s="338"/>
      <c r="F46" s="310"/>
      <c r="G46" s="365"/>
      <c r="H46" s="365"/>
      <c r="J46" s="370"/>
      <c r="L46" s="312"/>
    </row>
    <row r="47" ht="24" spans="1:15">
      <c r="A47" s="371" t="s">
        <v>188</v>
      </c>
      <c r="B47" s="372">
        <v>43</v>
      </c>
      <c r="C47" s="369">
        <f>C46+C25</f>
        <v>510362812.07</v>
      </c>
      <c r="D47" s="369">
        <f>D46+D25</f>
        <v>440617743.56</v>
      </c>
      <c r="E47" s="338" t="s">
        <v>1226</v>
      </c>
      <c r="F47" s="310">
        <v>74</v>
      </c>
      <c r="G47" s="339">
        <v>510362812.07</v>
      </c>
      <c r="H47" s="339">
        <f>H40+H33</f>
        <v>440617743.56</v>
      </c>
      <c r="J47" s="370">
        <f>H33/D47</f>
        <v>0.545844478043017</v>
      </c>
      <c r="L47" s="312"/>
    </row>
    <row r="48" ht="24" spans="1:15">
      <c r="A48" s="373" t="s">
        <v>589</v>
      </c>
      <c r="B48" s="374" t="s">
        <v>285</v>
      </c>
      <c r="C48" s="375" t="s">
        <v>1219</v>
      </c>
      <c r="D48" s="376" t="s">
        <v>1220</v>
      </c>
      <c r="E48" s="377"/>
      <c r="F48" s="378" t="s">
        <v>1433</v>
      </c>
      <c r="G48" s="374"/>
      <c r="H48" s="379">
        <f>H47-D47</f>
        <v>0</v>
      </c>
      <c r="I48" s="280"/>
    </row>
    <row r="49" spans="1:8">
      <c r="A49" s="277" t="s">
        <v>105</v>
      </c>
      <c r="B49" s="278">
        <v>44</v>
      </c>
      <c r="C49" s="277">
        <f>G5</f>
        <v>0</v>
      </c>
      <c r="D49" s="277">
        <f>H5</f>
        <v>0</v>
      </c>
      <c r="E49" s="380"/>
    </row>
    <row r="50" spans="1:8">
      <c r="A50" s="277" t="s">
        <v>107</v>
      </c>
      <c r="B50" s="278">
        <v>44</v>
      </c>
      <c r="C50" s="277">
        <f t="shared" ref="C50:C91" si="0">G6</f>
        <v>56870613.89</v>
      </c>
      <c r="D50" s="277">
        <f t="shared" ref="D50:D91" si="1">H6</f>
        <v>62000000</v>
      </c>
      <c r="E50" s="226" t="s">
        <v>1227</v>
      </c>
    </row>
    <row r="51" spans="1:8">
      <c r="A51" s="277" t="s">
        <v>109</v>
      </c>
      <c r="B51" s="278">
        <v>45</v>
      </c>
      <c r="C51" s="277">
        <f t="shared" si="0"/>
        <v>0</v>
      </c>
      <c r="D51" s="277">
        <f t="shared" si="1"/>
        <v>0</v>
      </c>
      <c r="G51" s="381">
        <f>C47-G47</f>
        <v>0</v>
      </c>
      <c r="H51" s="381">
        <f>D47-H47</f>
        <v>0</v>
      </c>
    </row>
    <row r="52" spans="1:8">
      <c r="A52" s="277" t="s">
        <v>111</v>
      </c>
      <c r="B52" s="278">
        <v>46</v>
      </c>
      <c r="C52" s="277">
        <f t="shared" si="0"/>
        <v>13013332.6</v>
      </c>
      <c r="D52" s="277">
        <f t="shared" si="1"/>
        <v>479225.68</v>
      </c>
      <c r="G52" s="277"/>
    </row>
    <row r="53" spans="1:8">
      <c r="A53" s="277" t="s">
        <v>113</v>
      </c>
      <c r="B53" s="278">
        <v>47</v>
      </c>
      <c r="C53" s="277">
        <f t="shared" si="0"/>
        <v>92144576.09</v>
      </c>
      <c r="D53" s="277">
        <f t="shared" si="1"/>
        <v>111740754.23</v>
      </c>
    </row>
    <row r="54" spans="1:8">
      <c r="A54" s="277" t="s">
        <v>115</v>
      </c>
      <c r="B54" s="278">
        <v>48</v>
      </c>
      <c r="C54" s="277">
        <f t="shared" si="0"/>
        <v>6821446.77</v>
      </c>
      <c r="D54" s="277">
        <f t="shared" si="1"/>
        <v>414664.12</v>
      </c>
    </row>
    <row r="55" spans="1:8">
      <c r="A55" s="277" t="s">
        <v>88</v>
      </c>
      <c r="C55" s="277">
        <f t="shared" si="0"/>
        <v>342361.31</v>
      </c>
      <c r="D55" s="277">
        <f t="shared" si="1"/>
        <v>392920.36</v>
      </c>
    </row>
    <row r="56" spans="1:8">
      <c r="A56" s="277" t="s">
        <v>118</v>
      </c>
      <c r="B56" s="278">
        <v>49</v>
      </c>
      <c r="C56" s="277">
        <f t="shared" si="0"/>
        <v>2944144.74</v>
      </c>
      <c r="D56" s="277">
        <f t="shared" si="1"/>
        <v>548098.81</v>
      </c>
    </row>
    <row r="57" spans="1:8">
      <c r="A57" s="277" t="s">
        <v>120</v>
      </c>
      <c r="B57" s="278">
        <v>50</v>
      </c>
      <c r="C57" s="277">
        <f t="shared" si="0"/>
        <v>386283.97</v>
      </c>
      <c r="D57" s="277">
        <f t="shared" si="1"/>
        <v>690922.97</v>
      </c>
    </row>
    <row r="58" spans="1:8">
      <c r="A58" s="277" t="s">
        <v>122</v>
      </c>
      <c r="B58" s="278">
        <v>51</v>
      </c>
      <c r="C58" s="277">
        <f t="shared" si="0"/>
        <v>0</v>
      </c>
      <c r="D58" s="277">
        <f t="shared" si="1"/>
        <v>505663.89</v>
      </c>
    </row>
    <row r="59" spans="1:8">
      <c r="A59" s="277" t="s">
        <v>124</v>
      </c>
      <c r="B59" s="278">
        <v>52</v>
      </c>
      <c r="C59" s="277">
        <f t="shared" si="0"/>
        <v>0</v>
      </c>
      <c r="D59" s="277">
        <f t="shared" si="1"/>
        <v>0</v>
      </c>
    </row>
    <row r="60" spans="1:8">
      <c r="A60" s="277" t="s">
        <v>126</v>
      </c>
      <c r="B60" s="278">
        <v>53</v>
      </c>
      <c r="C60" s="277">
        <f t="shared" si="0"/>
        <v>1152108.38</v>
      </c>
      <c r="D60" s="277">
        <f t="shared" si="1"/>
        <v>1285747.21</v>
      </c>
    </row>
    <row r="61" spans="1:8">
      <c r="A61" s="277" t="s">
        <v>128</v>
      </c>
      <c r="B61" s="278">
        <v>54</v>
      </c>
      <c r="C61" s="277">
        <f t="shared" si="0"/>
        <v>36548985.36</v>
      </c>
      <c r="D61" s="277">
        <f t="shared" si="1"/>
        <v>35349232.34</v>
      </c>
    </row>
    <row r="62" spans="1:8">
      <c r="A62" s="277" t="s">
        <v>433</v>
      </c>
      <c r="B62" s="278">
        <v>55</v>
      </c>
      <c r="C62" s="277">
        <f t="shared" si="0"/>
        <v>13564276.81</v>
      </c>
      <c r="D62" s="277">
        <f t="shared" si="1"/>
        <v>0</v>
      </c>
      <c r="H62" s="277"/>
    </row>
    <row r="63" spans="1:8">
      <c r="C63" s="277">
        <f t="shared" si="0"/>
        <v>0</v>
      </c>
      <c r="D63" s="277">
        <f t="shared" si="1"/>
        <v>0</v>
      </c>
      <c r="H63" s="277"/>
    </row>
    <row r="64" spans="1:8">
      <c r="C64" s="277">
        <f t="shared" si="0"/>
        <v>0</v>
      </c>
      <c r="D64" s="277">
        <f t="shared" si="1"/>
        <v>0</v>
      </c>
      <c r="H64" s="382">
        <f>G47-C47</f>
        <v>0</v>
      </c>
    </row>
    <row r="65" spans="1:8">
      <c r="C65" s="277">
        <f t="shared" si="0"/>
        <v>0</v>
      </c>
      <c r="D65" s="277">
        <f t="shared" si="1"/>
        <v>0</v>
      </c>
      <c r="H65" s="382">
        <f>H47-D47</f>
        <v>0</v>
      </c>
    </row>
    <row r="66" spans="1:8">
      <c r="A66" s="277" t="s">
        <v>142</v>
      </c>
      <c r="B66" s="278">
        <v>56</v>
      </c>
      <c r="C66" s="277">
        <f t="shared" si="0"/>
        <v>223788129.92</v>
      </c>
      <c r="D66" s="277">
        <f t="shared" si="1"/>
        <v>213407229.61</v>
      </c>
      <c r="H66" s="277"/>
    </row>
    <row r="67" spans="1:8">
      <c r="A67" s="277" t="s">
        <v>144</v>
      </c>
      <c r="B67" s="278">
        <v>57</v>
      </c>
      <c r="C67" s="277">
        <f t="shared" si="0"/>
        <v>0</v>
      </c>
      <c r="D67" s="277">
        <f t="shared" si="1"/>
        <v>0</v>
      </c>
      <c r="H67" s="277"/>
    </row>
    <row r="68" spans="1:8">
      <c r="A68" s="277" t="s">
        <v>147</v>
      </c>
      <c r="B68" s="278">
        <v>58</v>
      </c>
      <c r="C68" s="277">
        <f t="shared" si="0"/>
        <v>50000000</v>
      </c>
      <c r="D68" s="277">
        <f t="shared" si="1"/>
        <v>17500000</v>
      </c>
      <c r="H68" s="277"/>
    </row>
    <row r="69" spans="1:8">
      <c r="A69" s="277" t="s">
        <v>149</v>
      </c>
      <c r="B69" s="278">
        <v>59</v>
      </c>
      <c r="C69" s="277">
        <f t="shared" si="0"/>
        <v>0</v>
      </c>
      <c r="D69" s="277">
        <f t="shared" si="1"/>
        <v>0</v>
      </c>
    </row>
    <row r="70" spans="1:8">
      <c r="A70" s="277" t="s">
        <v>151</v>
      </c>
      <c r="B70" s="278">
        <v>60</v>
      </c>
      <c r="C70" s="277">
        <f t="shared" si="0"/>
        <v>2447726.48</v>
      </c>
      <c r="D70" s="277">
        <f t="shared" si="1"/>
        <v>0</v>
      </c>
    </row>
    <row r="71" spans="1:8">
      <c r="A71" s="277" t="s">
        <v>153</v>
      </c>
      <c r="B71" s="278">
        <v>61</v>
      </c>
      <c r="C71" s="277">
        <f t="shared" si="0"/>
        <v>0</v>
      </c>
      <c r="D71" s="277">
        <f t="shared" si="1"/>
        <v>0</v>
      </c>
    </row>
    <row r="72" spans="1:8">
      <c r="A72" s="277" t="s">
        <v>155</v>
      </c>
      <c r="B72" s="278">
        <v>62</v>
      </c>
      <c r="C72" s="277">
        <f t="shared" si="0"/>
        <v>0</v>
      </c>
      <c r="D72" s="277">
        <f t="shared" si="1"/>
        <v>0</v>
      </c>
    </row>
    <row r="73" spans="1:8">
      <c r="A73" s="277" t="s">
        <v>157</v>
      </c>
      <c r="B73" s="278">
        <v>55</v>
      </c>
      <c r="C73" s="277">
        <f t="shared" si="0"/>
        <v>5448006.79</v>
      </c>
      <c r="D73" s="277">
        <f t="shared" si="1"/>
        <v>9601532.64</v>
      </c>
    </row>
    <row r="74" spans="1:8">
      <c r="A74" s="277" t="s">
        <v>159</v>
      </c>
      <c r="B74" s="278">
        <v>63</v>
      </c>
      <c r="C74" s="277">
        <f t="shared" si="0"/>
        <v>0</v>
      </c>
      <c r="D74" s="277">
        <f t="shared" si="1"/>
        <v>0</v>
      </c>
    </row>
    <row r="75" spans="1:8">
      <c r="A75" s="277" t="s">
        <v>162</v>
      </c>
      <c r="B75" s="278">
        <v>64</v>
      </c>
      <c r="C75" s="277">
        <f t="shared" si="0"/>
        <v>0</v>
      </c>
      <c r="D75" s="277">
        <f t="shared" si="1"/>
        <v>0</v>
      </c>
    </row>
    <row r="76" spans="1:8">
      <c r="A76" s="277" t="s">
        <v>165</v>
      </c>
      <c r="B76" s="278">
        <v>65</v>
      </c>
      <c r="C76" s="277">
        <f t="shared" si="0"/>
        <v>57895733.27</v>
      </c>
      <c r="D76" s="277">
        <f t="shared" si="1"/>
        <v>27101532.64</v>
      </c>
    </row>
    <row r="77" spans="1:8">
      <c r="A77" s="277" t="s">
        <v>167</v>
      </c>
      <c r="B77" s="278">
        <v>66</v>
      </c>
      <c r="C77" s="277">
        <f t="shared" si="0"/>
        <v>281683863.19</v>
      </c>
      <c r="D77" s="277">
        <f t="shared" si="1"/>
        <v>240508762.25</v>
      </c>
    </row>
    <row r="78" spans="1:8">
      <c r="A78" s="277" t="s">
        <v>169</v>
      </c>
      <c r="B78" s="278">
        <v>67</v>
      </c>
      <c r="C78" s="277">
        <f t="shared" si="0"/>
        <v>0</v>
      </c>
      <c r="D78" s="277">
        <f t="shared" si="1"/>
        <v>0</v>
      </c>
    </row>
    <row r="79" spans="1:8">
      <c r="A79" s="277" t="s">
        <v>171</v>
      </c>
      <c r="B79" s="278">
        <v>68</v>
      </c>
      <c r="C79" s="277">
        <f t="shared" si="0"/>
        <v>260216000</v>
      </c>
      <c r="D79" s="277">
        <f t="shared" si="1"/>
        <v>260216000</v>
      </c>
    </row>
    <row r="80" spans="1:8">
      <c r="A80" s="277" t="s">
        <v>173</v>
      </c>
      <c r="B80" s="278">
        <v>69</v>
      </c>
      <c r="C80" s="277">
        <f t="shared" si="0"/>
        <v>108256248</v>
      </c>
      <c r="D80" s="277">
        <f t="shared" si="1"/>
        <v>108256248</v>
      </c>
    </row>
    <row r="81" spans="1:4">
      <c r="A81" s="277" t="s">
        <v>175</v>
      </c>
      <c r="B81" s="278">
        <v>70</v>
      </c>
      <c r="C81" s="277">
        <f t="shared" si="0"/>
        <v>0</v>
      </c>
      <c r="D81" s="277">
        <f t="shared" si="1"/>
        <v>0</v>
      </c>
    </row>
    <row r="82" spans="1:4">
      <c r="A82" s="277" t="s">
        <v>177</v>
      </c>
      <c r="B82" s="278">
        <v>71</v>
      </c>
      <c r="C82" s="277">
        <f t="shared" si="0"/>
        <v>0</v>
      </c>
      <c r="D82" s="277">
        <f t="shared" si="1"/>
        <v>0</v>
      </c>
    </row>
    <row r="83" spans="1:4">
      <c r="A83" s="277" t="s">
        <v>179</v>
      </c>
      <c r="B83" s="278">
        <v>72</v>
      </c>
      <c r="C83" s="277">
        <f t="shared" si="0"/>
        <v>-139793299.12</v>
      </c>
      <c r="D83" s="277">
        <f t="shared" si="1"/>
        <v>-168363266.69</v>
      </c>
    </row>
    <row r="84" spans="1:4">
      <c r="A84" s="277" t="s">
        <v>1456</v>
      </c>
      <c r="B84" s="278">
        <v>73</v>
      </c>
      <c r="C84" s="277">
        <f t="shared" si="0"/>
        <v>228678948.88</v>
      </c>
      <c r="D84" s="277">
        <f t="shared" si="1"/>
        <v>200108981.31</v>
      </c>
    </row>
    <row r="85" spans="1:4">
      <c r="C85" s="277">
        <f t="shared" si="0"/>
        <v>0</v>
      </c>
      <c r="D85" s="277">
        <f t="shared" si="1"/>
        <v>0</v>
      </c>
    </row>
    <row r="86" spans="1:4">
      <c r="C86" s="277">
        <f t="shared" si="0"/>
        <v>0</v>
      </c>
      <c r="D86" s="277">
        <f t="shared" si="1"/>
        <v>0</v>
      </c>
    </row>
    <row r="87" spans="1:4">
      <c r="C87" s="277">
        <f t="shared" si="0"/>
        <v>0</v>
      </c>
      <c r="D87" s="277">
        <f t="shared" si="1"/>
        <v>0</v>
      </c>
    </row>
    <row r="88" spans="1:4">
      <c r="C88" s="277">
        <f t="shared" si="0"/>
        <v>0</v>
      </c>
      <c r="D88" s="277">
        <f t="shared" si="1"/>
        <v>0</v>
      </c>
    </row>
    <row r="89" spans="1:4">
      <c r="C89" s="277">
        <f t="shared" si="0"/>
        <v>0</v>
      </c>
      <c r="D89" s="277">
        <f t="shared" si="1"/>
        <v>0</v>
      </c>
    </row>
    <row r="90" spans="1:4">
      <c r="C90" s="277">
        <f t="shared" si="0"/>
        <v>0</v>
      </c>
      <c r="D90" s="277">
        <f t="shared" si="1"/>
        <v>0</v>
      </c>
    </row>
    <row r="91" spans="1:4">
      <c r="A91" s="277" t="s">
        <v>1226</v>
      </c>
      <c r="B91" s="278">
        <v>74</v>
      </c>
      <c r="C91" s="277">
        <f t="shared" si="0"/>
        <v>510362812.07</v>
      </c>
      <c r="D91" s="277">
        <f t="shared" si="1"/>
        <v>440617743.56</v>
      </c>
    </row>
    <row r="93" spans="1:4">
      <c r="A93" s="277" t="s">
        <v>79</v>
      </c>
      <c r="C93" s="277">
        <f>C91-C47</f>
        <v>0</v>
      </c>
      <c r="D93" s="277">
        <f>D91-D47</f>
        <v>0</v>
      </c>
    </row>
  </sheetData>
  <mergeCells count="1">
    <mergeCell ref="A1:H1"/>
  </mergeCells>
  <pageMargins left="0.7" right="0.7" top="0.75" bottom="0.75" header="0.3" footer="0.3"/>
  <pageSetup paperSize="9" orientation="landscape"/>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92D050"/>
  </sheetPr>
  <dimension ref="A1:N42"/>
  <sheetViews>
    <sheetView view="pageBreakPreview" zoomScaleNormal="100" topLeftCell="A16" workbookViewId="0">
      <selection activeCell="E52" sqref="E52"/>
    </sheetView>
  </sheetViews>
  <sheetFormatPr defaultColWidth="9" defaultRowHeight="14.25"/>
  <cols>
    <col min="1" max="1" width="39.125" style="228" customWidth="1"/>
    <col min="2" max="2" width="8.875" style="228" customWidth="1"/>
    <col min="3" max="3" width="24" style="228" customWidth="1"/>
    <col min="4" max="4" width="19.5" style="229" customWidth="1"/>
    <col min="5" max="5" width="14.875" style="230" customWidth="1" outlineLevel="1"/>
    <col min="6" max="6" width="13.75" style="230" customWidth="1" outlineLevel="1"/>
    <col min="7" max="7" width="16" style="230" customWidth="1" outlineLevel="1"/>
    <col min="8" max="8" width="8.75" style="1" customWidth="1"/>
    <col min="9" max="9" width="9" style="1"/>
    <col min="10" max="10" width="15.85" style="1" customWidth="1"/>
    <col min="11" max="11" width="13.85" style="1"/>
    <col min="12" max="228" width="9" style="1"/>
    <col min="229" max="229" width="49.625" style="1" customWidth="1"/>
    <col min="230" max="231" width="23.625" style="1" customWidth="1"/>
    <col min="232" max="484" width="9" style="1"/>
    <col min="485" max="485" width="49.625" style="1" customWidth="1"/>
    <col min="486" max="487" width="23.625" style="1" customWidth="1"/>
    <col min="488" max="740" width="9" style="1"/>
    <col min="741" max="741" width="49.625" style="1" customWidth="1"/>
    <col min="742" max="743" width="23.625" style="1" customWidth="1"/>
    <col min="744" max="996" width="9" style="1"/>
    <col min="997" max="997" width="49.625" style="1" customWidth="1"/>
    <col min="998" max="999" width="23.625" style="1" customWidth="1"/>
    <col min="1000" max="1252" width="9" style="1"/>
    <col min="1253" max="1253" width="49.625" style="1" customWidth="1"/>
    <col min="1254" max="1255" width="23.625" style="1" customWidth="1"/>
    <col min="1256" max="1508" width="9" style="1"/>
    <col min="1509" max="1509" width="49.625" style="1" customWidth="1"/>
    <col min="1510" max="1511" width="23.625" style="1" customWidth="1"/>
    <col min="1512" max="1764" width="9" style="1"/>
    <col min="1765" max="1765" width="49.625" style="1" customWidth="1"/>
    <col min="1766" max="1767" width="23.625" style="1" customWidth="1"/>
    <col min="1768" max="2020" width="9" style="1"/>
    <col min="2021" max="2021" width="49.625" style="1" customWidth="1"/>
    <col min="2022" max="2023" width="23.625" style="1" customWidth="1"/>
    <col min="2024" max="2276" width="9" style="1"/>
    <col min="2277" max="2277" width="49.625" style="1" customWidth="1"/>
    <col min="2278" max="2279" width="23.625" style="1" customWidth="1"/>
    <col min="2280" max="2532" width="9" style="1"/>
    <col min="2533" max="2533" width="49.625" style="1" customWidth="1"/>
    <col min="2534" max="2535" width="23.625" style="1" customWidth="1"/>
    <col min="2536" max="2788" width="9" style="1"/>
    <col min="2789" max="2789" width="49.625" style="1" customWidth="1"/>
    <col min="2790" max="2791" width="23.625" style="1" customWidth="1"/>
    <col min="2792" max="3044" width="9" style="1"/>
    <col min="3045" max="3045" width="49.625" style="1" customWidth="1"/>
    <col min="3046" max="3047" width="23.625" style="1" customWidth="1"/>
    <col min="3048" max="3300" width="9" style="1"/>
    <col min="3301" max="3301" width="49.625" style="1" customWidth="1"/>
    <col min="3302" max="3303" width="23.625" style="1" customWidth="1"/>
    <col min="3304" max="3556" width="9" style="1"/>
    <col min="3557" max="3557" width="49.625" style="1" customWidth="1"/>
    <col min="3558" max="3559" width="23.625" style="1" customWidth="1"/>
    <col min="3560" max="3812" width="9" style="1"/>
    <col min="3813" max="3813" width="49.625" style="1" customWidth="1"/>
    <col min="3814" max="3815" width="23.625" style="1" customWidth="1"/>
    <col min="3816" max="4068" width="9" style="1"/>
    <col min="4069" max="4069" width="49.625" style="1" customWidth="1"/>
    <col min="4070" max="4071" width="23.625" style="1" customWidth="1"/>
    <col min="4072" max="4324" width="9" style="1"/>
    <col min="4325" max="4325" width="49.625" style="1" customWidth="1"/>
    <col min="4326" max="4327" width="23.625" style="1" customWidth="1"/>
    <col min="4328" max="4580" width="9" style="1"/>
    <col min="4581" max="4581" width="49.625" style="1" customWidth="1"/>
    <col min="4582" max="4583" width="23.625" style="1" customWidth="1"/>
    <col min="4584" max="4836" width="9" style="1"/>
    <col min="4837" max="4837" width="49.625" style="1" customWidth="1"/>
    <col min="4838" max="4839" width="23.625" style="1" customWidth="1"/>
    <col min="4840" max="5092" width="9" style="1"/>
    <col min="5093" max="5093" width="49.625" style="1" customWidth="1"/>
    <col min="5094" max="5095" width="23.625" style="1" customWidth="1"/>
    <col min="5096" max="5348" width="9" style="1"/>
    <col min="5349" max="5349" width="49.625" style="1" customWidth="1"/>
    <col min="5350" max="5351" width="23.625" style="1" customWidth="1"/>
    <col min="5352" max="5604" width="9" style="1"/>
    <col min="5605" max="5605" width="49.625" style="1" customWidth="1"/>
    <col min="5606" max="5607" width="23.625" style="1" customWidth="1"/>
    <col min="5608" max="5860" width="9" style="1"/>
    <col min="5861" max="5861" width="49.625" style="1" customWidth="1"/>
    <col min="5862" max="5863" width="23.625" style="1" customWidth="1"/>
    <col min="5864" max="6116" width="9" style="1"/>
    <col min="6117" max="6117" width="49.625" style="1" customWidth="1"/>
    <col min="6118" max="6119" width="23.625" style="1" customWidth="1"/>
    <col min="6120" max="6372" width="9" style="1"/>
    <col min="6373" max="6373" width="49.625" style="1" customWidth="1"/>
    <col min="6374" max="6375" width="23.625" style="1" customWidth="1"/>
    <col min="6376" max="6628" width="9" style="1"/>
    <col min="6629" max="6629" width="49.625" style="1" customWidth="1"/>
    <col min="6630" max="6631" width="23.625" style="1" customWidth="1"/>
    <col min="6632" max="6884" width="9" style="1"/>
    <col min="6885" max="6885" width="49.625" style="1" customWidth="1"/>
    <col min="6886" max="6887" width="23.625" style="1" customWidth="1"/>
    <col min="6888" max="7140" width="9" style="1"/>
    <col min="7141" max="7141" width="49.625" style="1" customWidth="1"/>
    <col min="7142" max="7143" width="23.625" style="1" customWidth="1"/>
    <col min="7144" max="7396" width="9" style="1"/>
    <col min="7397" max="7397" width="49.625" style="1" customWidth="1"/>
    <col min="7398" max="7399" width="23.625" style="1" customWidth="1"/>
    <col min="7400" max="7652" width="9" style="1"/>
    <col min="7653" max="7653" width="49.625" style="1" customWidth="1"/>
    <col min="7654" max="7655" width="23.625" style="1" customWidth="1"/>
    <col min="7656" max="7908" width="9" style="1"/>
    <col min="7909" max="7909" width="49.625" style="1" customWidth="1"/>
    <col min="7910" max="7911" width="23.625" style="1" customWidth="1"/>
    <col min="7912" max="8164" width="9" style="1"/>
    <col min="8165" max="8165" width="49.625" style="1" customWidth="1"/>
    <col min="8166" max="8167" width="23.625" style="1" customWidth="1"/>
    <col min="8168" max="8420" width="9" style="1"/>
    <col min="8421" max="8421" width="49.625" style="1" customWidth="1"/>
    <col min="8422" max="8423" width="23.625" style="1" customWidth="1"/>
    <col min="8424" max="8676" width="9" style="1"/>
    <col min="8677" max="8677" width="49.625" style="1" customWidth="1"/>
    <col min="8678" max="8679" width="23.625" style="1" customWidth="1"/>
    <col min="8680" max="8932" width="9" style="1"/>
    <col min="8933" max="8933" width="49.625" style="1" customWidth="1"/>
    <col min="8934" max="8935" width="23.625" style="1" customWidth="1"/>
    <col min="8936" max="9188" width="9" style="1"/>
    <col min="9189" max="9189" width="49.625" style="1" customWidth="1"/>
    <col min="9190" max="9191" width="23.625" style="1" customWidth="1"/>
    <col min="9192" max="9444" width="9" style="1"/>
    <col min="9445" max="9445" width="49.625" style="1" customWidth="1"/>
    <col min="9446" max="9447" width="23.625" style="1" customWidth="1"/>
    <col min="9448" max="9700" width="9" style="1"/>
    <col min="9701" max="9701" width="49.625" style="1" customWidth="1"/>
    <col min="9702" max="9703" width="23.625" style="1" customWidth="1"/>
    <col min="9704" max="9956" width="9" style="1"/>
    <col min="9957" max="9957" width="49.625" style="1" customWidth="1"/>
    <col min="9958" max="9959" width="23.625" style="1" customWidth="1"/>
    <col min="9960" max="10212" width="9" style="1"/>
    <col min="10213" max="10213" width="49.625" style="1" customWidth="1"/>
    <col min="10214" max="10215" width="23.625" style="1" customWidth="1"/>
    <col min="10216" max="10468" width="9" style="1"/>
    <col min="10469" max="10469" width="49.625" style="1" customWidth="1"/>
    <col min="10470" max="10471" width="23.625" style="1" customWidth="1"/>
    <col min="10472" max="10724" width="9" style="1"/>
    <col min="10725" max="10725" width="49.625" style="1" customWidth="1"/>
    <col min="10726" max="10727" width="23.625" style="1" customWidth="1"/>
    <col min="10728" max="10980" width="9" style="1"/>
    <col min="10981" max="10981" width="49.625" style="1" customWidth="1"/>
    <col min="10982" max="10983" width="23.625" style="1" customWidth="1"/>
    <col min="10984" max="11236" width="9" style="1"/>
    <col min="11237" max="11237" width="49.625" style="1" customWidth="1"/>
    <col min="11238" max="11239" width="23.625" style="1" customWidth="1"/>
    <col min="11240" max="11492" width="9" style="1"/>
    <col min="11493" max="11493" width="49.625" style="1" customWidth="1"/>
    <col min="11494" max="11495" width="23.625" style="1" customWidth="1"/>
    <col min="11496" max="11748" width="9" style="1"/>
    <col min="11749" max="11749" width="49.625" style="1" customWidth="1"/>
    <col min="11750" max="11751" width="23.625" style="1" customWidth="1"/>
    <col min="11752" max="12004" width="9" style="1"/>
    <col min="12005" max="12005" width="49.625" style="1" customWidth="1"/>
    <col min="12006" max="12007" width="23.625" style="1" customWidth="1"/>
    <col min="12008" max="12260" width="9" style="1"/>
    <col min="12261" max="12261" width="49.625" style="1" customWidth="1"/>
    <col min="12262" max="12263" width="23.625" style="1" customWidth="1"/>
    <col min="12264" max="12516" width="9" style="1"/>
    <col min="12517" max="12517" width="49.625" style="1" customWidth="1"/>
    <col min="12518" max="12519" width="23.625" style="1" customWidth="1"/>
    <col min="12520" max="12772" width="9" style="1"/>
    <col min="12773" max="12773" width="49.625" style="1" customWidth="1"/>
    <col min="12774" max="12775" width="23.625" style="1" customWidth="1"/>
    <col min="12776" max="13028" width="9" style="1"/>
    <col min="13029" max="13029" width="49.625" style="1" customWidth="1"/>
    <col min="13030" max="13031" width="23.625" style="1" customWidth="1"/>
    <col min="13032" max="13284" width="9" style="1"/>
    <col min="13285" max="13285" width="49.625" style="1" customWidth="1"/>
    <col min="13286" max="13287" width="23.625" style="1" customWidth="1"/>
    <col min="13288" max="13540" width="9" style="1"/>
    <col min="13541" max="13541" width="49.625" style="1" customWidth="1"/>
    <col min="13542" max="13543" width="23.625" style="1" customWidth="1"/>
    <col min="13544" max="13796" width="9" style="1"/>
    <col min="13797" max="13797" width="49.625" style="1" customWidth="1"/>
    <col min="13798" max="13799" width="23.625" style="1" customWidth="1"/>
    <col min="13800" max="14052" width="9" style="1"/>
    <col min="14053" max="14053" width="49.625" style="1" customWidth="1"/>
    <col min="14054" max="14055" width="23.625" style="1" customWidth="1"/>
    <col min="14056" max="14308" width="9" style="1"/>
    <col min="14309" max="14309" width="49.625" style="1" customWidth="1"/>
    <col min="14310" max="14311" width="23.625" style="1" customWidth="1"/>
    <col min="14312" max="14564" width="9" style="1"/>
    <col min="14565" max="14565" width="49.625" style="1" customWidth="1"/>
    <col min="14566" max="14567" width="23.625" style="1" customWidth="1"/>
    <col min="14568" max="14820" width="9" style="1"/>
    <col min="14821" max="14821" width="49.625" style="1" customWidth="1"/>
    <col min="14822" max="14823" width="23.625" style="1" customWidth="1"/>
    <col min="14824" max="15076" width="9" style="1"/>
    <col min="15077" max="15077" width="49.625" style="1" customWidth="1"/>
    <col min="15078" max="15079" width="23.625" style="1" customWidth="1"/>
    <col min="15080" max="15332" width="9" style="1"/>
    <col min="15333" max="15333" width="49.625" style="1" customWidth="1"/>
    <col min="15334" max="15335" width="23.625" style="1" customWidth="1"/>
    <col min="15336" max="15588" width="9" style="1"/>
    <col min="15589" max="15589" width="49.625" style="1" customWidth="1"/>
    <col min="15590" max="15591" width="23.625" style="1" customWidth="1"/>
    <col min="15592" max="15844" width="9" style="1"/>
    <col min="15845" max="15845" width="49.625" style="1" customWidth="1"/>
    <col min="15846" max="15847" width="23.625" style="1" customWidth="1"/>
    <col min="15848" max="16100" width="9" style="1"/>
    <col min="16101" max="16101" width="49.625" style="1" customWidth="1"/>
    <col min="16102" max="16103" width="23.625" style="1" customWidth="1"/>
    <col min="16104" max="16384" width="9" style="1"/>
  </cols>
  <sheetData>
    <row r="1" ht="45" customHeight="1" spans="1:14">
      <c r="A1" s="231" t="s">
        <v>609</v>
      </c>
      <c r="B1" s="231"/>
      <c r="C1" s="231"/>
      <c r="D1" s="231"/>
    </row>
    <row r="2" ht="30.75" spans="1:14">
      <c r="A2" s="231"/>
      <c r="B2" s="231"/>
      <c r="C2" s="232">
        <f>(C6-C9)/C6</f>
        <v>-0.607779865885903</v>
      </c>
      <c r="D2" s="232">
        <f>(D6-D9)/D6</f>
        <v>0.0197468508257748</v>
      </c>
      <c r="F2" s="233" t="s">
        <v>1457</v>
      </c>
      <c r="G2" s="234"/>
      <c r="H2" s="235"/>
    </row>
    <row r="3" ht="17.25" spans="1:14">
      <c r="A3" s="236" t="s">
        <v>1416</v>
      </c>
      <c r="B3" s="237">
        <f>精铸BS!D3</f>
        <v>45991</v>
      </c>
      <c r="C3" s="237"/>
      <c r="D3" s="238" t="s">
        <v>280</v>
      </c>
    </row>
    <row r="4" ht="17.25" spans="1:14">
      <c r="A4" s="239" t="s">
        <v>1418</v>
      </c>
      <c r="B4" s="240" t="s">
        <v>4</v>
      </c>
      <c r="C4" s="241"/>
      <c r="D4" s="241" t="s">
        <v>99</v>
      </c>
    </row>
    <row r="5" ht="17.25" spans="1:14">
      <c r="A5" s="242" t="s">
        <v>284</v>
      </c>
      <c r="B5" s="243" t="s">
        <v>285</v>
      </c>
      <c r="C5" s="244" t="s">
        <v>1229</v>
      </c>
      <c r="D5" s="244" t="s">
        <v>287</v>
      </c>
      <c r="E5" s="245" t="s">
        <v>1230</v>
      </c>
      <c r="F5" s="245" t="s">
        <v>1458</v>
      </c>
      <c r="G5" s="245" t="s">
        <v>1232</v>
      </c>
    </row>
    <row r="6" ht="15" spans="1:14">
      <c r="A6" s="246" t="s">
        <v>612</v>
      </c>
      <c r="B6" s="247"/>
      <c r="C6" s="248">
        <f>D6-F6</f>
        <v>3044542.20000002</v>
      </c>
      <c r="D6" s="248">
        <v>139826314.3</v>
      </c>
      <c r="E6" s="230">
        <v>5919285.61</v>
      </c>
      <c r="F6" s="230">
        <v>136781772.1</v>
      </c>
      <c r="G6" s="230">
        <f>C6-E6</f>
        <v>-2874743.40999998</v>
      </c>
      <c r="H6" s="249">
        <f>(C6-C9)/C6</f>
        <v>-0.607779865885903</v>
      </c>
      <c r="I6" s="249">
        <f>(D6-D9)/D6</f>
        <v>0.0197468508257748</v>
      </c>
      <c r="J6" s="250"/>
      <c r="K6" s="250"/>
    </row>
    <row r="7" spans="1:14">
      <c r="A7" s="251" t="s">
        <v>1233</v>
      </c>
      <c r="B7" s="252">
        <v>1</v>
      </c>
      <c r="C7" s="253">
        <f t="shared" ref="C7:C29" si="0">D7-F7</f>
        <v>2407786.53</v>
      </c>
      <c r="D7" s="253">
        <v>117145488.86</v>
      </c>
      <c r="E7" s="230">
        <v>5299123.98</v>
      </c>
      <c r="F7" s="254">
        <v>114737702.33</v>
      </c>
      <c r="G7" s="230">
        <f t="shared" ref="G7:G29" si="1">C7-E7</f>
        <v>-2891337.45</v>
      </c>
      <c r="H7" s="249">
        <f>(C7-C10)/C7</f>
        <v>-0.786045492994763</v>
      </c>
      <c r="I7" s="249">
        <f>(D7-D10)/D7</f>
        <v>0.0214391989349371</v>
      </c>
      <c r="J7" s="250"/>
      <c r="K7" s="250"/>
    </row>
    <row r="8" spans="1:14">
      <c r="A8" s="251" t="s">
        <v>823</v>
      </c>
      <c r="B8" s="252">
        <v>2</v>
      </c>
      <c r="C8" s="255">
        <f t="shared" si="0"/>
        <v>636755.670000002</v>
      </c>
      <c r="D8" s="255">
        <v>22680825.44</v>
      </c>
      <c r="E8" s="230">
        <v>620161.629999999</v>
      </c>
      <c r="F8" s="230">
        <v>22044069.77</v>
      </c>
      <c r="G8" s="230">
        <f t="shared" si="1"/>
        <v>16594.0400000028</v>
      </c>
      <c r="J8" s="250"/>
      <c r="K8" s="250"/>
    </row>
    <row r="9" spans="1:14">
      <c r="A9" s="251" t="s">
        <v>613</v>
      </c>
      <c r="B9" s="252">
        <v>3</v>
      </c>
      <c r="C9" s="256">
        <f t="shared" si="0"/>
        <v>4894953.65000001</v>
      </c>
      <c r="D9" s="256">
        <v>137065184.93</v>
      </c>
      <c r="E9" s="230">
        <v>4898243.56</v>
      </c>
      <c r="F9" s="230">
        <v>132170231.28</v>
      </c>
      <c r="G9" s="230">
        <f t="shared" si="1"/>
        <v>-3289.90999999363</v>
      </c>
      <c r="J9" s="250"/>
      <c r="K9" s="250"/>
    </row>
    <row r="10" spans="1:14">
      <c r="A10" s="251" t="s">
        <v>1234</v>
      </c>
      <c r="B10" s="252">
        <v>4</v>
      </c>
      <c r="C10" s="255">
        <f t="shared" si="0"/>
        <v>4300416.28</v>
      </c>
      <c r="D10" s="255">
        <v>114633983.42</v>
      </c>
      <c r="E10" s="230">
        <v>4278986.70999999</v>
      </c>
      <c r="F10" s="230">
        <v>110333567.14</v>
      </c>
      <c r="G10" s="230">
        <f t="shared" si="1"/>
        <v>21429.5700000115</v>
      </c>
      <c r="J10" s="250"/>
      <c r="K10" s="250"/>
    </row>
    <row r="11" spans="1:14">
      <c r="A11" s="251" t="s">
        <v>824</v>
      </c>
      <c r="B11" s="252">
        <v>5</v>
      </c>
      <c r="C11" s="255">
        <f t="shared" si="0"/>
        <v>594537.370000001</v>
      </c>
      <c r="D11" s="255">
        <v>22431201.51</v>
      </c>
      <c r="E11" s="230">
        <v>619256.850000001</v>
      </c>
      <c r="F11" s="230">
        <v>21836664.14</v>
      </c>
      <c r="G11" s="230">
        <f t="shared" si="1"/>
        <v>-24719.48</v>
      </c>
      <c r="J11" s="250"/>
      <c r="K11" s="250"/>
    </row>
    <row r="12" ht="15" customHeight="1" spans="1:14">
      <c r="A12" s="251" t="s">
        <v>1235</v>
      </c>
      <c r="B12" s="252">
        <v>6</v>
      </c>
      <c r="C12" s="255">
        <f t="shared" si="0"/>
        <v>57744.5499999998</v>
      </c>
      <c r="D12" s="255">
        <v>1764040.15</v>
      </c>
      <c r="E12" s="230">
        <v>58635.6200000001</v>
      </c>
      <c r="F12" s="230">
        <v>1706295.6</v>
      </c>
      <c r="G12" s="230">
        <f t="shared" si="1"/>
        <v>-891.070000000283</v>
      </c>
      <c r="J12" s="250"/>
      <c r="K12" s="250"/>
    </row>
    <row r="13" spans="1:14">
      <c r="A13" s="251" t="s">
        <v>826</v>
      </c>
      <c r="B13" s="252">
        <v>7</v>
      </c>
      <c r="C13" s="255">
        <f t="shared" si="0"/>
        <v>152638.65</v>
      </c>
      <c r="D13" s="255">
        <v>2338217.67</v>
      </c>
      <c r="E13" s="230">
        <v>290698.54</v>
      </c>
      <c r="F13" s="230">
        <v>2185579.02</v>
      </c>
      <c r="G13" s="230">
        <f t="shared" si="1"/>
        <v>-138059.89</v>
      </c>
      <c r="H13" s="257"/>
      <c r="J13" s="250"/>
      <c r="K13" s="250"/>
    </row>
    <row r="14" ht="15" customHeight="1" spans="1:14">
      <c r="A14" s="251" t="s">
        <v>825</v>
      </c>
      <c r="B14" s="252">
        <v>8</v>
      </c>
      <c r="C14" s="255">
        <f t="shared" si="0"/>
        <v>576436.300000001</v>
      </c>
      <c r="D14" s="255">
        <v>7522163.61</v>
      </c>
      <c r="E14" s="230">
        <v>662172.189999999</v>
      </c>
      <c r="F14" s="230">
        <v>6945727.31</v>
      </c>
      <c r="G14" s="230">
        <f t="shared" si="1"/>
        <v>-85735.8899999983</v>
      </c>
      <c r="H14" s="258"/>
      <c r="J14" s="250"/>
      <c r="K14" s="250"/>
    </row>
    <row r="15" spans="1:14">
      <c r="A15" s="251" t="s">
        <v>827</v>
      </c>
      <c r="B15" s="252"/>
      <c r="C15" s="255">
        <f t="shared" si="0"/>
        <v>4144896.96</v>
      </c>
      <c r="D15" s="255">
        <v>17008037.25</v>
      </c>
      <c r="E15" s="230">
        <v>2152400.48</v>
      </c>
      <c r="F15" s="230">
        <v>12863140.29</v>
      </c>
      <c r="G15" s="230">
        <f t="shared" si="1"/>
        <v>1992496.48</v>
      </c>
      <c r="H15" s="259"/>
      <c r="I15" s="259"/>
      <c r="J15" s="250"/>
      <c r="K15" s="250"/>
      <c r="L15" s="260"/>
      <c r="N15" s="259"/>
    </row>
    <row r="16" spans="1:14">
      <c r="A16" s="251" t="s">
        <v>828</v>
      </c>
      <c r="B16" s="252">
        <v>9</v>
      </c>
      <c r="C16" s="255">
        <f t="shared" si="0"/>
        <v>372593.12</v>
      </c>
      <c r="D16" s="255">
        <v>4831891.24</v>
      </c>
      <c r="E16" s="230">
        <v>343703.55</v>
      </c>
      <c r="F16" s="230">
        <v>4459298.12</v>
      </c>
      <c r="G16" s="230">
        <f t="shared" si="1"/>
        <v>28889.5700000001</v>
      </c>
      <c r="J16" s="250"/>
      <c r="K16" s="250"/>
    </row>
    <row r="17" spans="1:11">
      <c r="A17" s="251" t="s">
        <v>788</v>
      </c>
      <c r="B17" s="252">
        <v>10</v>
      </c>
      <c r="C17" s="255">
        <f t="shared" si="0"/>
        <v>1627102.62</v>
      </c>
      <c r="D17" s="255">
        <v>1627102.62</v>
      </c>
      <c r="G17" s="230">
        <f t="shared" si="1"/>
        <v>1627102.62</v>
      </c>
      <c r="J17" s="250"/>
      <c r="K17" s="250"/>
    </row>
    <row r="18" spans="1:11">
      <c r="A18" s="251" t="s">
        <v>790</v>
      </c>
      <c r="B18" s="252"/>
      <c r="C18" s="255">
        <f t="shared" si="0"/>
        <v>0</v>
      </c>
      <c r="D18" s="255">
        <v>-68818.64</v>
      </c>
      <c r="E18" s="230">
        <v>0</v>
      </c>
      <c r="F18" s="230">
        <v>-68818.64</v>
      </c>
      <c r="G18" s="230">
        <f t="shared" si="1"/>
        <v>0</v>
      </c>
      <c r="J18" s="250"/>
      <c r="K18" s="250"/>
    </row>
    <row r="19" spans="1:11">
      <c r="A19" s="251" t="s">
        <v>1459</v>
      </c>
      <c r="B19" s="252">
        <v>11</v>
      </c>
      <c r="C19" s="255">
        <f t="shared" si="0"/>
        <v>0</v>
      </c>
      <c r="D19" s="255"/>
      <c r="E19" s="230">
        <v>0</v>
      </c>
      <c r="G19" s="230">
        <f t="shared" si="1"/>
        <v>0</v>
      </c>
      <c r="J19" s="250"/>
      <c r="K19" s="250"/>
    </row>
    <row r="20" spans="1:11">
      <c r="A20" s="251" t="s">
        <v>793</v>
      </c>
      <c r="B20" s="252"/>
      <c r="C20" s="255">
        <f t="shared" si="0"/>
        <v>0</v>
      </c>
      <c r="D20" s="255">
        <v>280553</v>
      </c>
      <c r="E20" s="230">
        <v>147553</v>
      </c>
      <c r="F20" s="230">
        <v>280553</v>
      </c>
      <c r="G20" s="230">
        <f t="shared" si="1"/>
        <v>-147553</v>
      </c>
      <c r="J20" s="250"/>
      <c r="K20" s="250"/>
    </row>
    <row r="21" spans="1:11">
      <c r="A21" s="251" t="s">
        <v>1460</v>
      </c>
      <c r="B21" s="252">
        <v>12</v>
      </c>
      <c r="C21" s="255">
        <f t="shared" si="0"/>
        <v>0</v>
      </c>
      <c r="D21" s="255">
        <v>139259.61</v>
      </c>
      <c r="E21" s="230">
        <v>0</v>
      </c>
      <c r="F21" s="230">
        <v>139259.61</v>
      </c>
      <c r="G21" s="230">
        <f t="shared" si="1"/>
        <v>0</v>
      </c>
      <c r="J21" s="250"/>
      <c r="K21" s="250"/>
    </row>
    <row r="22" spans="1:11">
      <c r="A22" s="251" t="s">
        <v>1239</v>
      </c>
      <c r="B22" s="252">
        <v>13</v>
      </c>
      <c r="C22" s="255">
        <f t="shared" si="0"/>
        <v>0</v>
      </c>
      <c r="D22" s="261"/>
      <c r="E22" s="230">
        <v>0</v>
      </c>
      <c r="G22" s="230">
        <f t="shared" si="1"/>
        <v>0</v>
      </c>
      <c r="J22" s="250"/>
      <c r="K22" s="250"/>
    </row>
    <row r="23" ht="15" spans="1:11">
      <c r="A23" s="246" t="s">
        <v>1461</v>
      </c>
      <c r="B23" s="262">
        <v>16</v>
      </c>
      <c r="C23" s="263">
        <f t="shared" si="0"/>
        <v>-5527618.41</v>
      </c>
      <c r="D23" s="263">
        <f>D6-D9-D12-D13-D14-D15-D16+D21+D20+D17+D18</f>
        <v>-28725123.96</v>
      </c>
      <c r="E23" s="230">
        <v>-2339015.33000001</v>
      </c>
      <c r="F23" s="230">
        <v>-23197505.55</v>
      </c>
      <c r="G23" s="230">
        <f t="shared" si="1"/>
        <v>-3188603.07999999</v>
      </c>
      <c r="J23" s="250"/>
      <c r="K23" s="250"/>
    </row>
    <row r="24" spans="1:11">
      <c r="A24" s="251" t="s">
        <v>632</v>
      </c>
      <c r="B24" s="264">
        <v>17</v>
      </c>
      <c r="C24" s="265">
        <f t="shared" si="0"/>
        <v>0</v>
      </c>
      <c r="D24" s="195">
        <v>160016.1</v>
      </c>
      <c r="E24" s="230">
        <v>0</v>
      </c>
      <c r="F24" s="230">
        <v>160016.1</v>
      </c>
      <c r="G24" s="230">
        <f t="shared" si="1"/>
        <v>0</v>
      </c>
      <c r="H24" s="266"/>
      <c r="J24" s="250"/>
      <c r="K24" s="250"/>
    </row>
    <row r="25" spans="1:11">
      <c r="A25" s="251" t="s">
        <v>633</v>
      </c>
      <c r="B25" s="264">
        <v>18</v>
      </c>
      <c r="C25" s="267">
        <f t="shared" si="0"/>
        <v>0</v>
      </c>
      <c r="D25" s="267">
        <v>4859.71</v>
      </c>
      <c r="E25" s="230">
        <v>0</v>
      </c>
      <c r="F25" s="230">
        <v>4859.71</v>
      </c>
      <c r="G25" s="230">
        <f t="shared" si="1"/>
        <v>0</v>
      </c>
      <c r="J25" s="250"/>
      <c r="K25" s="250"/>
    </row>
    <row r="26" spans="1:11">
      <c r="A26" s="251" t="s">
        <v>1241</v>
      </c>
      <c r="B26" s="264">
        <v>19</v>
      </c>
      <c r="C26" s="267">
        <f t="shared" si="0"/>
        <v>0</v>
      </c>
      <c r="D26" s="267"/>
      <c r="E26" s="230">
        <v>0</v>
      </c>
      <c r="G26" s="230">
        <f t="shared" si="1"/>
        <v>0</v>
      </c>
      <c r="J26" s="250"/>
      <c r="K26" s="250"/>
    </row>
    <row r="27" ht="15" spans="1:11">
      <c r="A27" s="246" t="s">
        <v>1462</v>
      </c>
      <c r="B27" s="247">
        <v>20</v>
      </c>
      <c r="C27" s="268">
        <f t="shared" si="0"/>
        <v>-5527618.41</v>
      </c>
      <c r="D27" s="268">
        <f>D23+D24-D25</f>
        <v>-28569967.57</v>
      </c>
      <c r="E27" s="230">
        <v>-2339015.33000001</v>
      </c>
      <c r="F27" s="230">
        <v>-23042349.16</v>
      </c>
      <c r="G27" s="230">
        <f t="shared" si="1"/>
        <v>-3188603.07999999</v>
      </c>
      <c r="J27" s="250"/>
      <c r="K27" s="250"/>
    </row>
    <row r="28" spans="1:11">
      <c r="A28" s="251" t="s">
        <v>635</v>
      </c>
      <c r="B28" s="252">
        <v>21</v>
      </c>
      <c r="C28" s="253">
        <f t="shared" si="0"/>
        <v>0</v>
      </c>
      <c r="D28" s="253"/>
      <c r="E28" s="230">
        <v>0</v>
      </c>
      <c r="G28" s="230">
        <f t="shared" si="1"/>
        <v>0</v>
      </c>
      <c r="J28" s="250"/>
      <c r="K28" s="250"/>
    </row>
    <row r="29" ht="15" spans="1:11">
      <c r="A29" s="246" t="s">
        <v>1463</v>
      </c>
      <c r="B29" s="247">
        <v>22</v>
      </c>
      <c r="C29" s="268">
        <f t="shared" si="0"/>
        <v>-5527618.41</v>
      </c>
      <c r="D29" s="268">
        <f>D27-D28</f>
        <v>-28569967.57</v>
      </c>
      <c r="E29" s="230">
        <v>-2339015.33000001</v>
      </c>
      <c r="F29" s="230">
        <v>-23042349.16</v>
      </c>
      <c r="G29" s="230">
        <f t="shared" si="1"/>
        <v>-3188603.07999999</v>
      </c>
      <c r="J29" s="250"/>
      <c r="K29" s="250"/>
    </row>
    <row r="30" ht="15" spans="1:11">
      <c r="A30" s="246" t="s">
        <v>1244</v>
      </c>
      <c r="B30" s="247">
        <v>23</v>
      </c>
      <c r="C30" s="248"/>
      <c r="D30" s="269">
        <v>0</v>
      </c>
      <c r="K30" s="250"/>
    </row>
    <row r="31" ht="15" spans="1:11">
      <c r="A31" s="251" t="s">
        <v>1245</v>
      </c>
      <c r="B31" s="252">
        <v>24</v>
      </c>
      <c r="C31" s="270">
        <v>0</v>
      </c>
      <c r="D31" s="270">
        <v>0</v>
      </c>
      <c r="K31" s="250"/>
    </row>
    <row r="32" ht="15" spans="1:11">
      <c r="A32" s="251" t="s">
        <v>1246</v>
      </c>
      <c r="B32" s="252">
        <v>25</v>
      </c>
      <c r="C32" s="271">
        <v>0</v>
      </c>
      <c r="D32" s="271">
        <v>0</v>
      </c>
      <c r="K32" s="250"/>
    </row>
    <row r="33" spans="1:11">
      <c r="A33" s="272" t="s">
        <v>1432</v>
      </c>
      <c r="B33" s="272"/>
      <c r="C33" s="273" t="s">
        <v>1433</v>
      </c>
      <c r="D33" s="273"/>
      <c r="F33" s="274"/>
      <c r="K33" s="250"/>
    </row>
    <row r="34" spans="1:11">
      <c r="A34" s="275"/>
      <c r="B34" s="275"/>
      <c r="C34" s="275"/>
      <c r="D34" s="275"/>
    </row>
    <row r="36" spans="1:11">
      <c r="E36" s="230">
        <f>D29/1000</f>
        <v>-28569.96757</v>
      </c>
    </row>
    <row r="41" spans="1:11">
      <c r="D41" s="276">
        <f>C18+新材料PL!D18</f>
        <v>0</v>
      </c>
    </row>
    <row r="42" spans="1:11">
      <c r="D42" s="276"/>
      <c r="E42" s="276"/>
    </row>
  </sheetData>
  <mergeCells count="2">
    <mergeCell ref="A1:D1"/>
    <mergeCell ref="B3:C3"/>
  </mergeCells>
  <pageMargins left="0.118110236220472" right="0.118110236220472" top="0.748031496062992" bottom="0.748031496062992" header="0.31496062992126" footer="0.31496062992126"/>
  <pageSetup paperSize="9" scale="90"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92D050"/>
  </sheetPr>
  <dimension ref="A1:H93"/>
  <sheetViews>
    <sheetView view="pageBreakPreview" zoomScaleNormal="100" topLeftCell="A34" workbookViewId="0">
      <selection activeCell="E52" sqref="E52"/>
    </sheetView>
  </sheetViews>
  <sheetFormatPr defaultColWidth="9.1" defaultRowHeight="12.75" outlineLevelCol="7"/>
  <cols>
    <col min="1" max="1" width="24.075" style="173" customWidth="1"/>
    <col min="2" max="3" width="12.6" style="173" customWidth="1"/>
    <col min="4" max="4" width="29.7166666666667" style="173" customWidth="1"/>
    <col min="5" max="6" width="12.325" style="173" customWidth="1"/>
    <col min="7" max="7" width="10.7583333333333" style="173"/>
    <col min="8" max="8" width="9.975" style="173"/>
    <col min="9" max="16384" width="9.1" style="173"/>
  </cols>
  <sheetData>
    <row r="1" spans="1:6">
      <c r="A1" s="174" t="s">
        <v>1464</v>
      </c>
      <c r="B1" s="175"/>
      <c r="C1" s="175" t="s">
        <v>1216</v>
      </c>
      <c r="D1" s="174" t="s">
        <v>1216</v>
      </c>
      <c r="E1" s="175" t="s">
        <v>1216</v>
      </c>
      <c r="F1" s="175" t="s">
        <v>1216</v>
      </c>
    </row>
    <row r="2" spans="1:6">
      <c r="A2" s="176"/>
      <c r="B2" s="177"/>
      <c r="C2" s="177"/>
      <c r="D2" s="176"/>
      <c r="E2" s="177"/>
      <c r="F2" s="177" t="s">
        <v>1465</v>
      </c>
    </row>
    <row r="3" spans="1:6">
      <c r="A3" s="178" t="s">
        <v>1466</v>
      </c>
      <c r="B3" s="179"/>
      <c r="C3" s="180"/>
      <c r="D3" s="181">
        <f>精铸BS!D3</f>
        <v>45991</v>
      </c>
      <c r="E3" s="180"/>
      <c r="F3" s="180" t="s">
        <v>1467</v>
      </c>
    </row>
    <row r="4" spans="1:6">
      <c r="A4" s="182" t="s">
        <v>1468</v>
      </c>
      <c r="B4" s="183" t="s">
        <v>1469</v>
      </c>
      <c r="C4" s="184" t="s">
        <v>1470</v>
      </c>
      <c r="D4" s="185" t="s">
        <v>1471</v>
      </c>
      <c r="E4" s="183" t="s">
        <v>1469</v>
      </c>
      <c r="F4" s="183" t="s">
        <v>1470</v>
      </c>
    </row>
    <row r="5" spans="1:6">
      <c r="A5" s="186" t="s">
        <v>1472</v>
      </c>
      <c r="B5" s="187"/>
      <c r="C5" s="188"/>
      <c r="D5" s="189" t="s">
        <v>1296</v>
      </c>
      <c r="E5" s="190"/>
      <c r="F5" s="190"/>
    </row>
    <row r="6" spans="1:6">
      <c r="A6" s="186" t="s">
        <v>1473</v>
      </c>
      <c r="B6" s="191"/>
      <c r="C6" s="192">
        <v>3082409.55</v>
      </c>
      <c r="D6" s="193" t="s">
        <v>1298</v>
      </c>
      <c r="E6" s="194"/>
      <c r="F6" s="194"/>
    </row>
    <row r="7" spans="1:6">
      <c r="A7" s="186" t="s">
        <v>1474</v>
      </c>
      <c r="B7" s="191"/>
      <c r="C7" s="192">
        <v>3082409.55</v>
      </c>
      <c r="D7" s="193" t="s">
        <v>1300</v>
      </c>
      <c r="E7" s="195"/>
      <c r="F7" s="195"/>
    </row>
    <row r="8" spans="1:6">
      <c r="A8" s="186" t="s">
        <v>1475</v>
      </c>
      <c r="B8" s="191"/>
      <c r="C8" s="192"/>
      <c r="D8" s="193" t="s">
        <v>1302</v>
      </c>
      <c r="E8" s="195"/>
      <c r="F8" s="195"/>
    </row>
    <row r="9" spans="1:6">
      <c r="A9" s="186" t="s">
        <v>1476</v>
      </c>
      <c r="B9" s="191"/>
      <c r="C9" s="192"/>
      <c r="D9" s="193" t="s">
        <v>1304</v>
      </c>
      <c r="E9" s="195"/>
      <c r="F9" s="195">
        <v>14593866.06</v>
      </c>
    </row>
    <row r="10" spans="1:6">
      <c r="A10" s="186" t="s">
        <v>1477</v>
      </c>
      <c r="B10" s="191"/>
      <c r="C10" s="196">
        <v>702561.5</v>
      </c>
      <c r="D10" s="193" t="s">
        <v>1306</v>
      </c>
      <c r="E10" s="195"/>
      <c r="F10" s="195">
        <v>60551.02</v>
      </c>
    </row>
    <row r="11" spans="1:6">
      <c r="A11" s="186" t="s">
        <v>1478</v>
      </c>
      <c r="B11" s="191"/>
      <c r="C11" s="196">
        <v>9547612.06</v>
      </c>
      <c r="D11" s="197" t="s">
        <v>1387</v>
      </c>
      <c r="E11" s="195"/>
      <c r="F11" s="195"/>
    </row>
    <row r="12" spans="1:6">
      <c r="A12" s="186" t="s">
        <v>1479</v>
      </c>
      <c r="B12" s="191"/>
      <c r="C12" s="196"/>
      <c r="D12" s="193" t="s">
        <v>1310</v>
      </c>
      <c r="E12" s="195"/>
      <c r="F12" s="195">
        <v>192484.91</v>
      </c>
    </row>
    <row r="13" spans="1:6">
      <c r="A13" s="186" t="s">
        <v>1480</v>
      </c>
      <c r="B13" s="191"/>
      <c r="C13" s="196"/>
      <c r="D13" s="193" t="s">
        <v>1312</v>
      </c>
      <c r="E13" s="194"/>
      <c r="F13" s="194">
        <v>18873.34</v>
      </c>
    </row>
    <row r="14" spans="1:6">
      <c r="A14" s="186" t="s">
        <v>1481</v>
      </c>
      <c r="B14" s="191"/>
      <c r="C14" s="196"/>
      <c r="D14" s="193" t="s">
        <v>1314</v>
      </c>
      <c r="E14" s="194"/>
      <c r="F14" s="194"/>
    </row>
    <row r="15" spans="1:6">
      <c r="A15" s="186" t="s">
        <v>1482</v>
      </c>
      <c r="B15" s="191"/>
      <c r="C15" s="196">
        <v>98973</v>
      </c>
      <c r="D15" s="193" t="s">
        <v>1483</v>
      </c>
      <c r="E15" s="194"/>
      <c r="F15" s="194"/>
    </row>
    <row r="16" spans="1:6">
      <c r="A16" s="186" t="s">
        <v>1484</v>
      </c>
      <c r="B16" s="191"/>
      <c r="C16" s="192">
        <v>7300712.15</v>
      </c>
      <c r="D16" s="193" t="s">
        <v>1318</v>
      </c>
      <c r="E16" s="194"/>
      <c r="F16" s="194">
        <v>110</v>
      </c>
    </row>
    <row r="17" spans="1:6">
      <c r="A17" s="186" t="s">
        <v>1485</v>
      </c>
      <c r="B17" s="191"/>
      <c r="C17" s="192">
        <v>1062361.51</v>
      </c>
      <c r="D17" s="193" t="s">
        <v>1320</v>
      </c>
      <c r="E17" s="195"/>
      <c r="F17" s="195"/>
    </row>
    <row r="18" spans="1:6">
      <c r="A18" s="186" t="s">
        <v>1486</v>
      </c>
      <c r="B18" s="191"/>
      <c r="C18" s="192">
        <v>6238350.64</v>
      </c>
      <c r="D18" s="197" t="s">
        <v>1394</v>
      </c>
      <c r="E18" s="198"/>
      <c r="F18" s="198"/>
    </row>
    <row r="19" spans="1:6">
      <c r="A19" s="186" t="s">
        <v>1487</v>
      </c>
      <c r="B19" s="191"/>
      <c r="C19" s="192">
        <v>0</v>
      </c>
      <c r="D19" s="193"/>
      <c r="E19" s="198"/>
      <c r="F19" s="198"/>
    </row>
    <row r="20" spans="1:6">
      <c r="A20" s="186" t="s">
        <v>1488</v>
      </c>
      <c r="B20" s="191"/>
      <c r="C20" s="192"/>
      <c r="D20" s="193"/>
      <c r="E20" s="198"/>
      <c r="F20" s="198"/>
    </row>
    <row r="21" spans="1:6">
      <c r="A21" s="199" t="s">
        <v>1489</v>
      </c>
      <c r="B21" s="191"/>
      <c r="C21" s="192"/>
      <c r="D21" s="193"/>
      <c r="E21" s="198"/>
      <c r="F21" s="198"/>
    </row>
    <row r="22" spans="1:6">
      <c r="A22" s="200" t="s">
        <v>1490</v>
      </c>
      <c r="B22" s="191"/>
      <c r="C22" s="192"/>
      <c r="D22" s="201" t="s">
        <v>1331</v>
      </c>
      <c r="E22" s="202"/>
      <c r="F22" s="203">
        <f>SUM(F6:F21)</f>
        <v>14865885.33</v>
      </c>
    </row>
    <row r="23" spans="1:6">
      <c r="A23" s="204" t="s">
        <v>1491</v>
      </c>
      <c r="B23" s="191"/>
      <c r="C23" s="192"/>
      <c r="D23" s="205" t="s">
        <v>1333</v>
      </c>
      <c r="E23" s="198"/>
      <c r="F23" s="198"/>
    </row>
    <row r="24" spans="1:6">
      <c r="A24" s="186" t="s">
        <v>1492</v>
      </c>
      <c r="B24" s="191"/>
      <c r="C24" s="192">
        <v>638316.44</v>
      </c>
      <c r="D24" s="193" t="s">
        <v>1335</v>
      </c>
      <c r="E24" s="194"/>
      <c r="F24" s="194"/>
    </row>
    <row r="25" spans="1:6">
      <c r="A25" s="206" t="s">
        <v>1493</v>
      </c>
      <c r="B25" s="207"/>
      <c r="C25" s="203">
        <f>C6+C10+C11+C16+C15+C24</f>
        <v>21370584.7</v>
      </c>
      <c r="D25" s="193" t="s">
        <v>1337</v>
      </c>
      <c r="E25" s="194"/>
      <c r="F25" s="194"/>
    </row>
    <row r="26" spans="1:6">
      <c r="A26" s="199" t="s">
        <v>1494</v>
      </c>
      <c r="B26" s="208"/>
      <c r="C26" s="209"/>
      <c r="D26" s="193" t="s">
        <v>1339</v>
      </c>
      <c r="E26" s="194"/>
      <c r="F26" s="194"/>
    </row>
    <row r="27" spans="1:6">
      <c r="A27" s="186" t="s">
        <v>1495</v>
      </c>
      <c r="B27" s="191"/>
      <c r="C27" s="192"/>
      <c r="D27" s="193" t="s">
        <v>1341</v>
      </c>
      <c r="E27" s="194"/>
      <c r="F27" s="194"/>
    </row>
    <row r="28" spans="1:6">
      <c r="A28" s="186" t="s">
        <v>1496</v>
      </c>
      <c r="B28" s="191"/>
      <c r="C28" s="192"/>
      <c r="D28" s="193" t="s">
        <v>1343</v>
      </c>
      <c r="E28" s="194"/>
      <c r="F28" s="194"/>
    </row>
    <row r="29" spans="1:6">
      <c r="A29" s="186" t="s">
        <v>1497</v>
      </c>
      <c r="B29" s="191"/>
      <c r="C29" s="192"/>
      <c r="D29" s="197" t="s">
        <v>1402</v>
      </c>
      <c r="E29" s="194"/>
      <c r="F29" s="194"/>
    </row>
    <row r="30" spans="1:6">
      <c r="A30" s="186" t="s">
        <v>1498</v>
      </c>
      <c r="B30" s="191"/>
      <c r="C30" s="192"/>
      <c r="D30" s="193" t="s">
        <v>1347</v>
      </c>
      <c r="E30" s="194"/>
      <c r="F30" s="194"/>
    </row>
    <row r="31" spans="1:6">
      <c r="A31" s="186" t="s">
        <v>1499</v>
      </c>
      <c r="B31" s="191"/>
      <c r="C31" s="192"/>
      <c r="D31" s="193" t="s">
        <v>1349</v>
      </c>
      <c r="E31" s="195"/>
      <c r="F31" s="195"/>
    </row>
    <row r="32" spans="1:6">
      <c r="A32" s="186" t="s">
        <v>1500</v>
      </c>
      <c r="B32" s="210"/>
      <c r="C32" s="203">
        <v>13178891.07</v>
      </c>
      <c r="D32" s="201" t="s">
        <v>1351</v>
      </c>
      <c r="E32" s="202"/>
      <c r="F32" s="202"/>
    </row>
    <row r="33" spans="1:7">
      <c r="A33" s="186" t="s">
        <v>1501</v>
      </c>
      <c r="B33" s="210"/>
      <c r="C33" s="203">
        <v>10951857.44</v>
      </c>
      <c r="D33" s="201" t="s">
        <v>1353</v>
      </c>
      <c r="E33" s="202"/>
      <c r="F33" s="202">
        <f>F32+F22</f>
        <v>14865885.33</v>
      </c>
    </row>
    <row r="34" spans="1:7">
      <c r="A34" s="186" t="s">
        <v>1502</v>
      </c>
      <c r="B34" s="211"/>
      <c r="C34" s="203">
        <f>C32-C33</f>
        <v>2227033.63</v>
      </c>
      <c r="D34" s="193" t="s">
        <v>1355</v>
      </c>
      <c r="E34" s="212"/>
      <c r="F34" s="212"/>
    </row>
    <row r="35" spans="1:7">
      <c r="A35" s="186" t="s">
        <v>1503</v>
      </c>
      <c r="B35" s="191"/>
      <c r="C35" s="203">
        <v>70796.46</v>
      </c>
      <c r="D35" s="193" t="s">
        <v>1357</v>
      </c>
      <c r="E35" s="194"/>
      <c r="F35" s="194">
        <v>8428991.81</v>
      </c>
    </row>
    <row r="36" spans="1:7">
      <c r="A36" s="186" t="s">
        <v>1504</v>
      </c>
      <c r="B36" s="191"/>
      <c r="C36" s="192"/>
      <c r="D36" s="193" t="s">
        <v>1359</v>
      </c>
      <c r="E36" s="194"/>
      <c r="F36" s="194"/>
    </row>
    <row r="37" spans="1:7">
      <c r="A37" s="186" t="s">
        <v>1505</v>
      </c>
      <c r="B37" s="191"/>
      <c r="C37" s="192"/>
      <c r="D37" s="193" t="s">
        <v>1361</v>
      </c>
      <c r="E37" s="195"/>
      <c r="F37" s="195"/>
    </row>
    <row r="38" spans="1:7">
      <c r="A38" s="186" t="s">
        <v>1506</v>
      </c>
      <c r="B38" s="191"/>
      <c r="C38" s="192"/>
      <c r="D38" s="193" t="s">
        <v>1363</v>
      </c>
      <c r="E38" s="194"/>
      <c r="F38" s="194"/>
    </row>
    <row r="39" spans="1:7">
      <c r="A39" s="186" t="s">
        <v>1507</v>
      </c>
      <c r="B39" s="191"/>
      <c r="C39" s="192"/>
      <c r="D39" s="193" t="s">
        <v>1365</v>
      </c>
      <c r="E39" s="213"/>
      <c r="F39" s="214">
        <v>904707.29</v>
      </c>
      <c r="G39" s="215">
        <f>F39-热等静压PL!C28</f>
        <v>-1.28056854009628e-9</v>
      </c>
    </row>
    <row r="40" spans="1:7">
      <c r="A40" s="186" t="s">
        <v>1508</v>
      </c>
      <c r="B40" s="191"/>
      <c r="C40" s="192"/>
      <c r="D40" s="201" t="s">
        <v>1367</v>
      </c>
      <c r="E40" s="202"/>
      <c r="F40" s="202">
        <f>F35+F39</f>
        <v>9333699.1</v>
      </c>
    </row>
    <row r="41" spans="1:7">
      <c r="A41" s="186" t="s">
        <v>1509</v>
      </c>
      <c r="B41" s="191"/>
      <c r="C41" s="192"/>
      <c r="D41" s="201"/>
      <c r="E41" s="216"/>
      <c r="F41" s="216"/>
    </row>
    <row r="42" spans="1:7">
      <c r="A42" s="186" t="s">
        <v>1510</v>
      </c>
      <c r="B42" s="191"/>
      <c r="C42" s="192"/>
      <c r="D42" s="201"/>
      <c r="E42" s="216"/>
      <c r="F42" s="216"/>
    </row>
    <row r="43" spans="1:7">
      <c r="A43" s="186" t="s">
        <v>1511</v>
      </c>
      <c r="B43" s="217"/>
      <c r="C43" s="191">
        <v>531169.64</v>
      </c>
      <c r="D43" s="201"/>
      <c r="E43" s="216"/>
      <c r="F43" s="216"/>
    </row>
    <row r="44" spans="1:7">
      <c r="A44" s="186" t="s">
        <v>1512</v>
      </c>
      <c r="B44" s="194"/>
      <c r="C44" s="192"/>
      <c r="D44" s="201"/>
      <c r="E44" s="216"/>
      <c r="F44" s="216"/>
    </row>
    <row r="45" spans="1:7">
      <c r="A45" s="186" t="s">
        <v>1513</v>
      </c>
      <c r="B45" s="191"/>
      <c r="C45" s="192"/>
      <c r="D45" s="201"/>
      <c r="E45" s="216"/>
      <c r="F45" s="216"/>
    </row>
    <row r="46" spans="1:7">
      <c r="A46" s="206" t="s">
        <v>1514</v>
      </c>
      <c r="B46" s="218"/>
      <c r="C46" s="219">
        <f>C34+C35+C43</f>
        <v>2828999.73</v>
      </c>
      <c r="D46" s="201"/>
      <c r="E46" s="216"/>
      <c r="F46" s="216"/>
    </row>
    <row r="47" ht="24" spans="1:7">
      <c r="A47" s="206" t="s">
        <v>1515</v>
      </c>
      <c r="B47" s="218"/>
      <c r="C47" s="218">
        <f>C46+C25</f>
        <v>24199584.43</v>
      </c>
      <c r="D47" s="220" t="s">
        <v>1375</v>
      </c>
      <c r="E47" s="221"/>
      <c r="F47" s="221">
        <f>F40+F33</f>
        <v>24199584.43</v>
      </c>
    </row>
    <row r="48" spans="1:7">
      <c r="A48" s="200" t="s">
        <v>1516</v>
      </c>
      <c r="B48" s="222" t="s">
        <v>1517</v>
      </c>
      <c r="C48" s="222" t="s">
        <v>1518</v>
      </c>
      <c r="D48" s="200"/>
      <c r="E48" s="222">
        <f>B47-E47</f>
        <v>0</v>
      </c>
      <c r="F48" s="222">
        <f>C47-F47</f>
        <v>0</v>
      </c>
    </row>
    <row r="49" spans="1:8">
      <c r="A49" s="200" t="s">
        <v>1381</v>
      </c>
      <c r="B49" s="222"/>
      <c r="C49" s="222"/>
      <c r="D49" s="200"/>
      <c r="E49" s="223"/>
      <c r="F49" s="222"/>
      <c r="H49" s="224">
        <f>F33/C47</f>
        <v>0.614303331241131</v>
      </c>
    </row>
    <row r="50" spans="1:8">
      <c r="A50" s="200" t="s">
        <v>1382</v>
      </c>
      <c r="B50" s="225"/>
      <c r="C50" s="225">
        <f>F6</f>
        <v>0</v>
      </c>
      <c r="D50" s="200"/>
      <c r="E50" s="222"/>
      <c r="F50" s="222"/>
    </row>
    <row r="51" spans="1:8">
      <c r="A51" s="200" t="s">
        <v>1383</v>
      </c>
      <c r="B51" s="225"/>
      <c r="C51" s="225">
        <f t="shared" ref="C51:C91" si="0">F7</f>
        <v>0</v>
      </c>
      <c r="D51" s="200"/>
      <c r="E51" s="222">
        <f>E47/10000</f>
        <v>0</v>
      </c>
      <c r="F51" s="222">
        <f>F47/10000</f>
        <v>2419.958443</v>
      </c>
    </row>
    <row r="52" spans="1:8">
      <c r="A52" s="200" t="s">
        <v>1384</v>
      </c>
      <c r="B52" s="225"/>
      <c r="C52" s="225">
        <f t="shared" si="0"/>
        <v>0</v>
      </c>
      <c r="D52" s="200"/>
      <c r="E52" s="222"/>
      <c r="F52" s="222"/>
    </row>
    <row r="53" spans="1:8">
      <c r="A53" s="200" t="s">
        <v>1385</v>
      </c>
      <c r="B53" s="225"/>
      <c r="C53" s="225">
        <f t="shared" si="0"/>
        <v>14593866.06</v>
      </c>
      <c r="D53" s="226" t="s">
        <v>1227</v>
      </c>
      <c r="E53" s="222"/>
      <c r="F53" s="222"/>
    </row>
    <row r="54" spans="1:8">
      <c r="A54" s="200" t="s">
        <v>1386</v>
      </c>
      <c r="B54" s="225"/>
      <c r="C54" s="225">
        <f t="shared" si="0"/>
        <v>60551.02</v>
      </c>
      <c r="D54" s="200"/>
      <c r="E54" s="222"/>
      <c r="F54" s="222"/>
    </row>
    <row r="55" spans="1:8">
      <c r="A55" s="200" t="s">
        <v>1387</v>
      </c>
      <c r="B55" s="225"/>
      <c r="C55" s="225">
        <f t="shared" si="0"/>
        <v>0</v>
      </c>
      <c r="D55" s="200"/>
      <c r="E55" s="222"/>
      <c r="F55" s="222"/>
    </row>
    <row r="56" spans="1:8">
      <c r="A56" s="200" t="s">
        <v>1388</v>
      </c>
      <c r="B56" s="225"/>
      <c r="C56" s="225">
        <f t="shared" si="0"/>
        <v>192484.91</v>
      </c>
      <c r="D56" s="200"/>
      <c r="E56" s="222"/>
      <c r="F56" s="222"/>
    </row>
    <row r="57" spans="1:8">
      <c r="A57" s="200" t="s">
        <v>1389</v>
      </c>
      <c r="B57" s="225"/>
      <c r="C57" s="225">
        <f t="shared" si="0"/>
        <v>18873.34</v>
      </c>
      <c r="D57" s="200"/>
      <c r="E57" s="222"/>
      <c r="F57" s="222"/>
    </row>
    <row r="58" spans="1:8">
      <c r="A58" s="200" t="s">
        <v>1390</v>
      </c>
      <c r="B58" s="225"/>
      <c r="C58" s="225">
        <f t="shared" si="0"/>
        <v>0</v>
      </c>
      <c r="D58" s="200"/>
      <c r="E58" s="222"/>
      <c r="F58" s="222"/>
    </row>
    <row r="59" spans="1:8">
      <c r="A59" s="200" t="s">
        <v>1391</v>
      </c>
      <c r="B59" s="225"/>
      <c r="C59" s="225">
        <f t="shared" si="0"/>
        <v>0</v>
      </c>
      <c r="D59" s="200"/>
      <c r="E59" s="222"/>
      <c r="F59" s="222"/>
    </row>
    <row r="60" spans="1:8">
      <c r="A60" s="200" t="s">
        <v>1392</v>
      </c>
      <c r="B60" s="225"/>
      <c r="C60" s="225">
        <f t="shared" si="0"/>
        <v>110</v>
      </c>
      <c r="D60" s="200"/>
      <c r="E60" s="222"/>
      <c r="F60" s="222"/>
    </row>
    <row r="61" spans="1:8">
      <c r="A61" s="200" t="s">
        <v>1393</v>
      </c>
      <c r="B61" s="225"/>
      <c r="C61" s="225">
        <f t="shared" si="0"/>
        <v>0</v>
      </c>
      <c r="D61" s="200"/>
      <c r="E61" s="222"/>
      <c r="F61" s="222"/>
    </row>
    <row r="62" spans="1:8">
      <c r="A62" s="200" t="s">
        <v>1394</v>
      </c>
      <c r="B62" s="225"/>
      <c r="C62" s="225">
        <f t="shared" si="0"/>
        <v>0</v>
      </c>
      <c r="D62" s="200"/>
      <c r="E62" s="222"/>
      <c r="F62" s="222"/>
    </row>
    <row r="63" spans="1:8">
      <c r="A63" s="200"/>
      <c r="B63" s="225"/>
      <c r="C63" s="225">
        <f t="shared" si="0"/>
        <v>0</v>
      </c>
      <c r="D63" s="200"/>
      <c r="E63" s="222"/>
      <c r="F63" s="222"/>
    </row>
    <row r="64" spans="1:8">
      <c r="A64" s="200"/>
      <c r="B64" s="225"/>
      <c r="C64" s="225">
        <f t="shared" si="0"/>
        <v>0</v>
      </c>
      <c r="D64" s="200"/>
      <c r="E64" s="222"/>
      <c r="F64" s="222"/>
    </row>
    <row r="65" spans="1:6">
      <c r="A65" s="200"/>
      <c r="B65" s="225"/>
      <c r="C65" s="225">
        <f t="shared" si="0"/>
        <v>0</v>
      </c>
      <c r="D65" s="200"/>
      <c r="E65" s="222"/>
      <c r="F65" s="222"/>
    </row>
    <row r="66" spans="1:6">
      <c r="A66" s="200" t="s">
        <v>1395</v>
      </c>
      <c r="B66" s="225"/>
      <c r="C66" s="225">
        <f t="shared" si="0"/>
        <v>14865885.33</v>
      </c>
      <c r="D66" s="200"/>
      <c r="E66" s="222"/>
      <c r="F66" s="222"/>
    </row>
    <row r="67" spans="1:6">
      <c r="A67" s="200" t="s">
        <v>1396</v>
      </c>
      <c r="B67" s="225"/>
      <c r="C67" s="225">
        <f t="shared" si="0"/>
        <v>0</v>
      </c>
      <c r="D67" s="200"/>
      <c r="E67" s="222"/>
      <c r="F67" s="222"/>
    </row>
    <row r="68" spans="1:6">
      <c r="A68" s="200" t="s">
        <v>1397</v>
      </c>
      <c r="B68" s="225"/>
      <c r="C68" s="225">
        <f t="shared" si="0"/>
        <v>0</v>
      </c>
      <c r="D68" s="200"/>
      <c r="E68" s="222"/>
      <c r="F68" s="222"/>
    </row>
    <row r="69" spans="1:6">
      <c r="A69" s="200" t="s">
        <v>1398</v>
      </c>
      <c r="B69" s="225"/>
      <c r="C69" s="225">
        <f t="shared" si="0"/>
        <v>0</v>
      </c>
      <c r="D69" s="200"/>
      <c r="E69" s="222"/>
      <c r="F69" s="222"/>
    </row>
    <row r="70" spans="1:6">
      <c r="A70" s="200" t="s">
        <v>1399</v>
      </c>
      <c r="B70" s="225"/>
      <c r="C70" s="225">
        <f t="shared" si="0"/>
        <v>0</v>
      </c>
      <c r="D70" s="200"/>
      <c r="E70" s="222"/>
      <c r="F70" s="222"/>
    </row>
    <row r="71" spans="1:6">
      <c r="A71" s="200" t="s">
        <v>1400</v>
      </c>
      <c r="B71" s="225"/>
      <c r="C71" s="225">
        <f t="shared" si="0"/>
        <v>0</v>
      </c>
      <c r="D71" s="200"/>
      <c r="E71" s="222"/>
      <c r="F71" s="222"/>
    </row>
    <row r="72" spans="1:6">
      <c r="A72" s="200" t="s">
        <v>1401</v>
      </c>
      <c r="B72" s="225"/>
      <c r="C72" s="225">
        <f t="shared" si="0"/>
        <v>0</v>
      </c>
      <c r="D72" s="200"/>
      <c r="E72" s="222"/>
      <c r="F72" s="222"/>
    </row>
    <row r="73" spans="1:6">
      <c r="A73" s="200" t="s">
        <v>1402</v>
      </c>
      <c r="B73" s="225"/>
      <c r="C73" s="225">
        <f t="shared" si="0"/>
        <v>0</v>
      </c>
      <c r="D73" s="200"/>
      <c r="E73" s="222"/>
      <c r="F73" s="222"/>
    </row>
    <row r="74" spans="1:6">
      <c r="A74" s="200" t="s">
        <v>1403</v>
      </c>
      <c r="B74" s="225"/>
      <c r="C74" s="225">
        <f t="shared" si="0"/>
        <v>0</v>
      </c>
      <c r="D74" s="200"/>
      <c r="E74" s="222"/>
      <c r="F74" s="222"/>
    </row>
    <row r="75" spans="1:6">
      <c r="A75" s="200" t="s">
        <v>1404</v>
      </c>
      <c r="B75" s="225"/>
      <c r="C75" s="225">
        <f t="shared" si="0"/>
        <v>0</v>
      </c>
      <c r="D75" s="200"/>
      <c r="E75" s="222"/>
      <c r="F75" s="222"/>
    </row>
    <row r="76" spans="1:6">
      <c r="A76" s="200" t="s">
        <v>1405</v>
      </c>
      <c r="B76" s="225"/>
      <c r="C76" s="225">
        <f t="shared" si="0"/>
        <v>0</v>
      </c>
      <c r="D76" s="200"/>
      <c r="E76" s="222"/>
      <c r="F76" s="222"/>
    </row>
    <row r="77" spans="1:6">
      <c r="A77" s="200" t="s">
        <v>1406</v>
      </c>
      <c r="B77" s="225"/>
      <c r="C77" s="225">
        <f t="shared" si="0"/>
        <v>14865885.33</v>
      </c>
      <c r="D77" s="200"/>
      <c r="E77" s="222"/>
      <c r="F77" s="222"/>
    </row>
    <row r="78" spans="1:6">
      <c r="A78" s="200" t="s">
        <v>1407</v>
      </c>
      <c r="B78" s="225"/>
      <c r="C78" s="225">
        <f t="shared" si="0"/>
        <v>0</v>
      </c>
      <c r="D78" s="200"/>
      <c r="E78" s="222"/>
      <c r="F78" s="222"/>
    </row>
    <row r="79" spans="1:6">
      <c r="A79" s="200" t="s">
        <v>1408</v>
      </c>
      <c r="B79" s="225"/>
      <c r="C79" s="225">
        <f t="shared" si="0"/>
        <v>8428991.81</v>
      </c>
      <c r="D79" s="200"/>
      <c r="E79" s="222"/>
      <c r="F79" s="222"/>
    </row>
    <row r="80" spans="1:6">
      <c r="A80" s="200" t="s">
        <v>1409</v>
      </c>
      <c r="B80" s="225"/>
      <c r="C80" s="225">
        <f t="shared" si="0"/>
        <v>0</v>
      </c>
      <c r="D80" s="200"/>
      <c r="E80" s="222"/>
      <c r="F80" s="222"/>
    </row>
    <row r="81" spans="1:6">
      <c r="A81" s="200" t="s">
        <v>1410</v>
      </c>
      <c r="B81" s="225"/>
      <c r="C81" s="225">
        <f t="shared" si="0"/>
        <v>0</v>
      </c>
      <c r="D81" s="200"/>
      <c r="E81" s="222"/>
      <c r="F81" s="222"/>
    </row>
    <row r="82" spans="1:6">
      <c r="A82" s="200" t="s">
        <v>1411</v>
      </c>
      <c r="B82" s="225"/>
      <c r="C82" s="225">
        <f t="shared" si="0"/>
        <v>0</v>
      </c>
      <c r="D82" s="200"/>
      <c r="E82" s="222"/>
      <c r="F82" s="222"/>
    </row>
    <row r="83" spans="1:6">
      <c r="A83" s="200" t="s">
        <v>1412</v>
      </c>
      <c r="B83" s="225"/>
      <c r="C83" s="225">
        <f t="shared" si="0"/>
        <v>904707.29</v>
      </c>
      <c r="D83" s="200"/>
      <c r="E83" s="222"/>
      <c r="F83" s="222"/>
    </row>
    <row r="84" spans="1:6">
      <c r="A84" s="200" t="s">
        <v>1413</v>
      </c>
      <c r="B84" s="225"/>
      <c r="C84" s="225">
        <f t="shared" si="0"/>
        <v>9333699.1</v>
      </c>
      <c r="D84" s="200"/>
      <c r="E84" s="222"/>
      <c r="F84" s="222"/>
    </row>
    <row r="85" spans="1:6">
      <c r="A85" s="200"/>
      <c r="B85" s="225"/>
      <c r="C85" s="225">
        <f t="shared" si="0"/>
        <v>0</v>
      </c>
      <c r="D85" s="200"/>
      <c r="E85" s="222"/>
      <c r="F85" s="222"/>
    </row>
    <row r="86" spans="1:6">
      <c r="A86" s="200"/>
      <c r="B86" s="225"/>
      <c r="C86" s="225">
        <f t="shared" si="0"/>
        <v>0</v>
      </c>
      <c r="D86" s="200"/>
      <c r="E86" s="222"/>
      <c r="F86" s="222"/>
    </row>
    <row r="87" spans="1:6">
      <c r="A87" s="200"/>
      <c r="B87" s="225"/>
      <c r="C87" s="225">
        <f t="shared" si="0"/>
        <v>0</v>
      </c>
      <c r="D87" s="200"/>
      <c r="E87" s="222"/>
      <c r="F87" s="222"/>
    </row>
    <row r="88" spans="1:6">
      <c r="A88" s="200"/>
      <c r="B88" s="225"/>
      <c r="C88" s="225">
        <f t="shared" si="0"/>
        <v>0</v>
      </c>
      <c r="D88" s="200"/>
      <c r="E88" s="222"/>
      <c r="F88" s="222"/>
    </row>
    <row r="89" spans="1:6">
      <c r="A89" s="200"/>
      <c r="B89" s="225"/>
      <c r="C89" s="225">
        <f t="shared" si="0"/>
        <v>0</v>
      </c>
      <c r="D89" s="200"/>
      <c r="E89" s="222"/>
      <c r="F89" s="222"/>
    </row>
    <row r="90" spans="1:6">
      <c r="A90" s="200"/>
      <c r="B90" s="225"/>
      <c r="C90" s="225">
        <f t="shared" si="0"/>
        <v>0</v>
      </c>
      <c r="D90" s="200"/>
      <c r="E90" s="222"/>
      <c r="F90" s="222"/>
    </row>
    <row r="91" spans="1:6">
      <c r="A91" s="200" t="s">
        <v>1414</v>
      </c>
      <c r="B91" s="225"/>
      <c r="C91" s="225">
        <f t="shared" si="0"/>
        <v>24199584.43</v>
      </c>
      <c r="D91" s="200"/>
      <c r="E91" s="222"/>
      <c r="F91" s="222"/>
    </row>
    <row r="93" spans="1:6">
      <c r="C93" s="227">
        <f>C91-C47</f>
        <v>0</v>
      </c>
    </row>
  </sheetData>
  <mergeCells count="2">
    <mergeCell ref="A1:F1"/>
    <mergeCell ref="A3:B3"/>
  </mergeCells>
  <pageMargins left="0.75" right="0.75" top="1" bottom="1" header="0.5" footer="0.5"/>
  <pageSetup paperSize="9" scale="72"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92D050"/>
  </sheetPr>
  <dimension ref="A1:G39"/>
  <sheetViews>
    <sheetView view="pageBreakPreview" zoomScaleNormal="85" workbookViewId="0">
      <selection activeCell="E52" sqref="E52"/>
    </sheetView>
  </sheetViews>
  <sheetFormatPr defaultColWidth="9.1" defaultRowHeight="15" outlineLevelCol="6"/>
  <cols>
    <col min="1" max="1" width="44.2083333333333" style="142" customWidth="1"/>
    <col min="2" max="3" width="17.4916666666667" style="142" customWidth="1"/>
    <col min="4" max="4" width="14.2833333333333" style="142" customWidth="1"/>
    <col min="5" max="5" width="16.925" style="142" customWidth="1"/>
    <col min="6" max="6" width="5.075" style="142" customWidth="1"/>
    <col min="7" max="7" width="11.6833333333333" style="142"/>
    <col min="8" max="8" width="12.4" style="143"/>
    <col min="9" max="9" width="9.1" style="143"/>
    <col min="10" max="16384" width="9.1" style="142"/>
  </cols>
  <sheetData>
    <row r="1" ht="22.5" spans="1:7">
      <c r="A1" s="144" t="s">
        <v>1519</v>
      </c>
      <c r="B1" s="144"/>
      <c r="C1" s="144"/>
    </row>
    <row r="2" spans="1:7">
      <c r="A2" s="145"/>
      <c r="B2" s="146">
        <f>(B5-B8)/B5</f>
        <v>0.362240223071704</v>
      </c>
      <c r="C2" s="147" t="s">
        <v>1520</v>
      </c>
    </row>
    <row r="3" spans="1:7">
      <c r="A3" s="148" t="s">
        <v>1521</v>
      </c>
      <c r="B3" s="149">
        <f>精铸BS!D3</f>
        <v>45991</v>
      </c>
      <c r="C3" s="150" t="s">
        <v>99</v>
      </c>
    </row>
    <row r="4" spans="1:7">
      <c r="A4" s="151" t="s">
        <v>284</v>
      </c>
      <c r="B4" s="152" t="s">
        <v>1229</v>
      </c>
      <c r="C4" s="153" t="s">
        <v>287</v>
      </c>
      <c r="D4" s="154" t="s">
        <v>1522</v>
      </c>
      <c r="E4" s="154" t="s">
        <v>1523</v>
      </c>
      <c r="F4" s="155" t="s">
        <v>1232</v>
      </c>
    </row>
    <row r="5" spans="1:7">
      <c r="A5" s="156" t="s">
        <v>612</v>
      </c>
      <c r="B5" s="157">
        <f t="shared" ref="B5:B28" si="0">C5-E5</f>
        <v>1375041.28</v>
      </c>
      <c r="C5" s="157">
        <v>18429411.64</v>
      </c>
      <c r="D5" s="158">
        <v>1513996.77</v>
      </c>
      <c r="E5" s="158">
        <v>17054370.36</v>
      </c>
    </row>
    <row r="6" spans="1:7">
      <c r="A6" s="159" t="s">
        <v>1233</v>
      </c>
      <c r="B6" s="160">
        <f t="shared" si="0"/>
        <v>1375041.28</v>
      </c>
      <c r="C6" s="160">
        <v>18429411.64</v>
      </c>
      <c r="D6" s="158">
        <v>1513996.77</v>
      </c>
      <c r="E6" s="158">
        <v>17054370.36</v>
      </c>
    </row>
    <row r="7" spans="1:7">
      <c r="A7" s="159" t="s">
        <v>823</v>
      </c>
      <c r="B7" s="160">
        <f t="shared" si="0"/>
        <v>0</v>
      </c>
      <c r="C7" s="160"/>
      <c r="D7" s="158">
        <v>0</v>
      </c>
      <c r="E7" s="158"/>
    </row>
    <row r="8" spans="1:7">
      <c r="A8" s="159" t="s">
        <v>613</v>
      </c>
      <c r="B8" s="161">
        <f t="shared" si="0"/>
        <v>876946.02</v>
      </c>
      <c r="C8" s="161">
        <v>15352894.29</v>
      </c>
      <c r="D8" s="158">
        <v>1066015.83</v>
      </c>
      <c r="E8" s="158">
        <v>14475948.27</v>
      </c>
    </row>
    <row r="9" spans="1:7">
      <c r="A9" s="159" t="s">
        <v>1234</v>
      </c>
      <c r="B9" s="160">
        <f t="shared" si="0"/>
        <v>876946.02</v>
      </c>
      <c r="C9" s="160">
        <v>15352894.29</v>
      </c>
      <c r="D9" s="158">
        <v>1066015.83</v>
      </c>
      <c r="E9" s="158">
        <v>14475948.27</v>
      </c>
    </row>
    <row r="10" spans="1:7">
      <c r="A10" s="159" t="s">
        <v>824</v>
      </c>
      <c r="B10" s="160">
        <f t="shared" si="0"/>
        <v>0</v>
      </c>
      <c r="C10" s="160"/>
      <c r="D10" s="158">
        <v>0</v>
      </c>
      <c r="E10" s="158"/>
    </row>
    <row r="11" spans="1:7">
      <c r="A11" s="159" t="s">
        <v>1235</v>
      </c>
      <c r="B11" s="160">
        <f t="shared" si="0"/>
        <v>1020.39</v>
      </c>
      <c r="C11" s="160">
        <v>6811.17</v>
      </c>
      <c r="D11" s="158">
        <v>176.04</v>
      </c>
      <c r="E11" s="158">
        <v>5790.78</v>
      </c>
      <c r="G11" s="143"/>
    </row>
    <row r="12" spans="1:7">
      <c r="A12" s="159" t="s">
        <v>826</v>
      </c>
      <c r="B12" s="160">
        <f t="shared" si="0"/>
        <v>117870.1</v>
      </c>
      <c r="C12" s="160">
        <v>641148.73</v>
      </c>
      <c r="D12" s="158">
        <v>25930</v>
      </c>
      <c r="E12" s="158">
        <v>523278.63</v>
      </c>
      <c r="G12" s="143"/>
    </row>
    <row r="13" spans="1:7">
      <c r="A13" s="159" t="s">
        <v>825</v>
      </c>
      <c r="B13" s="160">
        <f t="shared" si="0"/>
        <v>37604.38</v>
      </c>
      <c r="C13" s="160">
        <v>446142.54</v>
      </c>
      <c r="D13" s="158">
        <v>37472.3799999999</v>
      </c>
      <c r="E13" s="158">
        <v>408538.16</v>
      </c>
      <c r="G13" s="143"/>
    </row>
    <row r="14" spans="1:7">
      <c r="A14" s="159" t="s">
        <v>827</v>
      </c>
      <c r="B14" s="160">
        <f t="shared" si="0"/>
        <v>166797.05</v>
      </c>
      <c r="C14" s="160">
        <v>892711.12</v>
      </c>
      <c r="D14" s="158">
        <v>209245.45</v>
      </c>
      <c r="E14" s="158">
        <v>725914.07</v>
      </c>
      <c r="G14" s="143"/>
    </row>
    <row r="15" spans="1:7">
      <c r="A15" s="159" t="s">
        <v>828</v>
      </c>
      <c r="B15" s="162">
        <f t="shared" si="0"/>
        <v>416.99</v>
      </c>
      <c r="C15" s="163">
        <v>-2452.71</v>
      </c>
      <c r="D15" s="158">
        <v>256</v>
      </c>
      <c r="E15" s="158">
        <v>-2869.7</v>
      </c>
      <c r="G15" s="143"/>
    </row>
    <row r="16" ht="13" customHeight="1" spans="1:7">
      <c r="A16" s="159" t="s">
        <v>788</v>
      </c>
      <c r="B16" s="164">
        <f t="shared" si="0"/>
        <v>0</v>
      </c>
      <c r="C16" s="165"/>
      <c r="D16" s="158">
        <v>0</v>
      </c>
      <c r="E16" s="158"/>
    </row>
    <row r="17" ht="13" customHeight="1" spans="1:7">
      <c r="A17" s="159" t="s">
        <v>1236</v>
      </c>
      <c r="B17" s="164">
        <f t="shared" si="0"/>
        <v>0</v>
      </c>
      <c r="C17" s="165">
        <v>-139781.06</v>
      </c>
      <c r="D17" s="158">
        <v>0</v>
      </c>
      <c r="E17" s="158">
        <v>-139781.06</v>
      </c>
    </row>
    <row r="18" spans="1:7">
      <c r="A18" s="159" t="s">
        <v>1524</v>
      </c>
      <c r="B18" s="164">
        <f t="shared" si="0"/>
        <v>0</v>
      </c>
      <c r="C18" s="164"/>
      <c r="D18" s="158">
        <v>0</v>
      </c>
      <c r="E18" s="158"/>
    </row>
    <row r="19" spans="1:7">
      <c r="A19" s="159" t="s">
        <v>1525</v>
      </c>
      <c r="B19" s="166">
        <f t="shared" si="0"/>
        <v>0</v>
      </c>
      <c r="C19" s="166"/>
      <c r="D19" s="158">
        <v>0</v>
      </c>
      <c r="E19" s="158"/>
    </row>
    <row r="20" spans="1:7">
      <c r="A20" s="159" t="s">
        <v>1239</v>
      </c>
      <c r="B20" s="166">
        <f t="shared" si="0"/>
        <v>0</v>
      </c>
      <c r="C20" s="166"/>
      <c r="D20" s="158">
        <v>0</v>
      </c>
      <c r="E20" s="158"/>
    </row>
    <row r="21" spans="1:7">
      <c r="A21" s="159" t="s">
        <v>793</v>
      </c>
      <c r="B21" s="167">
        <f t="shared" si="0"/>
        <v>0</v>
      </c>
      <c r="C21" s="167"/>
      <c r="D21" s="158">
        <v>0</v>
      </c>
      <c r="E21" s="158"/>
    </row>
    <row r="22" spans="1:7">
      <c r="A22" s="156" t="s">
        <v>1526</v>
      </c>
      <c r="B22" s="168">
        <f t="shared" si="0"/>
        <v>174386.350000001</v>
      </c>
      <c r="C22" s="168">
        <f>C5-C8-C12-C13-C14-C15-C11+C17</f>
        <v>952375.440000001</v>
      </c>
      <c r="D22" s="158">
        <v>174901.07</v>
      </c>
      <c r="E22" s="158">
        <v>777989.09</v>
      </c>
      <c r="G22" s="143"/>
    </row>
    <row r="23" spans="1:7">
      <c r="A23" s="159" t="s">
        <v>632</v>
      </c>
      <c r="B23" s="164">
        <f t="shared" si="0"/>
        <v>0</v>
      </c>
      <c r="C23" s="164">
        <v>1.73</v>
      </c>
      <c r="D23" s="158">
        <v>0</v>
      </c>
      <c r="E23" s="158">
        <v>1.73</v>
      </c>
      <c r="G23" s="143"/>
    </row>
    <row r="24" spans="1:7">
      <c r="A24" s="159" t="s">
        <v>633</v>
      </c>
      <c r="B24" s="160">
        <f t="shared" si="0"/>
        <v>0</v>
      </c>
      <c r="C24" s="160"/>
      <c r="D24" s="158">
        <v>0</v>
      </c>
      <c r="E24" s="158"/>
    </row>
    <row r="25" spans="1:7">
      <c r="A25" s="159" t="s">
        <v>1241</v>
      </c>
      <c r="B25" s="160">
        <f t="shared" si="0"/>
        <v>0</v>
      </c>
      <c r="C25" s="160"/>
      <c r="D25" s="158">
        <v>0</v>
      </c>
      <c r="E25" s="158"/>
    </row>
    <row r="26" spans="1:7">
      <c r="A26" s="156" t="s">
        <v>1527</v>
      </c>
      <c r="B26" s="168">
        <f t="shared" si="0"/>
        <v>174386.350000001</v>
      </c>
      <c r="C26" s="168">
        <f>C22+C23-C24</f>
        <v>952377.170000001</v>
      </c>
      <c r="D26" s="158">
        <v>174901.07</v>
      </c>
      <c r="E26" s="158">
        <v>777990.82</v>
      </c>
    </row>
    <row r="27" spans="1:7">
      <c r="A27" s="159" t="s">
        <v>635</v>
      </c>
      <c r="B27" s="160">
        <f t="shared" si="0"/>
        <v>8505.93</v>
      </c>
      <c r="C27" s="160">
        <v>47669.88</v>
      </c>
      <c r="D27" s="158">
        <v>0</v>
      </c>
      <c r="E27" s="158">
        <v>39163.95</v>
      </c>
      <c r="G27" s="143"/>
    </row>
    <row r="28" spans="1:7">
      <c r="A28" s="156" t="s">
        <v>1528</v>
      </c>
      <c r="B28" s="168">
        <f t="shared" si="0"/>
        <v>165880.420000001</v>
      </c>
      <c r="C28" s="168">
        <f>C26-C27</f>
        <v>904707.290000001</v>
      </c>
      <c r="D28" s="158">
        <v>174901.069999999</v>
      </c>
      <c r="E28" s="158">
        <v>738826.87</v>
      </c>
    </row>
    <row r="29" spans="1:7">
      <c r="A29" s="159" t="s">
        <v>1244</v>
      </c>
      <c r="B29" s="157"/>
      <c r="C29" s="160"/>
    </row>
    <row r="30" spans="1:7">
      <c r="A30" s="159" t="s">
        <v>1245</v>
      </c>
      <c r="B30" s="169"/>
      <c r="C30" s="160"/>
    </row>
    <row r="31" spans="1:7">
      <c r="A31" s="159" t="s">
        <v>1246</v>
      </c>
      <c r="B31" s="170"/>
      <c r="C31" s="171"/>
    </row>
    <row r="32" spans="1:7">
      <c r="A32" s="172"/>
      <c r="B32" s="172"/>
      <c r="C32" s="172"/>
    </row>
    <row r="39" spans="7:7">
      <c r="G39" s="143">
        <f>C28+精铸PL!C28</f>
        <v>913178.78</v>
      </c>
    </row>
  </sheetData>
  <mergeCells count="1">
    <mergeCell ref="A1:C1"/>
  </mergeCells>
  <pageMargins left="0.75" right="0.75" top="1" bottom="1" header="0.5" footer="0.5"/>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rgb="FF92D050"/>
    <pageSetUpPr fitToPage="1"/>
  </sheetPr>
  <dimension ref="A1:J100"/>
  <sheetViews>
    <sheetView view="pageBreakPreview" zoomScaleNormal="55" workbookViewId="0">
      <pane ySplit="4" topLeftCell="A41" activePane="bottomLeft" state="frozen"/>
      <selection/>
      <selection pane="bottomLeft" activeCell="I58" sqref="I58"/>
    </sheetView>
  </sheetViews>
  <sheetFormatPr defaultColWidth="8.25" defaultRowHeight="14.25"/>
  <cols>
    <col min="1" max="1" width="19.9166666666667" style="106" customWidth="1"/>
    <col min="2" max="2" width="14.0166666666667" style="106" customWidth="1"/>
    <col min="3" max="3" width="14.4166666666667" style="106" customWidth="1"/>
    <col min="4" max="4" width="30.9333333333333" style="106" customWidth="1"/>
    <col min="5" max="5" width="12.6" style="106" customWidth="1"/>
    <col min="6" max="7" width="12.2583333333333" style="106" customWidth="1"/>
    <col min="8" max="8" width="13.35" style="106" customWidth="1"/>
    <col min="9" max="10" width="12.4166666666667" style="106" customWidth="1"/>
    <col min="11" max="16384" width="8.25" style="106"/>
  </cols>
  <sheetData>
    <row r="1" s="106" customFormat="1" ht="27" customHeight="1" spans="1:10">
      <c r="A1" s="107" t="s">
        <v>1247</v>
      </c>
      <c r="B1" s="107"/>
      <c r="C1" s="107"/>
      <c r="D1" s="107"/>
      <c r="E1" s="107"/>
      <c r="F1" s="107"/>
      <c r="G1" s="107"/>
    </row>
    <row r="2" s="106" customFormat="1" ht="13" customHeight="1" spans="1:10">
      <c r="A2" s="108"/>
      <c r="B2" s="108"/>
      <c r="C2" s="108"/>
      <c r="D2" s="108"/>
      <c r="E2" s="108"/>
      <c r="F2" s="109" t="s">
        <v>1529</v>
      </c>
      <c r="G2" s="109"/>
    </row>
    <row r="3" s="106" customFormat="1" ht="13" customHeight="1" spans="1:10">
      <c r="A3" s="110" t="s">
        <v>1530</v>
      </c>
      <c r="B3" s="110"/>
      <c r="C3" s="108" t="s">
        <v>1531</v>
      </c>
      <c r="D3" s="111">
        <f>基本信息!B14</f>
        <v>45991</v>
      </c>
      <c r="E3" s="108" t="s">
        <v>1249</v>
      </c>
      <c r="F3" s="110" t="s">
        <v>1532</v>
      </c>
      <c r="G3" s="110"/>
    </row>
    <row r="4" s="106" customFormat="1" ht="13" customHeight="1" spans="1:10">
      <c r="A4" s="112" t="s">
        <v>100</v>
      </c>
      <c r="B4" s="112" t="s">
        <v>101</v>
      </c>
      <c r="C4" s="112" t="s">
        <v>102</v>
      </c>
      <c r="D4" s="112" t="s">
        <v>198</v>
      </c>
      <c r="E4" s="112" t="s">
        <v>101</v>
      </c>
      <c r="F4" s="112" t="s">
        <v>102</v>
      </c>
      <c r="G4" s="113"/>
    </row>
    <row r="5" s="106" customFormat="1" ht="13" customHeight="1" spans="1:10">
      <c r="A5" s="114" t="s">
        <v>104</v>
      </c>
      <c r="B5" s="115"/>
      <c r="C5" s="115"/>
      <c r="D5" s="114" t="s">
        <v>105</v>
      </c>
      <c r="E5" s="115"/>
      <c r="F5" s="115"/>
      <c r="G5" s="116"/>
    </row>
    <row r="6" s="106" customFormat="1" ht="13" customHeight="1" spans="1:10">
      <c r="A6" s="117" t="s">
        <v>1533</v>
      </c>
      <c r="B6" s="115">
        <v>2194423.01</v>
      </c>
      <c r="C6" s="115">
        <v>3667334.19</v>
      </c>
      <c r="D6" s="117" t="s">
        <v>200</v>
      </c>
      <c r="E6" s="115"/>
      <c r="F6" s="115"/>
      <c r="G6" s="116"/>
    </row>
    <row r="7" s="106" customFormat="1" ht="13" customHeight="1" spans="1:10">
      <c r="A7" s="117" t="s">
        <v>1534</v>
      </c>
      <c r="B7" s="115">
        <v>2194423.01</v>
      </c>
      <c r="C7" s="115">
        <v>3667334.19</v>
      </c>
      <c r="D7" s="117" t="s">
        <v>202</v>
      </c>
      <c r="E7" s="115"/>
      <c r="F7" s="115"/>
      <c r="G7" s="116"/>
    </row>
    <row r="8" s="106" customFormat="1" ht="13" customHeight="1" spans="1:10">
      <c r="A8" s="117" t="s">
        <v>1535</v>
      </c>
      <c r="B8" s="115"/>
      <c r="C8" s="115"/>
      <c r="D8" s="117" t="s">
        <v>204</v>
      </c>
      <c r="E8" s="115"/>
      <c r="F8" s="115"/>
      <c r="G8" s="116"/>
    </row>
    <row r="9" s="106" customFormat="1" ht="13" customHeight="1" spans="1:10">
      <c r="A9" s="117" t="s">
        <v>1536</v>
      </c>
      <c r="B9" s="115"/>
      <c r="C9" s="115"/>
      <c r="D9" s="117" t="s">
        <v>206</v>
      </c>
      <c r="E9" s="115">
        <v>14670284.13</v>
      </c>
      <c r="F9" s="115">
        <v>15578154.64</v>
      </c>
      <c r="G9" s="116"/>
      <c r="H9" s="118"/>
    </row>
    <row r="10" s="106" customFormat="1" ht="13" customHeight="1" spans="1:10">
      <c r="A10" s="117" t="s">
        <v>1537</v>
      </c>
      <c r="B10" s="115">
        <v>3178907.7</v>
      </c>
      <c r="C10" s="115">
        <v>541632.16</v>
      </c>
      <c r="D10" s="117" t="s">
        <v>208</v>
      </c>
      <c r="E10" s="115"/>
      <c r="F10" s="115">
        <v>303641.02</v>
      </c>
      <c r="G10" s="116"/>
    </row>
    <row r="11" s="106" customFormat="1" ht="13" customHeight="1" spans="1:10">
      <c r="A11" s="117" t="s">
        <v>1538</v>
      </c>
      <c r="B11" s="115">
        <v>7005011.84</v>
      </c>
      <c r="C11" s="115">
        <v>11202090.18</v>
      </c>
      <c r="D11" s="117" t="s">
        <v>210</v>
      </c>
      <c r="E11" s="115">
        <v>512877.01</v>
      </c>
      <c r="F11" s="115"/>
      <c r="G11" s="116"/>
      <c r="H11" s="118"/>
    </row>
    <row r="12" s="106" customFormat="1" ht="13" customHeight="1" spans="1:10">
      <c r="A12" s="117" t="s">
        <v>1539</v>
      </c>
      <c r="B12" s="115">
        <v>1242039.5</v>
      </c>
      <c r="C12" s="115"/>
      <c r="D12" s="117" t="s">
        <v>212</v>
      </c>
      <c r="E12" s="115">
        <v>251909.01</v>
      </c>
      <c r="F12" s="115">
        <v>192235.89</v>
      </c>
      <c r="G12" s="116"/>
      <c r="I12" s="119"/>
    </row>
    <row r="13" s="106" customFormat="1" ht="13" customHeight="1" spans="1:10">
      <c r="A13" s="117" t="s">
        <v>1540</v>
      </c>
      <c r="B13" s="115"/>
      <c r="C13" s="115">
        <v>176</v>
      </c>
      <c r="D13" s="117" t="s">
        <v>214</v>
      </c>
      <c r="E13" s="115">
        <v>54520.56</v>
      </c>
      <c r="F13" s="115">
        <v>297.6</v>
      </c>
      <c r="G13" s="116"/>
      <c r="I13" s="119"/>
      <c r="J13" s="120"/>
    </row>
    <row r="14" s="106" customFormat="1" ht="13" customHeight="1" spans="1:10">
      <c r="A14" s="117" t="s">
        <v>1541</v>
      </c>
      <c r="B14" s="115"/>
      <c r="C14" s="115"/>
      <c r="D14" s="117" t="s">
        <v>216</v>
      </c>
      <c r="E14" s="115"/>
      <c r="F14" s="115"/>
      <c r="G14" s="116"/>
      <c r="I14" s="119"/>
      <c r="J14" s="120"/>
    </row>
    <row r="15" s="106" customFormat="1" ht="13" customHeight="1" spans="1:10">
      <c r="A15" s="117" t="s">
        <v>1542</v>
      </c>
      <c r="B15" s="115"/>
      <c r="C15" s="115"/>
      <c r="D15" s="117" t="s">
        <v>218</v>
      </c>
      <c r="E15" s="115"/>
      <c r="F15" s="115"/>
      <c r="G15" s="116"/>
      <c r="H15" s="120"/>
      <c r="I15" s="119"/>
    </row>
    <row r="16" s="106" customFormat="1" ht="13" customHeight="1" spans="1:10">
      <c r="A16" s="117" t="s">
        <v>1543</v>
      </c>
      <c r="B16" s="115">
        <v>129521.15</v>
      </c>
      <c r="C16" s="115">
        <v>161683.13</v>
      </c>
      <c r="D16" s="117" t="s">
        <v>220</v>
      </c>
      <c r="E16" s="115">
        <v>220</v>
      </c>
      <c r="F16" s="115">
        <v>520</v>
      </c>
      <c r="G16" s="116"/>
    </row>
    <row r="17" s="106" customFormat="1" ht="13" customHeight="1" spans="1:9">
      <c r="A17" s="117" t="s">
        <v>1544</v>
      </c>
      <c r="B17" s="115">
        <v>9407055.29</v>
      </c>
      <c r="C17" s="115">
        <v>9470975.65</v>
      </c>
      <c r="D17" s="117" t="s">
        <v>222</v>
      </c>
      <c r="E17" s="115"/>
      <c r="F17" s="115"/>
      <c r="G17" s="116"/>
    </row>
    <row r="18" s="106" customFormat="1" ht="13" customHeight="1" spans="1:9">
      <c r="A18" s="117" t="s">
        <v>1545</v>
      </c>
      <c r="B18" s="115">
        <v>1169560.38</v>
      </c>
      <c r="C18" s="115">
        <v>1120179.63</v>
      </c>
      <c r="D18" s="117" t="s">
        <v>224</v>
      </c>
      <c r="E18" s="115">
        <v>1740733.07</v>
      </c>
      <c r="F18" s="115"/>
      <c r="G18" s="116"/>
    </row>
    <row r="19" s="106" customFormat="1" ht="13" customHeight="1" spans="1:9">
      <c r="A19" s="117" t="s">
        <v>1546</v>
      </c>
      <c r="B19" s="115">
        <v>8237494.91</v>
      </c>
      <c r="C19" s="115">
        <v>8350796.02</v>
      </c>
      <c r="D19" s="117"/>
      <c r="E19" s="115"/>
      <c r="F19" s="115"/>
      <c r="G19" s="116"/>
      <c r="H19" s="121">
        <f>(C19-B19)/0.75/10000</f>
        <v>15.1068146666666</v>
      </c>
      <c r="I19" s="122" t="s">
        <v>133</v>
      </c>
    </row>
    <row r="20" s="106" customFormat="1" ht="13" customHeight="1" spans="1:9">
      <c r="A20" s="117" t="s">
        <v>1547</v>
      </c>
      <c r="B20" s="115"/>
      <c r="C20" s="115"/>
      <c r="D20" s="117"/>
      <c r="E20" s="115"/>
      <c r="F20" s="115"/>
      <c r="G20" s="116"/>
      <c r="H20" s="121">
        <f>((C20-B20)/0.75+热等静压PL新!D5)/10000</f>
        <v>2061.962341</v>
      </c>
      <c r="I20" s="122" t="s">
        <v>135</v>
      </c>
    </row>
    <row r="21" s="106" customFormat="1" ht="13" customHeight="1" spans="1:9">
      <c r="A21" s="117" t="s">
        <v>1548</v>
      </c>
      <c r="B21" s="115"/>
      <c r="C21" s="115"/>
      <c r="D21" s="117"/>
      <c r="E21" s="115"/>
      <c r="F21" s="115"/>
      <c r="G21" s="116"/>
      <c r="H21" s="121">
        <f>H19+H20</f>
        <v>2077.06915566667</v>
      </c>
      <c r="I21" s="122" t="s">
        <v>137</v>
      </c>
    </row>
    <row r="22" s="106" customFormat="1" ht="13" customHeight="1" spans="1:9">
      <c r="A22" s="117" t="s">
        <v>1549</v>
      </c>
      <c r="B22" s="115"/>
      <c r="C22" s="115"/>
      <c r="D22" s="123" t="s">
        <v>229</v>
      </c>
      <c r="E22" s="124">
        <v>17230543.78</v>
      </c>
      <c r="F22" s="124">
        <v>16074849.15</v>
      </c>
      <c r="G22" s="125"/>
      <c r="H22" s="121">
        <f>H19/1.13+H20</f>
        <v>2075.33120353687</v>
      </c>
      <c r="I22" s="122" t="s">
        <v>145</v>
      </c>
    </row>
    <row r="23" s="106" customFormat="1" ht="13" customHeight="1" spans="1:9">
      <c r="A23" s="117" t="s">
        <v>1550</v>
      </c>
      <c r="B23" s="115"/>
      <c r="C23" s="115"/>
      <c r="D23" s="114" t="s">
        <v>144</v>
      </c>
      <c r="E23" s="115"/>
      <c r="F23" s="115"/>
      <c r="G23" s="116"/>
    </row>
    <row r="24" s="106" customFormat="1" ht="13" customHeight="1" spans="1:9">
      <c r="A24" s="117" t="s">
        <v>1551</v>
      </c>
      <c r="B24" s="115"/>
      <c r="C24" s="115"/>
      <c r="D24" s="117" t="s">
        <v>233</v>
      </c>
      <c r="E24" s="115"/>
      <c r="F24" s="115"/>
      <c r="G24" s="116"/>
    </row>
    <row r="25" s="106" customFormat="1" ht="13" customHeight="1" spans="1:9">
      <c r="A25" s="126" t="s">
        <v>1552</v>
      </c>
      <c r="B25" s="127">
        <v>840368.37</v>
      </c>
      <c r="C25" s="128">
        <v>159221.08</v>
      </c>
      <c r="D25" s="117" t="s">
        <v>235</v>
      </c>
      <c r="E25" s="115"/>
      <c r="F25" s="115"/>
      <c r="G25" s="116"/>
    </row>
    <row r="26" s="106" customFormat="1" ht="13" customHeight="1" spans="1:9">
      <c r="A26" s="129" t="s">
        <v>1553</v>
      </c>
      <c r="B26" s="130">
        <v>23997326.86</v>
      </c>
      <c r="C26" s="130">
        <v>25203112.39</v>
      </c>
      <c r="D26" s="117" t="s">
        <v>237</v>
      </c>
      <c r="E26" s="115"/>
      <c r="F26" s="115"/>
      <c r="G26" s="116"/>
    </row>
    <row r="27" s="106" customFormat="1" ht="13" customHeight="1" spans="1:9">
      <c r="A27" s="117"/>
      <c r="B27" s="115"/>
      <c r="C27" s="115"/>
      <c r="D27" s="117" t="s">
        <v>238</v>
      </c>
      <c r="E27" s="115"/>
      <c r="F27" s="115"/>
      <c r="G27" s="116"/>
    </row>
    <row r="28" s="106" customFormat="1" ht="13" customHeight="1" spans="1:9">
      <c r="A28" s="117"/>
      <c r="B28" s="115"/>
      <c r="C28" s="115"/>
      <c r="D28" s="117" t="s">
        <v>239</v>
      </c>
      <c r="E28" s="115"/>
      <c r="F28" s="115"/>
      <c r="G28" s="116"/>
    </row>
    <row r="29" s="106" customFormat="1" ht="13" customHeight="1" spans="1:9">
      <c r="A29" s="117"/>
      <c r="B29" s="115"/>
      <c r="C29" s="115"/>
      <c r="D29" s="117" t="s">
        <v>240</v>
      </c>
      <c r="E29" s="115"/>
      <c r="F29" s="115"/>
      <c r="G29" s="116"/>
    </row>
    <row r="30" s="106" customFormat="1" ht="13" customHeight="1" spans="1:9">
      <c r="A30" s="114" t="s">
        <v>146</v>
      </c>
      <c r="B30" s="115"/>
      <c r="C30" s="115"/>
      <c r="D30" s="117" t="s">
        <v>241</v>
      </c>
      <c r="E30" s="115"/>
      <c r="F30" s="115"/>
      <c r="G30" s="116"/>
    </row>
    <row r="31" s="106" customFormat="1" ht="13" customHeight="1" spans="1:9">
      <c r="A31" s="117" t="s">
        <v>1554</v>
      </c>
      <c r="B31" s="115"/>
      <c r="C31" s="115"/>
      <c r="D31" s="117" t="s">
        <v>243</v>
      </c>
      <c r="E31" s="115"/>
      <c r="F31" s="115"/>
      <c r="G31" s="116"/>
    </row>
    <row r="32" s="106" customFormat="1" ht="13" customHeight="1" spans="1:9">
      <c r="A32" s="117" t="s">
        <v>1555</v>
      </c>
      <c r="B32" s="115"/>
      <c r="C32" s="115"/>
      <c r="D32" s="117" t="s">
        <v>245</v>
      </c>
      <c r="E32" s="115"/>
      <c r="F32" s="115"/>
      <c r="G32" s="116"/>
    </row>
    <row r="33" s="106" customFormat="1" ht="13" customHeight="1" spans="1:8">
      <c r="A33" s="117" t="s">
        <v>1556</v>
      </c>
      <c r="B33" s="115"/>
      <c r="C33" s="115"/>
      <c r="D33" s="123" t="s">
        <v>247</v>
      </c>
      <c r="E33" s="124">
        <v>17230543.78</v>
      </c>
      <c r="F33" s="124">
        <v>16074849.15</v>
      </c>
      <c r="G33" s="125"/>
    </row>
    <row r="34" s="106" customFormat="1" ht="13" customHeight="1" spans="1:8">
      <c r="A34" s="117" t="s">
        <v>1557</v>
      </c>
      <c r="B34" s="115"/>
      <c r="C34" s="115"/>
      <c r="D34" s="117"/>
      <c r="E34" s="115"/>
      <c r="F34" s="115"/>
      <c r="G34" s="116"/>
    </row>
    <row r="35" s="106" customFormat="1" ht="13" customHeight="1" spans="1:8">
      <c r="A35" s="117" t="s">
        <v>1558</v>
      </c>
      <c r="B35" s="115"/>
      <c r="C35" s="115"/>
      <c r="D35" s="117"/>
      <c r="E35" s="115"/>
      <c r="F35" s="115"/>
      <c r="G35" s="116"/>
    </row>
    <row r="36" s="106" customFormat="1" ht="13" customHeight="1" spans="1:8">
      <c r="A36" s="117" t="s">
        <v>1559</v>
      </c>
      <c r="B36" s="115"/>
      <c r="C36" s="115"/>
      <c r="D36" s="114" t="s">
        <v>169</v>
      </c>
      <c r="E36" s="115"/>
      <c r="F36" s="115"/>
      <c r="G36" s="116"/>
    </row>
    <row r="37" s="106" customFormat="1" ht="13" customHeight="1" spans="1:8">
      <c r="A37" s="117" t="s">
        <v>1560</v>
      </c>
      <c r="B37" s="115">
        <v>13249687.53</v>
      </c>
      <c r="C37" s="115">
        <v>13257298.15</v>
      </c>
      <c r="D37" s="117" t="s">
        <v>252</v>
      </c>
      <c r="E37" s="115">
        <v>8428991.81</v>
      </c>
      <c r="F37" s="115">
        <v>8428991.81</v>
      </c>
      <c r="G37" s="116"/>
    </row>
    <row r="38" s="106" customFormat="1" ht="13" customHeight="1" spans="1:8">
      <c r="A38" s="117" t="s">
        <v>1561</v>
      </c>
      <c r="B38" s="115">
        <v>11071925.15</v>
      </c>
      <c r="C38" s="115">
        <v>12207474.42</v>
      </c>
      <c r="D38" s="117" t="s">
        <v>254</v>
      </c>
      <c r="E38" s="115"/>
      <c r="F38" s="115"/>
      <c r="G38" s="116"/>
    </row>
    <row r="39" s="106" customFormat="1" ht="13" customHeight="1" spans="1:8">
      <c r="A39" s="117" t="s">
        <v>1562</v>
      </c>
      <c r="B39" s="115">
        <v>2177762.38</v>
      </c>
      <c r="C39" s="115">
        <v>1049823.73</v>
      </c>
      <c r="D39" s="117" t="s">
        <v>256</v>
      </c>
      <c r="E39" s="115"/>
      <c r="F39" s="115"/>
      <c r="G39" s="116"/>
      <c r="H39" s="131"/>
    </row>
    <row r="40" s="106" customFormat="1" ht="13" customHeight="1" spans="1:8">
      <c r="A40" s="117" t="s">
        <v>1563</v>
      </c>
      <c r="B40" s="115"/>
      <c r="C40" s="115"/>
      <c r="D40" s="132" t="s">
        <v>258</v>
      </c>
      <c r="E40" s="124">
        <v>105776.41</v>
      </c>
      <c r="F40" s="124">
        <v>105776.41</v>
      </c>
      <c r="G40" s="125"/>
    </row>
    <row r="41" s="106" customFormat="1" ht="13" customHeight="1" spans="1:8">
      <c r="A41" s="117" t="s">
        <v>1564</v>
      </c>
      <c r="B41" s="115"/>
      <c r="C41" s="115"/>
      <c r="D41" s="117" t="s">
        <v>260</v>
      </c>
      <c r="E41" s="115">
        <v>951987.69</v>
      </c>
      <c r="F41" s="115">
        <v>1954307.33</v>
      </c>
      <c r="G41" s="116"/>
      <c r="H41" s="119">
        <f>F41-E41-热等静压PL新!D32</f>
        <v>0</v>
      </c>
    </row>
    <row r="42" s="106" customFormat="1" ht="13" customHeight="1" spans="1:8">
      <c r="A42" s="117" t="s">
        <v>1565</v>
      </c>
      <c r="B42" s="115"/>
      <c r="C42" s="115"/>
      <c r="D42" s="132" t="s">
        <v>266</v>
      </c>
      <c r="E42" s="115">
        <v>9486755.91</v>
      </c>
      <c r="F42" s="115">
        <v>10489075.55</v>
      </c>
      <c r="G42" s="116"/>
    </row>
    <row r="43" s="106" customFormat="1" ht="13" customHeight="1" spans="1:8">
      <c r="A43" s="117" t="s">
        <v>1566</v>
      </c>
      <c r="B43" s="115"/>
      <c r="C43" s="115"/>
      <c r="D43" s="117"/>
      <c r="E43" s="115"/>
      <c r="F43" s="115"/>
      <c r="G43" s="116"/>
    </row>
    <row r="44" s="106" customFormat="1" ht="13" customHeight="1" spans="1:8">
      <c r="A44" s="126" t="s">
        <v>1567</v>
      </c>
      <c r="B44" s="115"/>
      <c r="C44" s="115"/>
      <c r="D44" s="117"/>
      <c r="E44" s="115"/>
      <c r="F44" s="115"/>
      <c r="G44" s="116"/>
    </row>
    <row r="45" s="106" customFormat="1" ht="13" customHeight="1" spans="1:8">
      <c r="A45" s="126" t="s">
        <v>1568</v>
      </c>
      <c r="B45" s="115"/>
      <c r="C45" s="115"/>
      <c r="D45" s="117"/>
      <c r="E45" s="115"/>
      <c r="F45" s="115"/>
      <c r="G45" s="116"/>
    </row>
    <row r="46" s="106" customFormat="1" ht="13" customHeight="1" spans="1:8">
      <c r="A46" s="126" t="s">
        <v>1569</v>
      </c>
      <c r="B46" s="124"/>
      <c r="C46" s="124"/>
      <c r="D46" s="123"/>
      <c r="E46" s="124"/>
      <c r="F46" s="124"/>
      <c r="G46" s="125"/>
    </row>
    <row r="47" s="106" customFormat="1" ht="13" customHeight="1" spans="1:8">
      <c r="A47" s="126" t="s">
        <v>1570</v>
      </c>
      <c r="B47" s="115">
        <v>532167.82</v>
      </c>
      <c r="C47" s="115">
        <v>300945.95</v>
      </c>
      <c r="D47" s="123"/>
      <c r="E47" s="124"/>
      <c r="F47" s="124"/>
      <c r="G47" s="125"/>
    </row>
    <row r="48" s="106" customFormat="1" ht="13" customHeight="1" spans="1:8">
      <c r="A48" s="126" t="s">
        <v>1571</v>
      </c>
      <c r="B48" s="133">
        <v>10042.63</v>
      </c>
      <c r="C48" s="115">
        <v>10042.63</v>
      </c>
      <c r="D48" s="117"/>
      <c r="E48" s="115"/>
      <c r="F48" s="134"/>
      <c r="G48" s="135"/>
    </row>
    <row r="49" spans="1:7">
      <c r="A49" s="136" t="s">
        <v>1572</v>
      </c>
      <c r="B49" s="137"/>
      <c r="C49" s="137"/>
      <c r="D49" s="138"/>
      <c r="E49" s="137"/>
      <c r="F49" s="137"/>
      <c r="G49" s="139"/>
    </row>
    <row r="50" spans="1:7">
      <c r="A50" s="132" t="s">
        <v>1573</v>
      </c>
      <c r="B50" s="140">
        <v>2719972.83</v>
      </c>
      <c r="C50" s="140">
        <v>1360812.31</v>
      </c>
      <c r="D50" s="136"/>
      <c r="E50" s="137"/>
      <c r="F50" s="137"/>
      <c r="G50" s="139"/>
    </row>
    <row r="51" spans="1:7">
      <c r="A51" s="132" t="s">
        <v>1574</v>
      </c>
      <c r="B51" s="140">
        <v>26717299.69</v>
      </c>
      <c r="C51" s="140">
        <v>26563924.7</v>
      </c>
      <c r="D51" s="132" t="s">
        <v>274</v>
      </c>
      <c r="E51" s="140">
        <v>26717299.69</v>
      </c>
      <c r="F51" s="140">
        <v>26563924.7</v>
      </c>
      <c r="G51" s="141"/>
    </row>
    <row r="52" spans="1:7">
      <c r="A52" s="112" t="s">
        <v>198</v>
      </c>
      <c r="B52" s="112" t="s">
        <v>101</v>
      </c>
      <c r="C52" s="112" t="s">
        <v>102</v>
      </c>
      <c r="E52" s="119">
        <f>B51-E51</f>
        <v>0</v>
      </c>
      <c r="F52" s="119">
        <f>C51-F51</f>
        <v>0</v>
      </c>
      <c r="G52" s="119"/>
    </row>
    <row r="53" spans="1:7">
      <c r="A53" s="114" t="s">
        <v>105</v>
      </c>
      <c r="B53" s="119">
        <f>E5</f>
        <v>0</v>
      </c>
      <c r="C53" s="119">
        <f>F5</f>
        <v>0</v>
      </c>
    </row>
    <row r="54" spans="1:7">
      <c r="A54" s="117" t="s">
        <v>1575</v>
      </c>
      <c r="B54" s="119">
        <f t="shared" ref="B54:B99" si="0">E6</f>
        <v>0</v>
      </c>
      <c r="C54" s="119">
        <f t="shared" ref="C54:C99" si="1">F6</f>
        <v>0</v>
      </c>
    </row>
    <row r="55" spans="1:7">
      <c r="A55" s="117" t="s">
        <v>1576</v>
      </c>
      <c r="B55" s="119">
        <f t="shared" si="0"/>
        <v>0</v>
      </c>
      <c r="C55" s="119">
        <f t="shared" si="1"/>
        <v>0</v>
      </c>
    </row>
    <row r="56" spans="1:7">
      <c r="A56" s="117" t="s">
        <v>1577</v>
      </c>
      <c r="B56" s="119">
        <f t="shared" si="0"/>
        <v>0</v>
      </c>
      <c r="C56" s="119">
        <f t="shared" si="1"/>
        <v>0</v>
      </c>
    </row>
    <row r="57" spans="1:7">
      <c r="A57" s="117" t="s">
        <v>1578</v>
      </c>
      <c r="B57" s="119">
        <f t="shared" si="0"/>
        <v>14670284.13</v>
      </c>
      <c r="C57" s="119">
        <f t="shared" si="1"/>
        <v>15578154.64</v>
      </c>
    </row>
    <row r="58" spans="1:7">
      <c r="A58" s="117" t="s">
        <v>1579</v>
      </c>
      <c r="B58" s="119">
        <f t="shared" si="0"/>
        <v>0</v>
      </c>
      <c r="C58" s="119">
        <f t="shared" si="1"/>
        <v>303641.02</v>
      </c>
    </row>
    <row r="59" spans="1:7">
      <c r="A59" s="117" t="s">
        <v>1580</v>
      </c>
      <c r="B59" s="119">
        <f t="shared" si="0"/>
        <v>512877.01</v>
      </c>
      <c r="C59" s="119">
        <f t="shared" si="1"/>
        <v>0</v>
      </c>
    </row>
    <row r="60" spans="1:7">
      <c r="A60" s="117" t="s">
        <v>1581</v>
      </c>
      <c r="B60" s="119">
        <f t="shared" si="0"/>
        <v>251909.01</v>
      </c>
      <c r="C60" s="119">
        <f t="shared" si="1"/>
        <v>192235.89</v>
      </c>
    </row>
    <row r="61" spans="1:7">
      <c r="A61" s="117" t="s">
        <v>1582</v>
      </c>
      <c r="B61" s="119">
        <f t="shared" si="0"/>
        <v>54520.56</v>
      </c>
      <c r="C61" s="119">
        <f t="shared" si="1"/>
        <v>297.6</v>
      </c>
    </row>
    <row r="62" spans="1:7">
      <c r="A62" s="117" t="s">
        <v>1583</v>
      </c>
      <c r="B62" s="119">
        <f t="shared" si="0"/>
        <v>0</v>
      </c>
      <c r="C62" s="119">
        <f t="shared" si="1"/>
        <v>0</v>
      </c>
    </row>
    <row r="63" spans="1:7">
      <c r="A63" s="117" t="s">
        <v>1584</v>
      </c>
      <c r="B63" s="119">
        <f t="shared" si="0"/>
        <v>0</v>
      </c>
      <c r="C63" s="119">
        <f t="shared" si="1"/>
        <v>0</v>
      </c>
    </row>
    <row r="64" spans="1:7">
      <c r="A64" s="117" t="s">
        <v>1585</v>
      </c>
      <c r="B64" s="119">
        <f t="shared" si="0"/>
        <v>220</v>
      </c>
      <c r="C64" s="119">
        <f t="shared" si="1"/>
        <v>520</v>
      </c>
    </row>
    <row r="65" spans="1:3">
      <c r="A65" s="117" t="s">
        <v>1586</v>
      </c>
      <c r="B65" s="119">
        <f t="shared" si="0"/>
        <v>0</v>
      </c>
      <c r="C65" s="119">
        <f t="shared" si="1"/>
        <v>0</v>
      </c>
    </row>
    <row r="66" spans="1:3">
      <c r="A66" s="117" t="s">
        <v>1587</v>
      </c>
      <c r="B66" s="119">
        <f t="shared" si="0"/>
        <v>1740733.07</v>
      </c>
      <c r="C66" s="119">
        <f t="shared" si="1"/>
        <v>0</v>
      </c>
    </row>
    <row r="67" spans="1:3">
      <c r="A67" s="117"/>
      <c r="B67" s="119">
        <f t="shared" si="0"/>
        <v>0</v>
      </c>
      <c r="C67" s="119">
        <f t="shared" si="1"/>
        <v>0</v>
      </c>
    </row>
    <row r="68" spans="1:3">
      <c r="A68" s="117"/>
      <c r="B68" s="119">
        <f t="shared" si="0"/>
        <v>0</v>
      </c>
      <c r="C68" s="119">
        <f t="shared" si="1"/>
        <v>0</v>
      </c>
    </row>
    <row r="69" spans="1:3">
      <c r="A69" s="117"/>
      <c r="B69" s="119">
        <f t="shared" si="0"/>
        <v>0</v>
      </c>
      <c r="C69" s="119">
        <f t="shared" si="1"/>
        <v>0</v>
      </c>
    </row>
    <row r="70" spans="1:3">
      <c r="A70" s="123" t="s">
        <v>1588</v>
      </c>
      <c r="B70" s="119">
        <f t="shared" si="0"/>
        <v>17230543.78</v>
      </c>
      <c r="C70" s="119">
        <f t="shared" si="1"/>
        <v>16074849.15</v>
      </c>
    </row>
    <row r="71" spans="1:3">
      <c r="A71" s="114" t="s">
        <v>144</v>
      </c>
      <c r="B71" s="119">
        <f t="shared" si="0"/>
        <v>0</v>
      </c>
      <c r="C71" s="119">
        <f t="shared" si="1"/>
        <v>0</v>
      </c>
    </row>
    <row r="72" spans="1:3">
      <c r="A72" s="117" t="s">
        <v>1589</v>
      </c>
      <c r="B72" s="119">
        <f t="shared" si="0"/>
        <v>0</v>
      </c>
      <c r="C72" s="119">
        <f t="shared" si="1"/>
        <v>0</v>
      </c>
    </row>
    <row r="73" spans="1:3">
      <c r="A73" s="117" t="s">
        <v>1590</v>
      </c>
      <c r="B73" s="119">
        <f t="shared" si="0"/>
        <v>0</v>
      </c>
      <c r="C73" s="119">
        <f t="shared" si="1"/>
        <v>0</v>
      </c>
    </row>
    <row r="74" spans="1:3">
      <c r="A74" s="117" t="s">
        <v>1591</v>
      </c>
      <c r="B74" s="119">
        <f t="shared" si="0"/>
        <v>0</v>
      </c>
      <c r="C74" s="119">
        <f t="shared" si="1"/>
        <v>0</v>
      </c>
    </row>
    <row r="75" spans="1:3">
      <c r="A75" s="117" t="s">
        <v>1592</v>
      </c>
      <c r="B75" s="119">
        <f t="shared" si="0"/>
        <v>0</v>
      </c>
      <c r="C75" s="119">
        <f t="shared" si="1"/>
        <v>0</v>
      </c>
    </row>
    <row r="76" spans="1:3">
      <c r="A76" s="117" t="s">
        <v>1593</v>
      </c>
      <c r="B76" s="119">
        <f t="shared" si="0"/>
        <v>0</v>
      </c>
      <c r="C76" s="119">
        <f t="shared" si="1"/>
        <v>0</v>
      </c>
    </row>
    <row r="77" spans="1:3">
      <c r="A77" s="117" t="s">
        <v>1594</v>
      </c>
      <c r="B77" s="119">
        <f t="shared" si="0"/>
        <v>0</v>
      </c>
      <c r="C77" s="119">
        <f t="shared" si="1"/>
        <v>0</v>
      </c>
    </row>
    <row r="78" spans="1:3">
      <c r="A78" s="117" t="s">
        <v>1595</v>
      </c>
      <c r="B78" s="119">
        <f t="shared" si="0"/>
        <v>0</v>
      </c>
      <c r="C78" s="119">
        <f t="shared" si="1"/>
        <v>0</v>
      </c>
    </row>
    <row r="79" spans="1:3">
      <c r="A79" s="117" t="s">
        <v>1596</v>
      </c>
      <c r="B79" s="119">
        <f t="shared" si="0"/>
        <v>0</v>
      </c>
      <c r="C79" s="119">
        <f t="shared" si="1"/>
        <v>0</v>
      </c>
    </row>
    <row r="80" spans="1:3">
      <c r="A80" s="117" t="s">
        <v>1597</v>
      </c>
      <c r="B80" s="119">
        <f t="shared" si="0"/>
        <v>0</v>
      </c>
      <c r="C80" s="119">
        <f t="shared" si="1"/>
        <v>0</v>
      </c>
    </row>
    <row r="81" spans="1:3">
      <c r="A81" s="123" t="s">
        <v>1598</v>
      </c>
      <c r="B81" s="119">
        <f t="shared" si="0"/>
        <v>17230543.78</v>
      </c>
      <c r="C81" s="119">
        <f t="shared" si="1"/>
        <v>16074849.15</v>
      </c>
    </row>
    <row r="82" spans="1:3">
      <c r="A82" s="117"/>
      <c r="B82" s="119">
        <f t="shared" si="0"/>
        <v>0</v>
      </c>
      <c r="C82" s="119">
        <f t="shared" si="1"/>
        <v>0</v>
      </c>
    </row>
    <row r="83" spans="1:3">
      <c r="A83" s="117"/>
      <c r="B83" s="119">
        <f t="shared" si="0"/>
        <v>0</v>
      </c>
      <c r="C83" s="119">
        <f t="shared" si="1"/>
        <v>0</v>
      </c>
    </row>
    <row r="84" spans="1:3">
      <c r="A84" s="114" t="s">
        <v>169</v>
      </c>
      <c r="B84" s="119">
        <f t="shared" si="0"/>
        <v>0</v>
      </c>
      <c r="C84" s="119">
        <f t="shared" si="1"/>
        <v>0</v>
      </c>
    </row>
    <row r="85" spans="1:3">
      <c r="A85" s="117" t="s">
        <v>1599</v>
      </c>
      <c r="B85" s="119">
        <f t="shared" si="0"/>
        <v>8428991.81</v>
      </c>
      <c r="C85" s="119">
        <f t="shared" si="1"/>
        <v>8428991.81</v>
      </c>
    </row>
    <row r="86" spans="1:3">
      <c r="A86" s="117" t="s">
        <v>1600</v>
      </c>
      <c r="B86" s="119">
        <f t="shared" si="0"/>
        <v>0</v>
      </c>
      <c r="C86" s="119">
        <f t="shared" si="1"/>
        <v>0</v>
      </c>
    </row>
    <row r="87" spans="1:3">
      <c r="A87" s="117" t="s">
        <v>1601</v>
      </c>
      <c r="B87" s="119">
        <f t="shared" si="0"/>
        <v>0</v>
      </c>
      <c r="C87" s="119">
        <f t="shared" si="1"/>
        <v>0</v>
      </c>
    </row>
    <row r="88" spans="1:3">
      <c r="A88" s="132" t="s">
        <v>1602</v>
      </c>
      <c r="B88" s="119">
        <f t="shared" si="0"/>
        <v>105776.41</v>
      </c>
      <c r="C88" s="119">
        <f t="shared" si="1"/>
        <v>105776.41</v>
      </c>
    </row>
    <row r="89" spans="1:3">
      <c r="A89" s="117" t="s">
        <v>1603</v>
      </c>
      <c r="B89" s="119">
        <f t="shared" si="0"/>
        <v>951987.69</v>
      </c>
      <c r="C89" s="119">
        <f t="shared" si="1"/>
        <v>1954307.33</v>
      </c>
    </row>
    <row r="90" spans="1:3">
      <c r="A90" s="132" t="s">
        <v>1604</v>
      </c>
      <c r="B90" s="119">
        <f t="shared" si="0"/>
        <v>9486755.91</v>
      </c>
      <c r="C90" s="119">
        <f t="shared" si="1"/>
        <v>10489075.55</v>
      </c>
    </row>
    <row r="91" spans="1:3">
      <c r="A91" s="117"/>
      <c r="B91" s="119">
        <f t="shared" si="0"/>
        <v>0</v>
      </c>
      <c r="C91" s="119">
        <f t="shared" si="1"/>
        <v>0</v>
      </c>
    </row>
    <row r="92" spans="1:3">
      <c r="A92" s="117"/>
      <c r="B92" s="119">
        <f t="shared" si="0"/>
        <v>0</v>
      </c>
      <c r="C92" s="119">
        <f t="shared" si="1"/>
        <v>0</v>
      </c>
    </row>
    <row r="93" spans="1:3">
      <c r="A93" s="117"/>
      <c r="B93" s="119">
        <f t="shared" si="0"/>
        <v>0</v>
      </c>
      <c r="C93" s="119">
        <f t="shared" si="1"/>
        <v>0</v>
      </c>
    </row>
    <row r="94" spans="1:3">
      <c r="A94" s="123"/>
      <c r="B94" s="119">
        <f t="shared" si="0"/>
        <v>0</v>
      </c>
      <c r="C94" s="119">
        <f t="shared" si="1"/>
        <v>0</v>
      </c>
    </row>
    <row r="95" spans="1:3">
      <c r="A95" s="123"/>
      <c r="B95" s="119">
        <f t="shared" si="0"/>
        <v>0</v>
      </c>
      <c r="C95" s="119">
        <f t="shared" si="1"/>
        <v>0</v>
      </c>
    </row>
    <row r="96" spans="1:3">
      <c r="A96" s="117"/>
      <c r="B96" s="119">
        <f t="shared" si="0"/>
        <v>0</v>
      </c>
      <c r="C96" s="119">
        <f t="shared" si="1"/>
        <v>0</v>
      </c>
    </row>
    <row r="97" spans="1:3">
      <c r="A97" s="138"/>
      <c r="B97" s="119">
        <f t="shared" si="0"/>
        <v>0</v>
      </c>
      <c r="C97" s="119">
        <f t="shared" si="1"/>
        <v>0</v>
      </c>
    </row>
    <row r="98" spans="1:3">
      <c r="A98" s="136"/>
      <c r="B98" s="119">
        <f t="shared" si="0"/>
        <v>0</v>
      </c>
      <c r="C98" s="119">
        <f t="shared" si="1"/>
        <v>0</v>
      </c>
    </row>
    <row r="99" spans="1:3">
      <c r="A99" s="132" t="s">
        <v>1605</v>
      </c>
      <c r="B99" s="119">
        <f t="shared" si="0"/>
        <v>26717299.69</v>
      </c>
      <c r="C99" s="119">
        <f t="shared" si="1"/>
        <v>26563924.7</v>
      </c>
    </row>
    <row r="100" spans="1:3">
      <c r="B100" s="119">
        <f>B99-B51</f>
        <v>0</v>
      </c>
      <c r="C100" s="119">
        <f>C99-C51</f>
        <v>0</v>
      </c>
    </row>
  </sheetData>
  <mergeCells count="2">
    <mergeCell ref="A1:F1"/>
    <mergeCell ref="A3:B3"/>
  </mergeCells>
  <conditionalFormatting sqref="C51:D51">
    <cfRule type="cellIs" dxfId="38" priority="5" operator="notEqual">
      <formula>#REF!</formula>
    </cfRule>
  </conditionalFormatting>
  <conditionalFormatting sqref="D52">
    <cfRule type="cellIs" dxfId="37" priority="4" stopIfTrue="1" operator="notEqual">
      <formula>#REF!</formula>
    </cfRule>
  </conditionalFormatting>
  <conditionalFormatting sqref="B87:D87">
    <cfRule type="cellIs" priority="2" stopIfTrue="1" operator="notEqual">
      <formula>""""""</formula>
    </cfRule>
  </conditionalFormatting>
  <conditionalFormatting sqref="A99">
    <cfRule type="cellIs" dxfId="38" priority="1" operator="notEqual">
      <formula>#REF!</formula>
    </cfRule>
  </conditionalFormatting>
  <conditionalFormatting sqref="B22:B24">
    <cfRule type="cellIs" priority="3" stopIfTrue="1" operator="notEqual">
      <formula>""""""</formula>
    </cfRule>
  </conditionalFormatting>
  <pageMargins left="0.75" right="0.75" top="1" bottom="1" header="0.5" footer="0.5"/>
  <pageSetup paperSize="9" scale="81" fitToHeight="0" orientation="portrait"/>
  <headerFooter/>
  <rowBreaks count="1" manualBreakCount="1">
    <brk id="51" max="16383" man="1"/>
  </rowBreak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rgb="FF92D050"/>
    <pageSetUpPr fitToPage="1"/>
  </sheetPr>
  <dimension ref="A1:N67"/>
  <sheetViews>
    <sheetView view="pageBreakPreview" zoomScale="70" zoomScaleNormal="70" workbookViewId="0">
      <pane ySplit="4" topLeftCell="A5" activePane="bottomLeft" state="frozen"/>
      <selection/>
      <selection pane="bottomLeft" activeCell="N37" sqref="N37"/>
    </sheetView>
  </sheetViews>
  <sheetFormatPr defaultColWidth="8" defaultRowHeight="15"/>
  <cols>
    <col min="1" max="1" width="51.7166666666667" style="64" customWidth="1"/>
    <col min="2" max="2" width="4.93333333333333" style="64" customWidth="1"/>
    <col min="3" max="3" width="13.2916666666667" style="64" customWidth="1"/>
    <col min="4" max="4" width="15.2333333333333" style="64" customWidth="1"/>
    <col min="5" max="5" width="11.5666666666667" style="64" customWidth="1"/>
    <col min="6" max="7" width="16.6333333333333" style="65" customWidth="1"/>
    <col min="8" max="8" width="14.4916666666667" style="64"/>
    <col min="9" max="9" width="11.6416666666667" style="64"/>
    <col min="10" max="10" width="8" style="64"/>
    <col min="11" max="11" width="11.6416666666667" style="64"/>
    <col min="12" max="12" width="8" style="64"/>
    <col min="13" max="13" width="13.35" style="64"/>
    <col min="14" max="14" width="12.7083333333333" style="64"/>
    <col min="15" max="16384" width="8" style="64"/>
  </cols>
  <sheetData>
    <row r="1" ht="25" customHeight="1" spans="1:14">
      <c r="A1" s="66" t="s">
        <v>1606</v>
      </c>
      <c r="B1" s="66"/>
      <c r="C1" s="66"/>
      <c r="D1" s="66"/>
    </row>
    <row r="2" spans="1:14">
      <c r="C2" s="67">
        <f>(C5-C8)/C5</f>
        <v>0.237063952937909</v>
      </c>
      <c r="D2" s="67">
        <f>(D5-D8)/D5</f>
        <v>0.14129516248037</v>
      </c>
    </row>
    <row r="3" spans="1:14">
      <c r="A3" s="68" t="str">
        <f>热等静压BS新!A3</f>
        <v>制表单位:飞而康热等静压技术（无锡）有限公司</v>
      </c>
      <c r="B3" s="69"/>
      <c r="C3" s="70">
        <f>热等静压BS新!D3</f>
        <v>45991</v>
      </c>
      <c r="D3" s="71" t="s">
        <v>1607</v>
      </c>
      <c r="I3" s="72"/>
    </row>
    <row r="4" spans="1:14">
      <c r="A4" s="73" t="s">
        <v>1250</v>
      </c>
      <c r="B4" s="74" t="s">
        <v>1608</v>
      </c>
      <c r="C4" s="75" t="s">
        <v>1609</v>
      </c>
      <c r="D4" s="76" t="s">
        <v>1610</v>
      </c>
      <c r="E4" s="77"/>
      <c r="F4" s="78" t="s">
        <v>1611</v>
      </c>
      <c r="G4" s="78" t="s">
        <v>1612</v>
      </c>
    </row>
    <row r="5" ht="18" customHeight="1" spans="1:14">
      <c r="A5" s="79" t="s">
        <v>291</v>
      </c>
      <c r="B5" s="80"/>
      <c r="C5" s="81">
        <f>D5-G5</f>
        <v>1093163.54</v>
      </c>
      <c r="D5" s="82">
        <v>20619623.41</v>
      </c>
      <c r="E5" s="72">
        <f>D5/10000</f>
        <v>2061.962341</v>
      </c>
      <c r="F5" s="65">
        <v>760623.280000001</v>
      </c>
      <c r="G5" s="65">
        <v>19526459.87</v>
      </c>
      <c r="M5" s="72"/>
      <c r="N5" s="72"/>
    </row>
    <row r="6" ht="18" customHeight="1" spans="1:14">
      <c r="A6" s="83" t="s">
        <v>294</v>
      </c>
      <c r="B6" s="80"/>
      <c r="C6" s="81">
        <f t="shared" ref="C6:C32" si="0">D6-G6</f>
        <v>1093163.54</v>
      </c>
      <c r="D6" s="84">
        <v>20418558.56</v>
      </c>
      <c r="E6" s="72">
        <f t="shared" ref="E6:E32" si="1">D6/10000</f>
        <v>2041.855856</v>
      </c>
      <c r="F6" s="65">
        <v>760623.280000001</v>
      </c>
      <c r="G6" s="65">
        <v>19325395.02</v>
      </c>
      <c r="K6" s="72"/>
      <c r="M6" s="72"/>
      <c r="N6" s="72"/>
    </row>
    <row r="7" ht="18" customHeight="1" spans="1:14">
      <c r="A7" s="83" t="s">
        <v>296</v>
      </c>
      <c r="B7" s="80"/>
      <c r="C7" s="81">
        <f t="shared" si="0"/>
        <v>0</v>
      </c>
      <c r="D7" s="85">
        <v>201064.85</v>
      </c>
      <c r="E7" s="72">
        <f t="shared" si="1"/>
        <v>20.106485</v>
      </c>
      <c r="F7" s="65">
        <v>0</v>
      </c>
      <c r="G7" s="65">
        <v>201064.85</v>
      </c>
      <c r="M7" s="72"/>
      <c r="N7" s="72"/>
    </row>
    <row r="8" ht="18" customHeight="1" spans="1:14">
      <c r="A8" s="83" t="s">
        <v>298</v>
      </c>
      <c r="B8" s="80"/>
      <c r="C8" s="81">
        <f t="shared" si="0"/>
        <v>834013.870000001</v>
      </c>
      <c r="D8" s="85">
        <v>17706170.37</v>
      </c>
      <c r="E8" s="72">
        <f t="shared" si="1"/>
        <v>1770.617037</v>
      </c>
      <c r="F8" s="65">
        <v>581074.720000001</v>
      </c>
      <c r="G8" s="65">
        <v>16872156.5</v>
      </c>
      <c r="M8" s="72"/>
      <c r="N8" s="72"/>
    </row>
    <row r="9" ht="18" customHeight="1" spans="1:14">
      <c r="A9" s="83" t="s">
        <v>300</v>
      </c>
      <c r="B9" s="80"/>
      <c r="C9" s="81">
        <f t="shared" si="0"/>
        <v>834013.869999999</v>
      </c>
      <c r="D9" s="86">
        <v>17491062.97</v>
      </c>
      <c r="E9" s="72">
        <f t="shared" si="1"/>
        <v>1749.106297</v>
      </c>
      <c r="F9" s="65">
        <v>581074.719999999</v>
      </c>
      <c r="G9" s="65">
        <v>16657049.1</v>
      </c>
      <c r="M9" s="72"/>
      <c r="N9" s="72"/>
    </row>
    <row r="10" ht="18" customHeight="1" spans="1:14">
      <c r="A10" s="83" t="s">
        <v>302</v>
      </c>
      <c r="B10" s="80"/>
      <c r="C10" s="81">
        <f t="shared" si="0"/>
        <v>0</v>
      </c>
      <c r="D10" s="86">
        <v>215107.4</v>
      </c>
      <c r="E10" s="72">
        <f t="shared" si="1"/>
        <v>21.51074</v>
      </c>
      <c r="F10" s="65">
        <v>0</v>
      </c>
      <c r="G10" s="65">
        <v>215107.4</v>
      </c>
      <c r="M10" s="72"/>
      <c r="N10" s="72"/>
    </row>
    <row r="11" ht="18" customHeight="1" spans="1:14">
      <c r="A11" s="83" t="s">
        <v>304</v>
      </c>
      <c r="B11" s="80"/>
      <c r="C11" s="81">
        <f t="shared" si="0"/>
        <v>584.09</v>
      </c>
      <c r="D11" s="86">
        <v>7209.21</v>
      </c>
      <c r="E11" s="72">
        <f t="shared" si="1"/>
        <v>0.720921</v>
      </c>
      <c r="F11" s="65">
        <v>0</v>
      </c>
      <c r="G11" s="65">
        <v>6625.12</v>
      </c>
      <c r="M11" s="72"/>
      <c r="N11" s="72"/>
    </row>
    <row r="12" ht="18" customHeight="1" spans="1:14">
      <c r="A12" s="83" t="s">
        <v>306</v>
      </c>
      <c r="B12" s="80"/>
      <c r="C12" s="81">
        <f t="shared" si="0"/>
        <v>49638.71</v>
      </c>
      <c r="D12" s="86">
        <v>556431.11</v>
      </c>
      <c r="E12" s="72">
        <f t="shared" si="1"/>
        <v>55.643111</v>
      </c>
      <c r="F12" s="65">
        <v>33060</v>
      </c>
      <c r="G12" s="65">
        <v>506792.4</v>
      </c>
      <c r="M12" s="72"/>
      <c r="N12" s="72"/>
    </row>
    <row r="13" ht="18" customHeight="1" spans="1:14">
      <c r="A13" s="83" t="s">
        <v>308</v>
      </c>
      <c r="B13" s="80"/>
      <c r="C13" s="81">
        <f t="shared" si="0"/>
        <v>17274.27</v>
      </c>
      <c r="D13" s="86">
        <v>237860.86</v>
      </c>
      <c r="E13" s="72">
        <f t="shared" si="1"/>
        <v>23.786086</v>
      </c>
      <c r="F13" s="65">
        <v>16486.87</v>
      </c>
      <c r="G13" s="65">
        <v>220586.59</v>
      </c>
      <c r="M13" s="72"/>
      <c r="N13" s="72"/>
    </row>
    <row r="14" ht="18" customHeight="1" spans="1:14">
      <c r="A14" s="83" t="s">
        <v>310</v>
      </c>
      <c r="B14" s="80"/>
      <c r="C14" s="81">
        <f t="shared" si="0"/>
        <v>93227.55</v>
      </c>
      <c r="D14" s="84">
        <v>894023.38</v>
      </c>
      <c r="E14" s="72">
        <f t="shared" si="1"/>
        <v>89.402338</v>
      </c>
      <c r="F14" s="65">
        <v>92605.08</v>
      </c>
      <c r="G14" s="65">
        <v>800795.83</v>
      </c>
      <c r="M14" s="72"/>
      <c r="N14" s="72"/>
    </row>
    <row r="15" ht="18" customHeight="1" spans="1:14">
      <c r="A15" s="83" t="s">
        <v>312</v>
      </c>
      <c r="B15" s="80"/>
      <c r="C15" s="81">
        <f t="shared" si="0"/>
        <v>270.22</v>
      </c>
      <c r="D15" s="86">
        <v>1051.76</v>
      </c>
      <c r="E15" s="72">
        <f t="shared" si="1"/>
        <v>0.105176</v>
      </c>
      <c r="F15" s="65">
        <v>280</v>
      </c>
      <c r="G15" s="65">
        <v>781.54</v>
      </c>
      <c r="M15" s="72"/>
      <c r="N15" s="72"/>
    </row>
    <row r="16" ht="18" customHeight="1" spans="1:14">
      <c r="A16" s="83" t="s">
        <v>1253</v>
      </c>
      <c r="B16" s="80"/>
      <c r="C16" s="81">
        <f t="shared" si="0"/>
        <v>0</v>
      </c>
      <c r="D16" s="86"/>
      <c r="E16" s="72">
        <f t="shared" si="1"/>
        <v>0</v>
      </c>
      <c r="F16" s="65">
        <v>0</v>
      </c>
      <c r="M16" s="72"/>
      <c r="N16" s="72"/>
    </row>
    <row r="17" ht="18" customHeight="1" spans="1:14">
      <c r="A17" s="83" t="s">
        <v>1254</v>
      </c>
      <c r="B17" s="80"/>
      <c r="C17" s="81">
        <f t="shared" si="0"/>
        <v>0</v>
      </c>
      <c r="D17" s="86">
        <v>-1211.72</v>
      </c>
      <c r="E17" s="72">
        <f t="shared" si="1"/>
        <v>-0.121172</v>
      </c>
      <c r="F17" s="65">
        <v>0</v>
      </c>
      <c r="G17" s="65">
        <v>-1211.72</v>
      </c>
      <c r="M17" s="72"/>
      <c r="N17" s="72"/>
    </row>
    <row r="18" ht="18" customHeight="1" spans="1:14">
      <c r="A18" s="83" t="s">
        <v>318</v>
      </c>
      <c r="B18" s="80"/>
      <c r="C18" s="81">
        <f t="shared" si="0"/>
        <v>0</v>
      </c>
      <c r="D18" s="86">
        <v>1843.34</v>
      </c>
      <c r="E18" s="72">
        <f t="shared" si="1"/>
        <v>0.184334</v>
      </c>
      <c r="F18" s="65">
        <v>0</v>
      </c>
      <c r="G18" s="65">
        <v>1843.34</v>
      </c>
      <c r="M18" s="72"/>
      <c r="N18" s="72"/>
    </row>
    <row r="19" ht="18" customHeight="1" spans="1:14">
      <c r="A19" s="83" t="s">
        <v>320</v>
      </c>
      <c r="B19" s="80"/>
      <c r="C19" s="81">
        <f t="shared" si="0"/>
        <v>0</v>
      </c>
      <c r="D19" s="86"/>
      <c r="E19" s="72">
        <f t="shared" si="1"/>
        <v>0</v>
      </c>
      <c r="F19" s="65">
        <v>0</v>
      </c>
      <c r="M19" s="72"/>
      <c r="N19" s="72"/>
    </row>
    <row r="20" ht="18" customHeight="1" spans="1:14">
      <c r="A20" s="83" t="s">
        <v>322</v>
      </c>
      <c r="B20" s="87"/>
      <c r="C20" s="81">
        <f t="shared" si="0"/>
        <v>0</v>
      </c>
      <c r="D20" s="88"/>
      <c r="E20" s="72">
        <f t="shared" si="1"/>
        <v>0</v>
      </c>
      <c r="F20" s="65">
        <v>0</v>
      </c>
      <c r="M20" s="72"/>
      <c r="N20" s="72"/>
    </row>
    <row r="21" ht="18" customHeight="1" spans="1:14">
      <c r="A21" s="89" t="s">
        <v>324</v>
      </c>
      <c r="B21" s="87"/>
      <c r="C21" s="81">
        <f t="shared" si="0"/>
        <v>0</v>
      </c>
      <c r="D21" s="88"/>
      <c r="E21" s="72">
        <f t="shared" si="1"/>
        <v>0</v>
      </c>
      <c r="F21" s="65">
        <v>0</v>
      </c>
      <c r="M21" s="72"/>
      <c r="N21" s="72"/>
    </row>
    <row r="22" ht="18" customHeight="1" spans="1:14">
      <c r="A22" s="83" t="s">
        <v>326</v>
      </c>
      <c r="B22" s="87"/>
      <c r="C22" s="81">
        <f t="shared" si="0"/>
        <v>0</v>
      </c>
      <c r="D22" s="88"/>
      <c r="E22" s="72">
        <f t="shared" si="1"/>
        <v>0</v>
      </c>
      <c r="F22" s="65">
        <v>0</v>
      </c>
      <c r="M22" s="72"/>
      <c r="N22" s="72"/>
    </row>
    <row r="23" ht="18" customHeight="1" spans="1:14">
      <c r="A23" s="83" t="s">
        <v>328</v>
      </c>
      <c r="B23" s="87"/>
      <c r="C23" s="81">
        <f t="shared" si="0"/>
        <v>0</v>
      </c>
      <c r="D23" s="88"/>
      <c r="E23" s="72">
        <f t="shared" si="1"/>
        <v>0</v>
      </c>
      <c r="F23" s="65">
        <v>0</v>
      </c>
      <c r="M23" s="72"/>
      <c r="N23" s="72"/>
    </row>
    <row r="24" ht="18" customHeight="1" spans="1:14">
      <c r="A24" s="83" t="s">
        <v>330</v>
      </c>
      <c r="B24" s="87"/>
      <c r="C24" s="81">
        <f t="shared" si="0"/>
        <v>0</v>
      </c>
      <c r="D24" s="88">
        <v>-170766.3</v>
      </c>
      <c r="E24" s="72">
        <f t="shared" si="1"/>
        <v>-17.07663</v>
      </c>
      <c r="F24" s="65">
        <v>0</v>
      </c>
      <c r="G24" s="65">
        <v>-170766.3</v>
      </c>
      <c r="M24" s="72"/>
      <c r="N24" s="72"/>
    </row>
    <row r="25" ht="18" customHeight="1" spans="1:14">
      <c r="A25" s="83" t="s">
        <v>332</v>
      </c>
      <c r="B25" s="87"/>
      <c r="C25" s="81">
        <f t="shared" si="0"/>
        <v>0</v>
      </c>
      <c r="D25" s="88"/>
      <c r="E25" s="72">
        <f t="shared" si="1"/>
        <v>0</v>
      </c>
      <c r="F25" s="65">
        <v>0</v>
      </c>
      <c r="M25" s="72"/>
      <c r="N25" s="72"/>
    </row>
    <row r="26" ht="18" customHeight="1" spans="1:14">
      <c r="A26" s="83" t="s">
        <v>334</v>
      </c>
      <c r="B26" s="87"/>
      <c r="C26" s="81">
        <f t="shared" si="0"/>
        <v>0</v>
      </c>
      <c r="D26" s="88"/>
      <c r="E26" s="72">
        <f t="shared" si="1"/>
        <v>0</v>
      </c>
      <c r="F26" s="65">
        <v>0</v>
      </c>
      <c r="H26" s="90"/>
      <c r="M26" s="72"/>
      <c r="N26" s="72"/>
    </row>
    <row r="27" ht="18" customHeight="1" spans="1:14">
      <c r="A27" s="79" t="s">
        <v>1258</v>
      </c>
      <c r="B27" s="91"/>
      <c r="C27" s="81">
        <f t="shared" si="0"/>
        <v>98154.83</v>
      </c>
      <c r="D27" s="92">
        <v>1047953.76</v>
      </c>
      <c r="E27" s="72">
        <f t="shared" si="1"/>
        <v>104.795376</v>
      </c>
      <c r="F27" s="65">
        <v>37116.6100000001</v>
      </c>
      <c r="G27" s="65">
        <v>949798.93</v>
      </c>
      <c r="H27" s="90"/>
      <c r="M27" s="72"/>
      <c r="N27" s="72"/>
    </row>
    <row r="28" ht="18" customHeight="1" spans="1:14">
      <c r="A28" s="83" t="s">
        <v>338</v>
      </c>
      <c r="B28" s="87"/>
      <c r="C28" s="81">
        <f t="shared" si="0"/>
        <v>0</v>
      </c>
      <c r="D28" s="88"/>
      <c r="E28" s="72">
        <f t="shared" si="1"/>
        <v>0</v>
      </c>
      <c r="F28" s="65">
        <v>0</v>
      </c>
      <c r="H28" s="90"/>
      <c r="M28" s="72"/>
      <c r="N28" s="72"/>
    </row>
    <row r="29" ht="18" customHeight="1" spans="1:14">
      <c r="A29" s="83" t="s">
        <v>340</v>
      </c>
      <c r="B29" s="87"/>
      <c r="C29" s="81">
        <f t="shared" si="0"/>
        <v>0</v>
      </c>
      <c r="D29" s="88"/>
      <c r="E29" s="72">
        <f t="shared" si="1"/>
        <v>0</v>
      </c>
      <c r="F29" s="65">
        <v>0</v>
      </c>
      <c r="H29" s="90"/>
      <c r="M29" s="72"/>
      <c r="N29" s="72"/>
    </row>
    <row r="30" ht="18" customHeight="1" spans="1:14">
      <c r="A30" s="79" t="s">
        <v>1259</v>
      </c>
      <c r="B30" s="91"/>
      <c r="C30" s="81">
        <f t="shared" si="0"/>
        <v>98154.83</v>
      </c>
      <c r="D30" s="92">
        <v>1047953.76</v>
      </c>
      <c r="E30" s="72">
        <f t="shared" si="1"/>
        <v>104.795376</v>
      </c>
      <c r="F30" s="65">
        <v>37116.6100000001</v>
      </c>
      <c r="G30" s="65">
        <v>949798.93</v>
      </c>
      <c r="H30" s="90"/>
      <c r="M30" s="72"/>
      <c r="N30" s="72"/>
    </row>
    <row r="31" ht="18" customHeight="1" spans="1:14">
      <c r="A31" s="83" t="s">
        <v>344</v>
      </c>
      <c r="B31" s="87"/>
      <c r="C31" s="81">
        <f t="shared" si="0"/>
        <v>20876.67</v>
      </c>
      <c r="D31" s="88">
        <v>45634.12</v>
      </c>
      <c r="E31" s="72">
        <f t="shared" si="1"/>
        <v>4.563412</v>
      </c>
      <c r="F31" s="65">
        <v>0</v>
      </c>
      <c r="G31" s="65">
        <v>24757.45</v>
      </c>
      <c r="M31" s="72"/>
      <c r="N31" s="72"/>
    </row>
    <row r="32" ht="18" customHeight="1" spans="1:14">
      <c r="A32" s="79" t="s">
        <v>1260</v>
      </c>
      <c r="B32" s="91"/>
      <c r="C32" s="81">
        <f t="shared" si="0"/>
        <v>77278.16</v>
      </c>
      <c r="D32" s="92">
        <v>1002319.64</v>
      </c>
      <c r="E32" s="72">
        <f t="shared" si="1"/>
        <v>100.231964</v>
      </c>
      <c r="F32" s="65">
        <v>37116.61</v>
      </c>
      <c r="G32" s="65">
        <v>925041.48</v>
      </c>
      <c r="M32" s="72"/>
      <c r="N32" s="72"/>
    </row>
    <row r="33" ht="18" customHeight="1" spans="1:4">
      <c r="A33" s="83" t="s">
        <v>1613</v>
      </c>
      <c r="B33" s="87"/>
      <c r="C33" s="88"/>
      <c r="D33" s="88"/>
    </row>
    <row r="34" ht="18" customHeight="1" spans="1:4">
      <c r="A34" s="83" t="s">
        <v>1261</v>
      </c>
      <c r="B34" s="93"/>
      <c r="C34" s="94"/>
      <c r="D34" s="94"/>
    </row>
    <row r="35" ht="18" customHeight="1" spans="1:4">
      <c r="A35" s="83" t="s">
        <v>1262</v>
      </c>
      <c r="B35" s="87"/>
      <c r="C35" s="88"/>
      <c r="D35" s="88"/>
    </row>
    <row r="36" ht="18" customHeight="1" spans="1:4">
      <c r="A36" s="83" t="s">
        <v>1614</v>
      </c>
      <c r="B36" s="87"/>
      <c r="C36" s="88"/>
      <c r="D36" s="88"/>
    </row>
    <row r="37" ht="18" customHeight="1" spans="1:4">
      <c r="A37" s="83" t="s">
        <v>1263</v>
      </c>
      <c r="B37" s="87"/>
      <c r="C37" s="95"/>
      <c r="D37" s="95"/>
    </row>
    <row r="38" ht="18" customHeight="1" spans="1:4">
      <c r="A38" s="96" t="s">
        <v>1264</v>
      </c>
      <c r="B38" s="97"/>
      <c r="C38" s="98"/>
      <c r="D38" s="98"/>
    </row>
    <row r="39" hidden="1" spans="1:4">
      <c r="A39" s="79" t="s">
        <v>1615</v>
      </c>
      <c r="B39" s="99"/>
      <c r="C39" s="100"/>
      <c r="D39" s="100"/>
    </row>
    <row r="40" hidden="1" spans="1:4">
      <c r="A40" s="83" t="s">
        <v>1265</v>
      </c>
      <c r="B40" s="91"/>
      <c r="C40" s="101"/>
      <c r="D40" s="101"/>
    </row>
    <row r="41" hidden="1" spans="1:4">
      <c r="A41" s="83" t="s">
        <v>1616</v>
      </c>
      <c r="B41" s="87"/>
      <c r="C41" s="95"/>
      <c r="D41" s="95"/>
    </row>
    <row r="42" hidden="1" spans="1:4">
      <c r="A42" s="83" t="s">
        <v>1266</v>
      </c>
      <c r="B42" s="87"/>
      <c r="C42" s="88"/>
      <c r="D42" s="88"/>
    </row>
    <row r="43" hidden="1" spans="1:4">
      <c r="A43" s="83" t="s">
        <v>1267</v>
      </c>
      <c r="B43" s="87"/>
      <c r="C43" s="88"/>
      <c r="D43" s="88"/>
    </row>
    <row r="44" hidden="1" spans="1:4">
      <c r="A44" s="83" t="s">
        <v>1268</v>
      </c>
      <c r="B44" s="87"/>
      <c r="C44" s="88"/>
      <c r="D44" s="88"/>
    </row>
    <row r="45" hidden="1" spans="1:4">
      <c r="A45" s="83" t="s">
        <v>1269</v>
      </c>
      <c r="B45" s="87"/>
      <c r="C45" s="88"/>
      <c r="D45" s="88"/>
    </row>
    <row r="46" hidden="1" spans="1:4">
      <c r="A46" s="83" t="s">
        <v>1617</v>
      </c>
      <c r="B46" s="87"/>
      <c r="C46" s="95"/>
      <c r="D46" s="95"/>
    </row>
    <row r="47" hidden="1" spans="1:4">
      <c r="A47" s="83" t="s">
        <v>1270</v>
      </c>
      <c r="B47" s="91"/>
      <c r="C47" s="101"/>
      <c r="D47" s="101"/>
    </row>
    <row r="48" hidden="1" spans="1:4">
      <c r="A48" s="83" t="s">
        <v>1271</v>
      </c>
      <c r="B48" s="87"/>
      <c r="C48" s="88"/>
      <c r="D48" s="88"/>
    </row>
    <row r="49" hidden="1" spans="1:4">
      <c r="A49" s="83" t="s">
        <v>1272</v>
      </c>
      <c r="B49" s="87"/>
      <c r="C49" s="88"/>
      <c r="D49" s="88"/>
    </row>
    <row r="50" hidden="1" spans="1:4">
      <c r="A50" s="83" t="s">
        <v>1273</v>
      </c>
      <c r="B50" s="87"/>
      <c r="C50" s="88"/>
      <c r="D50" s="88"/>
    </row>
    <row r="51" hidden="1" spans="1:4">
      <c r="A51" s="83" t="s">
        <v>1274</v>
      </c>
      <c r="B51" s="87"/>
      <c r="C51" s="95"/>
      <c r="D51" s="95"/>
    </row>
    <row r="52" hidden="1" spans="1:4">
      <c r="A52" s="83" t="s">
        <v>1275</v>
      </c>
      <c r="B52" s="87"/>
      <c r="C52" s="88"/>
      <c r="D52" s="88"/>
    </row>
    <row r="53" hidden="1" spans="1:4">
      <c r="A53" s="83" t="s">
        <v>1276</v>
      </c>
      <c r="B53" s="87"/>
      <c r="C53" s="88"/>
      <c r="D53" s="88"/>
    </row>
    <row r="54" hidden="1" spans="1:4">
      <c r="A54" s="83" t="s">
        <v>1277</v>
      </c>
      <c r="B54" s="87"/>
      <c r="C54" s="88"/>
      <c r="D54" s="88"/>
    </row>
    <row r="55" hidden="1" spans="1:4">
      <c r="A55" s="83" t="s">
        <v>1278</v>
      </c>
      <c r="B55" s="87"/>
      <c r="C55" s="88"/>
      <c r="D55" s="88"/>
    </row>
    <row r="56" hidden="1" spans="1:4">
      <c r="A56" s="83" t="s">
        <v>1279</v>
      </c>
      <c r="B56" s="87"/>
      <c r="C56" s="88"/>
      <c r="D56" s="88"/>
    </row>
    <row r="57" hidden="1" spans="1:4">
      <c r="A57" s="83" t="s">
        <v>1280</v>
      </c>
      <c r="B57" s="87"/>
      <c r="C57" s="88"/>
      <c r="D57" s="88"/>
    </row>
    <row r="58" hidden="1" spans="1:4">
      <c r="A58" s="79" t="s">
        <v>1618</v>
      </c>
      <c r="B58" s="91"/>
      <c r="C58" s="92"/>
      <c r="D58" s="92"/>
    </row>
    <row r="59" hidden="1" spans="1:4">
      <c r="A59" s="83" t="s">
        <v>1281</v>
      </c>
      <c r="B59" s="87"/>
      <c r="C59" s="95"/>
      <c r="D59" s="95"/>
    </row>
    <row r="60" hidden="1" spans="1:4">
      <c r="A60" s="83" t="s">
        <v>1282</v>
      </c>
      <c r="B60" s="87"/>
      <c r="C60" s="95"/>
      <c r="D60" s="95"/>
    </row>
    <row r="61" hidden="1" spans="1:4">
      <c r="A61" s="79" t="s">
        <v>1619</v>
      </c>
      <c r="B61" s="91"/>
      <c r="C61" s="101"/>
      <c r="D61" s="101"/>
    </row>
    <row r="62" hidden="1" spans="1:4">
      <c r="A62" s="83" t="s">
        <v>1283</v>
      </c>
      <c r="B62" s="102"/>
      <c r="C62" s="103"/>
      <c r="D62" s="103"/>
    </row>
    <row r="63" hidden="1" spans="1:4">
      <c r="A63" s="96" t="s">
        <v>1284</v>
      </c>
      <c r="B63" s="97"/>
      <c r="C63" s="104"/>
      <c r="D63" s="104"/>
    </row>
    <row r="66" spans="3:4">
      <c r="C66" s="105"/>
      <c r="D66" s="105"/>
    </row>
    <row r="67" spans="3:4">
      <c r="C67" s="105"/>
      <c r="D67" s="105"/>
    </row>
  </sheetData>
  <mergeCells count="1">
    <mergeCell ref="A1:D1"/>
  </mergeCells>
  <pageMargins left="0.75" right="0.75" top="1" bottom="1" header="0.5" footer="0.5"/>
  <pageSetup paperSize="9" scale="99" fitToHeight="0" orientation="portrait"/>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Q89"/>
  <sheetViews>
    <sheetView view="pageBreakPreview" zoomScale="60" zoomScaleNormal="100" topLeftCell="A4" workbookViewId="0">
      <selection activeCell="Y20" sqref="Y20"/>
    </sheetView>
  </sheetViews>
  <sheetFormatPr defaultColWidth="8.25" defaultRowHeight="14.25"/>
  <cols>
    <col min="1" max="1" width="19.75" style="24" customWidth="1"/>
    <col min="2" max="2" width="17.125" style="2" customWidth="1"/>
    <col min="3" max="3" width="16.75" style="2" customWidth="1"/>
    <col min="4" max="4" width="20.75" style="24" customWidth="1"/>
    <col min="5" max="6" width="16.75" style="2" customWidth="1"/>
    <col min="7" max="8" width="15.75" style="24" customWidth="1"/>
    <col min="9" max="9" width="19.125" style="24" customWidth="1"/>
    <col min="10" max="10" width="16.75" style="24" customWidth="1"/>
    <col min="11" max="11" width="16.25" style="24" customWidth="1"/>
    <col min="12" max="12" width="15.75" style="24" customWidth="1"/>
    <col min="13" max="13" width="16.75" style="24" customWidth="1"/>
    <col min="14" max="14" width="16.625" style="24" customWidth="1"/>
    <col min="15" max="15" width="14.625" style="24" customWidth="1"/>
    <col min="16" max="16" width="15.375" style="24" customWidth="1"/>
    <col min="17" max="17" width="12.625" style="24" customWidth="1"/>
    <col min="18" max="245" width="8.25" style="24"/>
    <col min="246" max="246" width="19.75" style="24" customWidth="1"/>
    <col min="247" max="247" width="17.125" style="24" customWidth="1"/>
    <col min="248" max="248" width="14.375" style="24" customWidth="1"/>
    <col min="249" max="249" width="19.75" style="24" customWidth="1"/>
    <col min="250" max="250" width="13.375" style="24" customWidth="1"/>
    <col min="251" max="251" width="14.375" style="24" customWidth="1"/>
    <col min="252" max="501" width="8.25" style="24"/>
    <col min="502" max="502" width="19.75" style="24" customWidth="1"/>
    <col min="503" max="503" width="17.125" style="24" customWidth="1"/>
    <col min="504" max="504" width="14.375" style="24" customWidth="1"/>
    <col min="505" max="505" width="19.75" style="24" customWidth="1"/>
    <col min="506" max="506" width="13.375" style="24" customWidth="1"/>
    <col min="507" max="507" width="14.375" style="24" customWidth="1"/>
    <col min="508" max="757" width="8.25" style="24"/>
    <col min="758" max="758" width="19.75" style="24" customWidth="1"/>
    <col min="759" max="759" width="17.125" style="24" customWidth="1"/>
    <col min="760" max="760" width="14.375" style="24" customWidth="1"/>
    <col min="761" max="761" width="19.75" style="24" customWidth="1"/>
    <col min="762" max="762" width="13.375" style="24" customWidth="1"/>
    <col min="763" max="763" width="14.375" style="24" customWidth="1"/>
    <col min="764" max="1013" width="8.25" style="24"/>
    <col min="1014" max="1014" width="19.75" style="24" customWidth="1"/>
    <col min="1015" max="1015" width="17.125" style="24" customWidth="1"/>
    <col min="1016" max="1016" width="14.375" style="24" customWidth="1"/>
    <col min="1017" max="1017" width="19.75" style="24" customWidth="1"/>
    <col min="1018" max="1018" width="13.375" style="24" customWidth="1"/>
    <col min="1019" max="1019" width="14.375" style="24" customWidth="1"/>
    <col min="1020" max="1269" width="8.25" style="24"/>
    <col min="1270" max="1270" width="19.75" style="24" customWidth="1"/>
    <col min="1271" max="1271" width="17.125" style="24" customWidth="1"/>
    <col min="1272" max="1272" width="14.375" style="24" customWidth="1"/>
    <col min="1273" max="1273" width="19.75" style="24" customWidth="1"/>
    <col min="1274" max="1274" width="13.375" style="24" customWidth="1"/>
    <col min="1275" max="1275" width="14.375" style="24" customWidth="1"/>
    <col min="1276" max="1525" width="8.25" style="24"/>
    <col min="1526" max="1526" width="19.75" style="24" customWidth="1"/>
    <col min="1527" max="1527" width="17.125" style="24" customWidth="1"/>
    <col min="1528" max="1528" width="14.375" style="24" customWidth="1"/>
    <col min="1529" max="1529" width="19.75" style="24" customWidth="1"/>
    <col min="1530" max="1530" width="13.375" style="24" customWidth="1"/>
    <col min="1531" max="1531" width="14.375" style="24" customWidth="1"/>
    <col min="1532" max="1781" width="8.25" style="24"/>
    <col min="1782" max="1782" width="19.75" style="24" customWidth="1"/>
    <col min="1783" max="1783" width="17.125" style="24" customWidth="1"/>
    <col min="1784" max="1784" width="14.375" style="24" customWidth="1"/>
    <col min="1785" max="1785" width="19.75" style="24" customWidth="1"/>
    <col min="1786" max="1786" width="13.375" style="24" customWidth="1"/>
    <col min="1787" max="1787" width="14.375" style="24" customWidth="1"/>
    <col min="1788" max="2037" width="8.25" style="24"/>
    <col min="2038" max="2038" width="19.75" style="24" customWidth="1"/>
    <col min="2039" max="2039" width="17.125" style="24" customWidth="1"/>
    <col min="2040" max="2040" width="14.375" style="24" customWidth="1"/>
    <col min="2041" max="2041" width="19.75" style="24" customWidth="1"/>
    <col min="2042" max="2042" width="13.375" style="24" customWidth="1"/>
    <col min="2043" max="2043" width="14.375" style="24" customWidth="1"/>
    <col min="2044" max="2293" width="8.25" style="24"/>
    <col min="2294" max="2294" width="19.75" style="24" customWidth="1"/>
    <col min="2295" max="2295" width="17.125" style="24" customWidth="1"/>
    <col min="2296" max="2296" width="14.375" style="24" customWidth="1"/>
    <col min="2297" max="2297" width="19.75" style="24" customWidth="1"/>
    <col min="2298" max="2298" width="13.375" style="24" customWidth="1"/>
    <col min="2299" max="2299" width="14.375" style="24" customWidth="1"/>
    <col min="2300" max="2549" width="8.25" style="24"/>
    <col min="2550" max="2550" width="19.75" style="24" customWidth="1"/>
    <col min="2551" max="2551" width="17.125" style="24" customWidth="1"/>
    <col min="2552" max="2552" width="14.375" style="24" customWidth="1"/>
    <col min="2553" max="2553" width="19.75" style="24" customWidth="1"/>
    <col min="2554" max="2554" width="13.375" style="24" customWidth="1"/>
    <col min="2555" max="2555" width="14.375" style="24" customWidth="1"/>
    <col min="2556" max="2805" width="8.25" style="24"/>
    <col min="2806" max="2806" width="19.75" style="24" customWidth="1"/>
    <col min="2807" max="2807" width="17.125" style="24" customWidth="1"/>
    <col min="2808" max="2808" width="14.375" style="24" customWidth="1"/>
    <col min="2809" max="2809" width="19.75" style="24" customWidth="1"/>
    <col min="2810" max="2810" width="13.375" style="24" customWidth="1"/>
    <col min="2811" max="2811" width="14.375" style="24" customWidth="1"/>
    <col min="2812" max="3061" width="8.25" style="24"/>
    <col min="3062" max="3062" width="19.75" style="24" customWidth="1"/>
    <col min="3063" max="3063" width="17.125" style="24" customWidth="1"/>
    <col min="3064" max="3064" width="14.375" style="24" customWidth="1"/>
    <col min="3065" max="3065" width="19.75" style="24" customWidth="1"/>
    <col min="3066" max="3066" width="13.375" style="24" customWidth="1"/>
    <col min="3067" max="3067" width="14.375" style="24" customWidth="1"/>
    <col min="3068" max="3317" width="8.25" style="24"/>
    <col min="3318" max="3318" width="19.75" style="24" customWidth="1"/>
    <col min="3319" max="3319" width="17.125" style="24" customWidth="1"/>
    <col min="3320" max="3320" width="14.375" style="24" customWidth="1"/>
    <col min="3321" max="3321" width="19.75" style="24" customWidth="1"/>
    <col min="3322" max="3322" width="13.375" style="24" customWidth="1"/>
    <col min="3323" max="3323" width="14.375" style="24" customWidth="1"/>
    <col min="3324" max="3573" width="8.25" style="24"/>
    <col min="3574" max="3574" width="19.75" style="24" customWidth="1"/>
    <col min="3575" max="3575" width="17.125" style="24" customWidth="1"/>
    <col min="3576" max="3576" width="14.375" style="24" customWidth="1"/>
    <col min="3577" max="3577" width="19.75" style="24" customWidth="1"/>
    <col min="3578" max="3578" width="13.375" style="24" customWidth="1"/>
    <col min="3579" max="3579" width="14.375" style="24" customWidth="1"/>
    <col min="3580" max="3829" width="8.25" style="24"/>
    <col min="3830" max="3830" width="19.75" style="24" customWidth="1"/>
    <col min="3831" max="3831" width="17.125" style="24" customWidth="1"/>
    <col min="3832" max="3832" width="14.375" style="24" customWidth="1"/>
    <col min="3833" max="3833" width="19.75" style="24" customWidth="1"/>
    <col min="3834" max="3834" width="13.375" style="24" customWidth="1"/>
    <col min="3835" max="3835" width="14.375" style="24" customWidth="1"/>
    <col min="3836" max="4085" width="8.25" style="24"/>
    <col min="4086" max="4086" width="19.75" style="24" customWidth="1"/>
    <col min="4087" max="4087" width="17.125" style="24" customWidth="1"/>
    <col min="4088" max="4088" width="14.375" style="24" customWidth="1"/>
    <col min="4089" max="4089" width="19.75" style="24" customWidth="1"/>
    <col min="4090" max="4090" width="13.375" style="24" customWidth="1"/>
    <col min="4091" max="4091" width="14.375" style="24" customWidth="1"/>
    <col min="4092" max="4341" width="8.25" style="24"/>
    <col min="4342" max="4342" width="19.75" style="24" customWidth="1"/>
    <col min="4343" max="4343" width="17.125" style="24" customWidth="1"/>
    <col min="4344" max="4344" width="14.375" style="24" customWidth="1"/>
    <col min="4345" max="4345" width="19.75" style="24" customWidth="1"/>
    <col min="4346" max="4346" width="13.375" style="24" customWidth="1"/>
    <col min="4347" max="4347" width="14.375" style="24" customWidth="1"/>
    <col min="4348" max="4597" width="8.25" style="24"/>
    <col min="4598" max="4598" width="19.75" style="24" customWidth="1"/>
    <col min="4599" max="4599" width="17.125" style="24" customWidth="1"/>
    <col min="4600" max="4600" width="14.375" style="24" customWidth="1"/>
    <col min="4601" max="4601" width="19.75" style="24" customWidth="1"/>
    <col min="4602" max="4602" width="13.375" style="24" customWidth="1"/>
    <col min="4603" max="4603" width="14.375" style="24" customWidth="1"/>
    <col min="4604" max="4853" width="8.25" style="24"/>
    <col min="4854" max="4854" width="19.75" style="24" customWidth="1"/>
    <col min="4855" max="4855" width="17.125" style="24" customWidth="1"/>
    <col min="4856" max="4856" width="14.375" style="24" customWidth="1"/>
    <col min="4857" max="4857" width="19.75" style="24" customWidth="1"/>
    <col min="4858" max="4858" width="13.375" style="24" customWidth="1"/>
    <col min="4859" max="4859" width="14.375" style="24" customWidth="1"/>
    <col min="4860" max="5109" width="8.25" style="24"/>
    <col min="5110" max="5110" width="19.75" style="24" customWidth="1"/>
    <col min="5111" max="5111" width="17.125" style="24" customWidth="1"/>
    <col min="5112" max="5112" width="14.375" style="24" customWidth="1"/>
    <col min="5113" max="5113" width="19.75" style="24" customWidth="1"/>
    <col min="5114" max="5114" width="13.375" style="24" customWidth="1"/>
    <col min="5115" max="5115" width="14.375" style="24" customWidth="1"/>
    <col min="5116" max="5365" width="8.25" style="24"/>
    <col min="5366" max="5366" width="19.75" style="24" customWidth="1"/>
    <col min="5367" max="5367" width="17.125" style="24" customWidth="1"/>
    <col min="5368" max="5368" width="14.375" style="24" customWidth="1"/>
    <col min="5369" max="5369" width="19.75" style="24" customWidth="1"/>
    <col min="5370" max="5370" width="13.375" style="24" customWidth="1"/>
    <col min="5371" max="5371" width="14.375" style="24" customWidth="1"/>
    <col min="5372" max="5621" width="8.25" style="24"/>
    <col min="5622" max="5622" width="19.75" style="24" customWidth="1"/>
    <col min="5623" max="5623" width="17.125" style="24" customWidth="1"/>
    <col min="5624" max="5624" width="14.375" style="24" customWidth="1"/>
    <col min="5625" max="5625" width="19.75" style="24" customWidth="1"/>
    <col min="5626" max="5626" width="13.375" style="24" customWidth="1"/>
    <col min="5627" max="5627" width="14.375" style="24" customWidth="1"/>
    <col min="5628" max="5877" width="8.25" style="24"/>
    <col min="5878" max="5878" width="19.75" style="24" customWidth="1"/>
    <col min="5879" max="5879" width="17.125" style="24" customWidth="1"/>
    <col min="5880" max="5880" width="14.375" style="24" customWidth="1"/>
    <col min="5881" max="5881" width="19.75" style="24" customWidth="1"/>
    <col min="5882" max="5882" width="13.375" style="24" customWidth="1"/>
    <col min="5883" max="5883" width="14.375" style="24" customWidth="1"/>
    <col min="5884" max="6133" width="8.25" style="24"/>
    <col min="6134" max="6134" width="19.75" style="24" customWidth="1"/>
    <col min="6135" max="6135" width="17.125" style="24" customWidth="1"/>
    <col min="6136" max="6136" width="14.375" style="24" customWidth="1"/>
    <col min="6137" max="6137" width="19.75" style="24" customWidth="1"/>
    <col min="6138" max="6138" width="13.375" style="24" customWidth="1"/>
    <col min="6139" max="6139" width="14.375" style="24" customWidth="1"/>
    <col min="6140" max="6389" width="8.25" style="24"/>
    <col min="6390" max="6390" width="19.75" style="24" customWidth="1"/>
    <col min="6391" max="6391" width="17.125" style="24" customWidth="1"/>
    <col min="6392" max="6392" width="14.375" style="24" customWidth="1"/>
    <col min="6393" max="6393" width="19.75" style="24" customWidth="1"/>
    <col min="6394" max="6394" width="13.375" style="24" customWidth="1"/>
    <col min="6395" max="6395" width="14.375" style="24" customWidth="1"/>
    <col min="6396" max="6645" width="8.25" style="24"/>
    <col min="6646" max="6646" width="19.75" style="24" customWidth="1"/>
    <col min="6647" max="6647" width="17.125" style="24" customWidth="1"/>
    <col min="6648" max="6648" width="14.375" style="24" customWidth="1"/>
    <col min="6649" max="6649" width="19.75" style="24" customWidth="1"/>
    <col min="6650" max="6650" width="13.375" style="24" customWidth="1"/>
    <col min="6651" max="6651" width="14.375" style="24" customWidth="1"/>
    <col min="6652" max="6901" width="8.25" style="24"/>
    <col min="6902" max="6902" width="19.75" style="24" customWidth="1"/>
    <col min="6903" max="6903" width="17.125" style="24" customWidth="1"/>
    <col min="6904" max="6904" width="14.375" style="24" customWidth="1"/>
    <col min="6905" max="6905" width="19.75" style="24" customWidth="1"/>
    <col min="6906" max="6906" width="13.375" style="24" customWidth="1"/>
    <col min="6907" max="6907" width="14.375" style="24" customWidth="1"/>
    <col min="6908" max="7157" width="8.25" style="24"/>
    <col min="7158" max="7158" width="19.75" style="24" customWidth="1"/>
    <col min="7159" max="7159" width="17.125" style="24" customWidth="1"/>
    <col min="7160" max="7160" width="14.375" style="24" customWidth="1"/>
    <col min="7161" max="7161" width="19.75" style="24" customWidth="1"/>
    <col min="7162" max="7162" width="13.375" style="24" customWidth="1"/>
    <col min="7163" max="7163" width="14.375" style="24" customWidth="1"/>
    <col min="7164" max="7413" width="8.25" style="24"/>
    <col min="7414" max="7414" width="19.75" style="24" customWidth="1"/>
    <col min="7415" max="7415" width="17.125" style="24" customWidth="1"/>
    <col min="7416" max="7416" width="14.375" style="24" customWidth="1"/>
    <col min="7417" max="7417" width="19.75" style="24" customWidth="1"/>
    <col min="7418" max="7418" width="13.375" style="24" customWidth="1"/>
    <col min="7419" max="7419" width="14.375" style="24" customWidth="1"/>
    <col min="7420" max="7669" width="8.25" style="24"/>
    <col min="7670" max="7670" width="19.75" style="24" customWidth="1"/>
    <col min="7671" max="7671" width="17.125" style="24" customWidth="1"/>
    <col min="7672" max="7672" width="14.375" style="24" customWidth="1"/>
    <col min="7673" max="7673" width="19.75" style="24" customWidth="1"/>
    <col min="7674" max="7674" width="13.375" style="24" customWidth="1"/>
    <col min="7675" max="7675" width="14.375" style="24" customWidth="1"/>
    <col min="7676" max="7925" width="8.25" style="24"/>
    <col min="7926" max="7926" width="19.75" style="24" customWidth="1"/>
    <col min="7927" max="7927" width="17.125" style="24" customWidth="1"/>
    <col min="7928" max="7928" width="14.375" style="24" customWidth="1"/>
    <col min="7929" max="7929" width="19.75" style="24" customWidth="1"/>
    <col min="7930" max="7930" width="13.375" style="24" customWidth="1"/>
    <col min="7931" max="7931" width="14.375" style="24" customWidth="1"/>
    <col min="7932" max="8181" width="8.25" style="24"/>
    <col min="8182" max="8182" width="19.75" style="24" customWidth="1"/>
    <col min="8183" max="8183" width="17.125" style="24" customWidth="1"/>
    <col min="8184" max="8184" width="14.375" style="24" customWidth="1"/>
    <col min="8185" max="8185" width="19.75" style="24" customWidth="1"/>
    <col min="8186" max="8186" width="13.375" style="24" customWidth="1"/>
    <col min="8187" max="8187" width="14.375" style="24" customWidth="1"/>
    <col min="8188" max="8437" width="8.25" style="24"/>
    <col min="8438" max="8438" width="19.75" style="24" customWidth="1"/>
    <col min="8439" max="8439" width="17.125" style="24" customWidth="1"/>
    <col min="8440" max="8440" width="14.375" style="24" customWidth="1"/>
    <col min="8441" max="8441" width="19.75" style="24" customWidth="1"/>
    <col min="8442" max="8442" width="13.375" style="24" customWidth="1"/>
    <col min="8443" max="8443" width="14.375" style="24" customWidth="1"/>
    <col min="8444" max="8693" width="8.25" style="24"/>
    <col min="8694" max="8694" width="19.75" style="24" customWidth="1"/>
    <col min="8695" max="8695" width="17.125" style="24" customWidth="1"/>
    <col min="8696" max="8696" width="14.375" style="24" customWidth="1"/>
    <col min="8697" max="8697" width="19.75" style="24" customWidth="1"/>
    <col min="8698" max="8698" width="13.375" style="24" customWidth="1"/>
    <col min="8699" max="8699" width="14.375" style="24" customWidth="1"/>
    <col min="8700" max="8949" width="8.25" style="24"/>
    <col min="8950" max="8950" width="19.75" style="24" customWidth="1"/>
    <col min="8951" max="8951" width="17.125" style="24" customWidth="1"/>
    <col min="8952" max="8952" width="14.375" style="24" customWidth="1"/>
    <col min="8953" max="8953" width="19.75" style="24" customWidth="1"/>
    <col min="8954" max="8954" width="13.375" style="24" customWidth="1"/>
    <col min="8955" max="8955" width="14.375" style="24" customWidth="1"/>
    <col min="8956" max="9205" width="8.25" style="24"/>
    <col min="9206" max="9206" width="19.75" style="24" customWidth="1"/>
    <col min="9207" max="9207" width="17.125" style="24" customWidth="1"/>
    <col min="9208" max="9208" width="14.375" style="24" customWidth="1"/>
    <col min="9209" max="9209" width="19.75" style="24" customWidth="1"/>
    <col min="9210" max="9210" width="13.375" style="24" customWidth="1"/>
    <col min="9211" max="9211" width="14.375" style="24" customWidth="1"/>
    <col min="9212" max="9461" width="8.25" style="24"/>
    <col min="9462" max="9462" width="19.75" style="24" customWidth="1"/>
    <col min="9463" max="9463" width="17.125" style="24" customWidth="1"/>
    <col min="9464" max="9464" width="14.375" style="24" customWidth="1"/>
    <col min="9465" max="9465" width="19.75" style="24" customWidth="1"/>
    <col min="9466" max="9466" width="13.375" style="24" customWidth="1"/>
    <col min="9467" max="9467" width="14.375" style="24" customWidth="1"/>
    <col min="9468" max="9717" width="8.25" style="24"/>
    <col min="9718" max="9718" width="19.75" style="24" customWidth="1"/>
    <col min="9719" max="9719" width="17.125" style="24" customWidth="1"/>
    <col min="9720" max="9720" width="14.375" style="24" customWidth="1"/>
    <col min="9721" max="9721" width="19.75" style="24" customWidth="1"/>
    <col min="9722" max="9722" width="13.375" style="24" customWidth="1"/>
    <col min="9723" max="9723" width="14.375" style="24" customWidth="1"/>
    <col min="9724" max="9973" width="8.25" style="24"/>
    <col min="9974" max="9974" width="19.75" style="24" customWidth="1"/>
    <col min="9975" max="9975" width="17.125" style="24" customWidth="1"/>
    <col min="9976" max="9976" width="14.375" style="24" customWidth="1"/>
    <col min="9977" max="9977" width="19.75" style="24" customWidth="1"/>
    <col min="9978" max="9978" width="13.375" style="24" customWidth="1"/>
    <col min="9979" max="9979" width="14.375" style="24" customWidth="1"/>
    <col min="9980" max="10229" width="8.25" style="24"/>
    <col min="10230" max="10230" width="19.75" style="24" customWidth="1"/>
    <col min="10231" max="10231" width="17.125" style="24" customWidth="1"/>
    <col min="10232" max="10232" width="14.375" style="24" customWidth="1"/>
    <col min="10233" max="10233" width="19.75" style="24" customWidth="1"/>
    <col min="10234" max="10234" width="13.375" style="24" customWidth="1"/>
    <col min="10235" max="10235" width="14.375" style="24" customWidth="1"/>
    <col min="10236" max="10485" width="8.25" style="24"/>
    <col min="10486" max="10486" width="19.75" style="24" customWidth="1"/>
    <col min="10487" max="10487" width="17.125" style="24" customWidth="1"/>
    <col min="10488" max="10488" width="14.375" style="24" customWidth="1"/>
    <col min="10489" max="10489" width="19.75" style="24" customWidth="1"/>
    <col min="10490" max="10490" width="13.375" style="24" customWidth="1"/>
    <col min="10491" max="10491" width="14.375" style="24" customWidth="1"/>
    <col min="10492" max="10741" width="8.25" style="24"/>
    <col min="10742" max="10742" width="19.75" style="24" customWidth="1"/>
    <col min="10743" max="10743" width="17.125" style="24" customWidth="1"/>
    <col min="10744" max="10744" width="14.375" style="24" customWidth="1"/>
    <col min="10745" max="10745" width="19.75" style="24" customWidth="1"/>
    <col min="10746" max="10746" width="13.375" style="24" customWidth="1"/>
    <col min="10747" max="10747" width="14.375" style="24" customWidth="1"/>
    <col min="10748" max="10997" width="8.25" style="24"/>
    <col min="10998" max="10998" width="19.75" style="24" customWidth="1"/>
    <col min="10999" max="10999" width="17.125" style="24" customWidth="1"/>
    <col min="11000" max="11000" width="14.375" style="24" customWidth="1"/>
    <col min="11001" max="11001" width="19.75" style="24" customWidth="1"/>
    <col min="11002" max="11002" width="13.375" style="24" customWidth="1"/>
    <col min="11003" max="11003" width="14.375" style="24" customWidth="1"/>
    <col min="11004" max="11253" width="8.25" style="24"/>
    <col min="11254" max="11254" width="19.75" style="24" customWidth="1"/>
    <col min="11255" max="11255" width="17.125" style="24" customWidth="1"/>
    <col min="11256" max="11256" width="14.375" style="24" customWidth="1"/>
    <col min="11257" max="11257" width="19.75" style="24" customWidth="1"/>
    <col min="11258" max="11258" width="13.375" style="24" customWidth="1"/>
    <col min="11259" max="11259" width="14.375" style="24" customWidth="1"/>
    <col min="11260" max="11509" width="8.25" style="24"/>
    <col min="11510" max="11510" width="19.75" style="24" customWidth="1"/>
    <col min="11511" max="11511" width="17.125" style="24" customWidth="1"/>
    <col min="11512" max="11512" width="14.375" style="24" customWidth="1"/>
    <col min="11513" max="11513" width="19.75" style="24" customWidth="1"/>
    <col min="11514" max="11514" width="13.375" style="24" customWidth="1"/>
    <col min="11515" max="11515" width="14.375" style="24" customWidth="1"/>
    <col min="11516" max="11765" width="8.25" style="24"/>
    <col min="11766" max="11766" width="19.75" style="24" customWidth="1"/>
    <col min="11767" max="11767" width="17.125" style="24" customWidth="1"/>
    <col min="11768" max="11768" width="14.375" style="24" customWidth="1"/>
    <col min="11769" max="11769" width="19.75" style="24" customWidth="1"/>
    <col min="11770" max="11770" width="13.375" style="24" customWidth="1"/>
    <col min="11771" max="11771" width="14.375" style="24" customWidth="1"/>
    <col min="11772" max="12021" width="8.25" style="24"/>
    <col min="12022" max="12022" width="19.75" style="24" customWidth="1"/>
    <col min="12023" max="12023" width="17.125" style="24" customWidth="1"/>
    <col min="12024" max="12024" width="14.375" style="24" customWidth="1"/>
    <col min="12025" max="12025" width="19.75" style="24" customWidth="1"/>
    <col min="12026" max="12026" width="13.375" style="24" customWidth="1"/>
    <col min="12027" max="12027" width="14.375" style="24" customWidth="1"/>
    <col min="12028" max="12277" width="8.25" style="24"/>
    <col min="12278" max="12278" width="19.75" style="24" customWidth="1"/>
    <col min="12279" max="12279" width="17.125" style="24" customWidth="1"/>
    <col min="12280" max="12280" width="14.375" style="24" customWidth="1"/>
    <col min="12281" max="12281" width="19.75" style="24" customWidth="1"/>
    <col min="12282" max="12282" width="13.375" style="24" customWidth="1"/>
    <col min="12283" max="12283" width="14.375" style="24" customWidth="1"/>
    <col min="12284" max="12533" width="8.25" style="24"/>
    <col min="12534" max="12534" width="19.75" style="24" customWidth="1"/>
    <col min="12535" max="12535" width="17.125" style="24" customWidth="1"/>
    <col min="12536" max="12536" width="14.375" style="24" customWidth="1"/>
    <col min="12537" max="12537" width="19.75" style="24" customWidth="1"/>
    <col min="12538" max="12538" width="13.375" style="24" customWidth="1"/>
    <col min="12539" max="12539" width="14.375" style="24" customWidth="1"/>
    <col min="12540" max="12789" width="8.25" style="24"/>
    <col min="12790" max="12790" width="19.75" style="24" customWidth="1"/>
    <col min="12791" max="12791" width="17.125" style="24" customWidth="1"/>
    <col min="12792" max="12792" width="14.375" style="24" customWidth="1"/>
    <col min="12793" max="12793" width="19.75" style="24" customWidth="1"/>
    <col min="12794" max="12794" width="13.375" style="24" customWidth="1"/>
    <col min="12795" max="12795" width="14.375" style="24" customWidth="1"/>
    <col min="12796" max="13045" width="8.25" style="24"/>
    <col min="13046" max="13046" width="19.75" style="24" customWidth="1"/>
    <col min="13047" max="13047" width="17.125" style="24" customWidth="1"/>
    <col min="13048" max="13048" width="14.375" style="24" customWidth="1"/>
    <col min="13049" max="13049" width="19.75" style="24" customWidth="1"/>
    <col min="13050" max="13050" width="13.375" style="24" customWidth="1"/>
    <col min="13051" max="13051" width="14.375" style="24" customWidth="1"/>
    <col min="13052" max="13301" width="8.25" style="24"/>
    <col min="13302" max="13302" width="19.75" style="24" customWidth="1"/>
    <col min="13303" max="13303" width="17.125" style="24" customWidth="1"/>
    <col min="13304" max="13304" width="14.375" style="24" customWidth="1"/>
    <col min="13305" max="13305" width="19.75" style="24" customWidth="1"/>
    <col min="13306" max="13306" width="13.375" style="24" customWidth="1"/>
    <col min="13307" max="13307" width="14.375" style="24" customWidth="1"/>
    <col min="13308" max="13557" width="8.25" style="24"/>
    <col min="13558" max="13558" width="19.75" style="24" customWidth="1"/>
    <col min="13559" max="13559" width="17.125" style="24" customWidth="1"/>
    <col min="13560" max="13560" width="14.375" style="24" customWidth="1"/>
    <col min="13561" max="13561" width="19.75" style="24" customWidth="1"/>
    <col min="13562" max="13562" width="13.375" style="24" customWidth="1"/>
    <col min="13563" max="13563" width="14.375" style="24" customWidth="1"/>
    <col min="13564" max="13813" width="8.25" style="24"/>
    <col min="13814" max="13814" width="19.75" style="24" customWidth="1"/>
    <col min="13815" max="13815" width="17.125" style="24" customWidth="1"/>
    <col min="13816" max="13816" width="14.375" style="24" customWidth="1"/>
    <col min="13817" max="13817" width="19.75" style="24" customWidth="1"/>
    <col min="13818" max="13818" width="13.375" style="24" customWidth="1"/>
    <col min="13819" max="13819" width="14.375" style="24" customWidth="1"/>
    <col min="13820" max="14069" width="8.25" style="24"/>
    <col min="14070" max="14070" width="19.75" style="24" customWidth="1"/>
    <col min="14071" max="14071" width="17.125" style="24" customWidth="1"/>
    <col min="14072" max="14072" width="14.375" style="24" customWidth="1"/>
    <col min="14073" max="14073" width="19.75" style="24" customWidth="1"/>
    <col min="14074" max="14074" width="13.375" style="24" customWidth="1"/>
    <col min="14075" max="14075" width="14.375" style="24" customWidth="1"/>
    <col min="14076" max="14325" width="8.25" style="24"/>
    <col min="14326" max="14326" width="19.75" style="24" customWidth="1"/>
    <col min="14327" max="14327" width="17.125" style="24" customWidth="1"/>
    <col min="14328" max="14328" width="14.375" style="24" customWidth="1"/>
    <col min="14329" max="14329" width="19.75" style="24" customWidth="1"/>
    <col min="14330" max="14330" width="13.375" style="24" customWidth="1"/>
    <col min="14331" max="14331" width="14.375" style="24" customWidth="1"/>
    <col min="14332" max="14581" width="8.25" style="24"/>
    <col min="14582" max="14582" width="19.75" style="24" customWidth="1"/>
    <col min="14583" max="14583" width="17.125" style="24" customWidth="1"/>
    <col min="14584" max="14584" width="14.375" style="24" customWidth="1"/>
    <col min="14585" max="14585" width="19.75" style="24" customWidth="1"/>
    <col min="14586" max="14586" width="13.375" style="24" customWidth="1"/>
    <col min="14587" max="14587" width="14.375" style="24" customWidth="1"/>
    <col min="14588" max="14837" width="8.25" style="24"/>
    <col min="14838" max="14838" width="19.75" style="24" customWidth="1"/>
    <col min="14839" max="14839" width="17.125" style="24" customWidth="1"/>
    <col min="14840" max="14840" width="14.375" style="24" customWidth="1"/>
    <col min="14841" max="14841" width="19.75" style="24" customWidth="1"/>
    <col min="14842" max="14842" width="13.375" style="24" customWidth="1"/>
    <col min="14843" max="14843" width="14.375" style="24" customWidth="1"/>
    <col min="14844" max="15093" width="8.25" style="24"/>
    <col min="15094" max="15094" width="19.75" style="24" customWidth="1"/>
    <col min="15095" max="15095" width="17.125" style="24" customWidth="1"/>
    <col min="15096" max="15096" width="14.375" style="24" customWidth="1"/>
    <col min="15097" max="15097" width="19.75" style="24" customWidth="1"/>
    <col min="15098" max="15098" width="13.375" style="24" customWidth="1"/>
    <col min="15099" max="15099" width="14.375" style="24" customWidth="1"/>
    <col min="15100" max="15349" width="8.25" style="24"/>
    <col min="15350" max="15350" width="19.75" style="24" customWidth="1"/>
    <col min="15351" max="15351" width="17.125" style="24" customWidth="1"/>
    <col min="15352" max="15352" width="14.375" style="24" customWidth="1"/>
    <col min="15353" max="15353" width="19.75" style="24" customWidth="1"/>
    <col min="15354" max="15354" width="13.375" style="24" customWidth="1"/>
    <col min="15355" max="15355" width="14.375" style="24" customWidth="1"/>
    <col min="15356" max="15605" width="8.25" style="24"/>
    <col min="15606" max="15606" width="19.75" style="24" customWidth="1"/>
    <col min="15607" max="15607" width="17.125" style="24" customWidth="1"/>
    <col min="15608" max="15608" width="14.375" style="24" customWidth="1"/>
    <col min="15609" max="15609" width="19.75" style="24" customWidth="1"/>
    <col min="15610" max="15610" width="13.375" style="24" customWidth="1"/>
    <col min="15611" max="15611" width="14.375" style="24" customWidth="1"/>
    <col min="15612" max="15861" width="8.25" style="24"/>
    <col min="15862" max="15862" width="19.75" style="24" customWidth="1"/>
    <col min="15863" max="15863" width="17.125" style="24" customWidth="1"/>
    <col min="15864" max="15864" width="14.375" style="24" customWidth="1"/>
    <col min="15865" max="15865" width="19.75" style="24" customWidth="1"/>
    <col min="15866" max="15866" width="13.375" style="24" customWidth="1"/>
    <col min="15867" max="15867" width="14.375" style="24" customWidth="1"/>
    <col min="15868" max="16117" width="8.25" style="24"/>
    <col min="16118" max="16118" width="19.75" style="24" customWidth="1"/>
    <col min="16119" max="16119" width="17.125" style="24" customWidth="1"/>
    <col min="16120" max="16120" width="14.375" style="24" customWidth="1"/>
    <col min="16121" max="16121" width="19.75" style="24" customWidth="1"/>
    <col min="16122" max="16122" width="13.375" style="24" customWidth="1"/>
    <col min="16123" max="16123" width="14.375" style="24" customWidth="1"/>
    <col min="16124" max="16384" width="8.25" style="24"/>
  </cols>
  <sheetData>
    <row r="1" ht="33.95" customHeight="1" spans="1:17">
      <c r="A1" s="25" t="s">
        <v>96</v>
      </c>
      <c r="B1" s="26"/>
      <c r="C1" s="26"/>
      <c r="D1" s="26"/>
      <c r="E1" s="26"/>
      <c r="F1" s="27"/>
    </row>
    <row r="2" ht="27" customHeight="1" spans="1:17">
      <c r="A2" s="28"/>
      <c r="B2" s="29"/>
      <c r="C2" s="29"/>
      <c r="D2" s="30"/>
      <c r="E2" s="29"/>
      <c r="F2" s="31" t="s">
        <v>97</v>
      </c>
    </row>
    <row r="3" ht="24" customHeight="1" spans="1:17">
      <c r="A3" s="32" t="s">
        <v>98</v>
      </c>
      <c r="B3" s="33"/>
      <c r="C3" s="34"/>
      <c r="D3" s="35">
        <v>44316</v>
      </c>
      <c r="E3" s="36"/>
      <c r="F3" s="37" t="s">
        <v>99</v>
      </c>
    </row>
    <row r="4" ht="24.95" customHeight="1" spans="1:17">
      <c r="A4" s="38" t="s">
        <v>100</v>
      </c>
      <c r="B4" s="14" t="s">
        <v>101</v>
      </c>
      <c r="C4" s="14" t="s">
        <v>102</v>
      </c>
      <c r="D4" s="39" t="s">
        <v>103</v>
      </c>
      <c r="E4" s="14" t="s">
        <v>101</v>
      </c>
      <c r="F4" s="14" t="s">
        <v>102</v>
      </c>
    </row>
    <row r="5" ht="18" customHeight="1" spans="1:17">
      <c r="A5" s="40" t="s">
        <v>104</v>
      </c>
      <c r="B5" s="20"/>
      <c r="C5" s="20"/>
      <c r="D5" s="41" t="s">
        <v>105</v>
      </c>
      <c r="E5" s="42"/>
      <c r="F5" s="42"/>
    </row>
    <row r="6" ht="18" customHeight="1" spans="1:17">
      <c r="A6" s="40" t="s">
        <v>106</v>
      </c>
      <c r="B6" s="43">
        <v>21151098.05</v>
      </c>
      <c r="C6" s="44">
        <v>2695348.41999999</v>
      </c>
      <c r="D6" s="41" t="s">
        <v>200</v>
      </c>
      <c r="E6" s="45">
        <v>40000000</v>
      </c>
      <c r="F6" s="17">
        <v>37000000</v>
      </c>
      <c r="L6" s="24" t="s">
        <v>1620</v>
      </c>
      <c r="M6" s="24">
        <v>10981386.1</v>
      </c>
      <c r="N6" s="24">
        <v>10984503.07</v>
      </c>
      <c r="O6" s="24" t="s">
        <v>200</v>
      </c>
      <c r="P6" s="24">
        <v>106440000</v>
      </c>
      <c r="Q6" s="24">
        <v>106440000</v>
      </c>
    </row>
    <row r="7" ht="18" customHeight="1" spans="1:17">
      <c r="A7" s="40" t="s">
        <v>108</v>
      </c>
      <c r="B7" s="43">
        <v>21025776.34</v>
      </c>
      <c r="C7" s="44">
        <v>2637752.24</v>
      </c>
      <c r="D7" s="41" t="s">
        <v>202</v>
      </c>
      <c r="E7" s="45">
        <v>0</v>
      </c>
      <c r="F7" s="17">
        <v>0</v>
      </c>
      <c r="L7" s="24" t="s">
        <v>108</v>
      </c>
      <c r="M7" s="24">
        <v>10931889.39</v>
      </c>
      <c r="N7" s="24">
        <v>10931889.39</v>
      </c>
      <c r="O7" s="24" t="s">
        <v>202</v>
      </c>
      <c r="P7" s="24">
        <v>0</v>
      </c>
      <c r="Q7" s="24">
        <v>0</v>
      </c>
    </row>
    <row r="8" ht="18" customHeight="1" spans="1:17">
      <c r="A8" s="40" t="s">
        <v>110</v>
      </c>
      <c r="B8" s="46">
        <v>0</v>
      </c>
      <c r="C8" s="20">
        <v>0</v>
      </c>
      <c r="D8" s="41" t="s">
        <v>204</v>
      </c>
      <c r="E8" s="45">
        <v>0</v>
      </c>
      <c r="F8" s="17">
        <v>0</v>
      </c>
      <c r="L8" s="24" t="s">
        <v>1621</v>
      </c>
      <c r="M8" s="24">
        <v>0</v>
      </c>
      <c r="N8" s="24">
        <v>0</v>
      </c>
      <c r="O8" s="24" t="s">
        <v>204</v>
      </c>
      <c r="P8" s="24">
        <v>0</v>
      </c>
      <c r="Q8" s="24">
        <v>0</v>
      </c>
    </row>
    <row r="9" ht="18" customHeight="1" spans="1:17">
      <c r="A9" s="40" t="s">
        <v>112</v>
      </c>
      <c r="B9" s="46">
        <v>0</v>
      </c>
      <c r="C9" s="20">
        <v>4000000</v>
      </c>
      <c r="D9" s="41" t="s">
        <v>206</v>
      </c>
      <c r="E9" s="45">
        <v>44598131.71</v>
      </c>
      <c r="F9" s="17">
        <v>39998021.04</v>
      </c>
      <c r="L9" s="24" t="s">
        <v>1622</v>
      </c>
      <c r="M9" s="24">
        <v>7200000</v>
      </c>
      <c r="N9" s="24">
        <v>7200000</v>
      </c>
      <c r="O9" s="24" t="s">
        <v>206</v>
      </c>
      <c r="P9" s="24">
        <v>43169282.92</v>
      </c>
      <c r="Q9" s="24">
        <v>43164990.62</v>
      </c>
    </row>
    <row r="10" ht="18" customHeight="1" spans="1:17">
      <c r="A10" s="40" t="s">
        <v>114</v>
      </c>
      <c r="B10" s="43">
        <v>587714.56</v>
      </c>
      <c r="C10" s="20">
        <v>321650</v>
      </c>
      <c r="D10" s="41" t="s">
        <v>592</v>
      </c>
      <c r="E10" s="45">
        <v>592785.84</v>
      </c>
      <c r="F10" s="17">
        <v>2413545.07</v>
      </c>
      <c r="L10" s="24" t="s">
        <v>1623</v>
      </c>
      <c r="M10" s="24">
        <v>207100</v>
      </c>
      <c r="N10" s="24">
        <v>207100</v>
      </c>
      <c r="O10" s="24" t="s">
        <v>592</v>
      </c>
      <c r="P10" s="24">
        <v>2521802.07</v>
      </c>
      <c r="Q10" s="24">
        <v>2521802.07</v>
      </c>
    </row>
    <row r="11" ht="18" customHeight="1" spans="1:17">
      <c r="A11" s="40" t="s">
        <v>116</v>
      </c>
      <c r="B11" s="43">
        <v>78696240.18</v>
      </c>
      <c r="C11" s="20">
        <v>72146908.93</v>
      </c>
      <c r="D11" s="41" t="s">
        <v>212</v>
      </c>
      <c r="E11" s="45">
        <v>2639525.61</v>
      </c>
      <c r="F11" s="17">
        <v>2264681.52</v>
      </c>
      <c r="L11" s="24" t="s">
        <v>1624</v>
      </c>
      <c r="M11" s="24">
        <v>77254899.54</v>
      </c>
      <c r="N11" s="24">
        <v>77657368.75</v>
      </c>
      <c r="O11" s="24" t="s">
        <v>212</v>
      </c>
      <c r="P11" s="24">
        <v>2098782.34</v>
      </c>
      <c r="Q11" s="24">
        <v>3493578.2</v>
      </c>
    </row>
    <row r="12" ht="18" customHeight="1" spans="1:17">
      <c r="A12" s="40" t="s">
        <v>117</v>
      </c>
      <c r="B12" s="43">
        <v>4769916.21</v>
      </c>
      <c r="C12" s="20">
        <v>12500988.16</v>
      </c>
      <c r="D12" s="41" t="s">
        <v>214</v>
      </c>
      <c r="E12" s="45">
        <v>425671.389999999</v>
      </c>
      <c r="F12" s="17">
        <v>-5005642.5</v>
      </c>
      <c r="H12" s="47">
        <f>G12-H38</f>
        <v>0</v>
      </c>
      <c r="L12" s="24" t="s">
        <v>1625</v>
      </c>
      <c r="M12" s="24">
        <v>14571002.35</v>
      </c>
      <c r="N12" s="24">
        <v>15121421.85</v>
      </c>
      <c r="O12" s="24" t="s">
        <v>214</v>
      </c>
      <c r="P12" s="24">
        <v>-12981391.25</v>
      </c>
      <c r="Q12" s="24">
        <v>-12981218.68</v>
      </c>
    </row>
    <row r="13" ht="18" customHeight="1" spans="1:17">
      <c r="A13" s="40" t="s">
        <v>119</v>
      </c>
      <c r="B13" s="43">
        <v>0</v>
      </c>
      <c r="C13" s="20">
        <v>0</v>
      </c>
      <c r="D13" s="41" t="s">
        <v>216</v>
      </c>
      <c r="E13" s="45"/>
      <c r="F13" s="17"/>
      <c r="L13" s="24" t="s">
        <v>1626</v>
      </c>
      <c r="M13" s="24">
        <v>0</v>
      </c>
      <c r="N13" s="24">
        <v>0</v>
      </c>
      <c r="O13" s="24" t="s">
        <v>216</v>
      </c>
      <c r="P13" s="24">
        <v>56501.81</v>
      </c>
      <c r="Q13" s="24">
        <v>0</v>
      </c>
    </row>
    <row r="14" ht="18" customHeight="1" spans="1:17">
      <c r="A14" s="40" t="s">
        <v>121</v>
      </c>
      <c r="B14" s="46">
        <v>0</v>
      </c>
      <c r="C14" s="20">
        <v>0</v>
      </c>
      <c r="D14" s="41" t="s">
        <v>218</v>
      </c>
      <c r="E14" s="45">
        <v>0</v>
      </c>
      <c r="F14" s="17">
        <v>0</v>
      </c>
      <c r="L14" s="24" t="s">
        <v>1627</v>
      </c>
      <c r="M14" s="24">
        <v>0</v>
      </c>
      <c r="N14" s="24">
        <v>0</v>
      </c>
      <c r="O14" s="24" t="s">
        <v>218</v>
      </c>
      <c r="P14" s="24">
        <v>0</v>
      </c>
      <c r="Q14" s="24">
        <v>0</v>
      </c>
    </row>
    <row r="15" ht="18" customHeight="1" spans="1:17">
      <c r="A15" s="40" t="s">
        <v>123</v>
      </c>
      <c r="B15" s="46">
        <v>1262917.61</v>
      </c>
      <c r="C15" s="20">
        <v>2788312.31</v>
      </c>
      <c r="D15" s="41" t="s">
        <v>220</v>
      </c>
      <c r="E15" s="45">
        <v>32037389.83</v>
      </c>
      <c r="F15" s="17">
        <v>1865839.14</v>
      </c>
      <c r="L15" s="24" t="s">
        <v>1628</v>
      </c>
      <c r="M15" s="24">
        <v>1784682.36</v>
      </c>
      <c r="N15" s="24">
        <v>1898925.93</v>
      </c>
      <c r="O15" s="24" t="s">
        <v>220</v>
      </c>
      <c r="P15" s="24">
        <v>1915658.7</v>
      </c>
      <c r="Q15" s="24">
        <v>1863821.2</v>
      </c>
    </row>
    <row r="16" ht="18" customHeight="1" spans="1:17">
      <c r="A16" s="40" t="s">
        <v>125</v>
      </c>
      <c r="B16" s="46">
        <v>42687649.24</v>
      </c>
      <c r="C16" s="48">
        <f>63802700.32+168160</f>
        <v>63970860.32</v>
      </c>
      <c r="D16" s="41" t="s">
        <v>222</v>
      </c>
      <c r="E16" s="45">
        <v>4439663.74</v>
      </c>
      <c r="F16" s="17">
        <v>4499707.64</v>
      </c>
      <c r="L16" s="24" t="s">
        <v>1629</v>
      </c>
      <c r="M16" s="24">
        <v>59554367.92</v>
      </c>
      <c r="N16" s="24">
        <v>62278103.86</v>
      </c>
      <c r="O16" s="24" t="s">
        <v>222</v>
      </c>
      <c r="P16" s="24">
        <v>2060617.64</v>
      </c>
      <c r="Q16" s="24">
        <v>0</v>
      </c>
    </row>
    <row r="17" ht="18" customHeight="1" spans="1:17">
      <c r="A17" s="40" t="s">
        <v>127</v>
      </c>
      <c r="B17" s="46">
        <v>12384303.65</v>
      </c>
      <c r="C17" s="20">
        <v>12741392.84</v>
      </c>
      <c r="D17" s="41" t="s">
        <v>1630</v>
      </c>
      <c r="E17" s="45">
        <v>1945941.16</v>
      </c>
      <c r="F17" s="17">
        <v>1945941.16</v>
      </c>
      <c r="L17" s="24" t="s">
        <v>1631</v>
      </c>
      <c r="M17" s="24">
        <v>12741392.84</v>
      </c>
      <c r="N17" s="24">
        <v>12741392.84</v>
      </c>
      <c r="O17" s="24" t="s">
        <v>1630</v>
      </c>
      <c r="P17" s="24">
        <v>1945941.16</v>
      </c>
      <c r="Q17" s="24">
        <v>2108604.35</v>
      </c>
    </row>
    <row r="18" ht="18" customHeight="1" spans="1:17">
      <c r="A18" s="40" t="s">
        <v>132</v>
      </c>
      <c r="B18" s="46">
        <v>20828378.3</v>
      </c>
      <c r="C18" s="20">
        <v>33954117.06</v>
      </c>
      <c r="D18" s="49"/>
      <c r="E18" s="45">
        <v>0</v>
      </c>
      <c r="F18" s="23">
        <v>0</v>
      </c>
      <c r="G18" s="47">
        <f>(C18-B18)/0.75</f>
        <v>17500985.0133333</v>
      </c>
      <c r="H18" s="47">
        <f>G18/10000</f>
        <v>1750.09850133333</v>
      </c>
      <c r="I18" s="24" t="s">
        <v>133</v>
      </c>
      <c r="J18" s="47"/>
      <c r="L18" s="24" t="s">
        <v>1632</v>
      </c>
      <c r="M18" s="24">
        <v>36535564.22</v>
      </c>
      <c r="N18" s="24">
        <v>36535564.22</v>
      </c>
      <c r="P18" s="24">
        <v>0</v>
      </c>
      <c r="Q18" s="24">
        <v>0</v>
      </c>
    </row>
    <row r="19" ht="18" customHeight="1" spans="1:17">
      <c r="A19" s="40" t="s">
        <v>134</v>
      </c>
      <c r="B19" s="46">
        <v>6170534.11</v>
      </c>
      <c r="C19" s="20">
        <f>8082385.89+7348508.69</f>
        <v>15430894.58</v>
      </c>
      <c r="D19" s="49"/>
      <c r="E19" s="45">
        <v>0</v>
      </c>
      <c r="F19" s="23">
        <v>0</v>
      </c>
      <c r="G19" s="47">
        <f>(C19-B19)/0.75+合并利润表!C5</f>
        <v>28409986.1733333</v>
      </c>
      <c r="H19" s="47">
        <f t="shared" ref="H19:H20" si="0">G19/10000</f>
        <v>2840.99861733333</v>
      </c>
      <c r="I19" s="24" t="s">
        <v>135</v>
      </c>
      <c r="J19" s="47"/>
      <c r="K19" s="47"/>
      <c r="L19" s="24" t="s">
        <v>1633</v>
      </c>
      <c r="M19" s="24">
        <v>9563681.34</v>
      </c>
      <c r="N19" s="24">
        <v>9563681.34</v>
      </c>
      <c r="P19" s="24">
        <v>0</v>
      </c>
      <c r="Q19" s="24">
        <v>0</v>
      </c>
    </row>
    <row r="20" ht="18" customHeight="1" spans="1:17">
      <c r="A20" s="40" t="s">
        <v>136</v>
      </c>
      <c r="B20" s="46">
        <v>793103.25</v>
      </c>
      <c r="C20" s="48">
        <f>1676295.84+168160</f>
        <v>1844455.84</v>
      </c>
      <c r="D20" s="49"/>
      <c r="E20" s="45">
        <v>0</v>
      </c>
      <c r="F20" s="23">
        <v>0</v>
      </c>
      <c r="G20" s="47">
        <f>G18+G19</f>
        <v>45910971.1866667</v>
      </c>
      <c r="H20" s="47">
        <f t="shared" si="0"/>
        <v>4591.09711866667</v>
      </c>
      <c r="I20" s="24" t="s">
        <v>137</v>
      </c>
      <c r="J20" s="47"/>
      <c r="K20" s="47"/>
      <c r="L20" s="24" t="s">
        <v>1634</v>
      </c>
      <c r="M20" s="24">
        <v>1676295.84</v>
      </c>
      <c r="N20" s="24">
        <v>1676295.84</v>
      </c>
      <c r="P20" s="24">
        <v>0</v>
      </c>
      <c r="Q20" s="24">
        <v>0</v>
      </c>
    </row>
    <row r="21" ht="17.1" customHeight="1" spans="1:17">
      <c r="A21" s="50" t="s">
        <v>138</v>
      </c>
      <c r="B21" s="46"/>
      <c r="C21" s="20">
        <v>0</v>
      </c>
      <c r="D21" s="41"/>
      <c r="E21" s="45">
        <v>0</v>
      </c>
      <c r="F21" s="17">
        <v>0</v>
      </c>
      <c r="G21" s="47"/>
      <c r="H21" s="47"/>
      <c r="L21" s="24" t="s">
        <v>138</v>
      </c>
      <c r="M21" s="24">
        <v>8420</v>
      </c>
      <c r="N21" s="24">
        <v>8420</v>
      </c>
      <c r="O21" s="24" t="s">
        <v>491</v>
      </c>
      <c r="P21" s="24">
        <v>0</v>
      </c>
      <c r="Q21" s="24">
        <v>0</v>
      </c>
    </row>
    <row r="22" ht="17.1" customHeight="1" spans="1:17">
      <c r="A22" s="40" t="s">
        <v>140</v>
      </c>
      <c r="B22" s="46">
        <v>0</v>
      </c>
      <c r="C22" s="20">
        <v>0</v>
      </c>
      <c r="D22" s="41" t="s">
        <v>142</v>
      </c>
      <c r="E22" s="16">
        <f>SUM(E6:E21)</f>
        <v>126679109.28</v>
      </c>
      <c r="F22" s="16">
        <f>SUM(F6:F21)</f>
        <v>84982093.07</v>
      </c>
      <c r="G22" s="47"/>
      <c r="H22" s="47"/>
      <c r="L22" s="24" t="s">
        <v>1635</v>
      </c>
      <c r="M22" s="24">
        <v>0</v>
      </c>
      <c r="N22" s="24">
        <v>0</v>
      </c>
      <c r="O22" s="24" t="s">
        <v>142</v>
      </c>
      <c r="P22" s="24">
        <v>145110075.94</v>
      </c>
      <c r="Q22" s="24">
        <v>146611577.76</v>
      </c>
    </row>
    <row r="23" ht="18" customHeight="1" spans="1:17">
      <c r="A23" s="40" t="s">
        <v>141</v>
      </c>
      <c r="B23" s="46">
        <v>10262650.59</v>
      </c>
      <c r="C23" s="20">
        <v>10188420.74</v>
      </c>
      <c r="D23" s="41" t="s">
        <v>1636</v>
      </c>
      <c r="E23" s="51">
        <v>0</v>
      </c>
      <c r="F23" s="52">
        <v>0</v>
      </c>
      <c r="G23" s="47"/>
      <c r="H23" s="47"/>
      <c r="L23" s="24" t="s">
        <v>1637</v>
      </c>
      <c r="M23" s="24">
        <v>0</v>
      </c>
      <c r="N23" s="24">
        <v>0</v>
      </c>
      <c r="O23" s="24" t="s">
        <v>1636</v>
      </c>
      <c r="P23" s="24">
        <v>0</v>
      </c>
      <c r="Q23" s="24">
        <v>0</v>
      </c>
    </row>
    <row r="24" ht="18" customHeight="1" spans="1:17">
      <c r="A24" s="40" t="s">
        <v>143</v>
      </c>
      <c r="B24" s="53">
        <f>B6+B9+B10+B11+B12+B15+B16+B21+B23</f>
        <v>159418186.44</v>
      </c>
      <c r="C24" s="53">
        <f>C6+C9+C10+C11+C12+C15+C16+C21+C23</f>
        <v>168612488.88</v>
      </c>
      <c r="D24" s="41" t="s">
        <v>233</v>
      </c>
      <c r="E24" s="45">
        <v>0</v>
      </c>
      <c r="F24" s="17">
        <v>66440000</v>
      </c>
      <c r="G24" s="47">
        <f>(C18-B18+C19-B19)+合并利润表!C5</f>
        <v>38448938.11</v>
      </c>
      <c r="H24" s="47">
        <f>ROUND(G24/10000,2)</f>
        <v>3844.89</v>
      </c>
      <c r="I24" s="24" t="s">
        <v>145</v>
      </c>
      <c r="L24" s="24" t="s">
        <v>143</v>
      </c>
      <c r="M24" s="24">
        <v>171561858.27</v>
      </c>
      <c r="N24" s="24">
        <v>175355843.46</v>
      </c>
      <c r="O24" s="24" t="s">
        <v>233</v>
      </c>
      <c r="P24" s="24">
        <v>1977062.2</v>
      </c>
      <c r="Q24" s="24">
        <v>0</v>
      </c>
    </row>
    <row r="25" ht="18" customHeight="1" spans="1:17">
      <c r="A25" s="50" t="s">
        <v>146</v>
      </c>
      <c r="B25" s="46">
        <v>0</v>
      </c>
      <c r="C25" s="20">
        <v>0</v>
      </c>
      <c r="D25" s="41" t="s">
        <v>235</v>
      </c>
      <c r="E25" s="45">
        <v>0</v>
      </c>
      <c r="F25" s="17">
        <v>0</v>
      </c>
      <c r="L25" s="24" t="s">
        <v>146</v>
      </c>
      <c r="M25" s="24">
        <v>0</v>
      </c>
      <c r="N25" s="24">
        <v>0</v>
      </c>
      <c r="O25" s="24" t="s">
        <v>235</v>
      </c>
      <c r="P25" s="24">
        <v>0</v>
      </c>
      <c r="Q25" s="24">
        <v>0</v>
      </c>
    </row>
    <row r="26" ht="18" customHeight="1" spans="1:17">
      <c r="A26" s="40" t="s">
        <v>148</v>
      </c>
      <c r="B26" s="46">
        <v>0</v>
      </c>
      <c r="C26" s="20">
        <v>0</v>
      </c>
      <c r="D26" s="41" t="s">
        <v>237</v>
      </c>
      <c r="E26" s="45">
        <v>4778600.36</v>
      </c>
      <c r="F26" s="17">
        <v>3924500.86</v>
      </c>
      <c r="H26" s="47"/>
      <c r="L26" s="24" t="s">
        <v>1638</v>
      </c>
      <c r="M26" s="24">
        <v>0</v>
      </c>
      <c r="N26" s="24">
        <v>0</v>
      </c>
      <c r="O26" s="24" t="s">
        <v>237</v>
      </c>
      <c r="P26" s="24">
        <v>2966768.6</v>
      </c>
      <c r="Q26" s="24">
        <v>2966768.6</v>
      </c>
    </row>
    <row r="27" ht="18" customHeight="1" spans="1:17">
      <c r="A27" s="40" t="s">
        <v>150</v>
      </c>
      <c r="B27" s="46">
        <v>0</v>
      </c>
      <c r="C27" s="20">
        <v>0</v>
      </c>
      <c r="D27" s="41" t="s">
        <v>238</v>
      </c>
      <c r="E27" s="45">
        <v>0</v>
      </c>
      <c r="F27" s="17">
        <v>0</v>
      </c>
      <c r="H27" s="47"/>
      <c r="L27" s="24" t="s">
        <v>1639</v>
      </c>
      <c r="M27" s="24">
        <v>0</v>
      </c>
      <c r="N27" s="24">
        <v>0</v>
      </c>
      <c r="O27" s="24" t="s">
        <v>238</v>
      </c>
      <c r="P27" s="24">
        <v>0</v>
      </c>
      <c r="Q27" s="24">
        <v>0</v>
      </c>
    </row>
    <row r="28" ht="18" customHeight="1" spans="1:17">
      <c r="A28" s="40" t="s">
        <v>152</v>
      </c>
      <c r="B28" s="46">
        <v>0</v>
      </c>
      <c r="C28" s="20">
        <v>0</v>
      </c>
      <c r="D28" s="41" t="s">
        <v>239</v>
      </c>
      <c r="E28" s="45">
        <v>0</v>
      </c>
      <c r="F28" s="17">
        <v>0</v>
      </c>
      <c r="L28" s="24" t="s">
        <v>1640</v>
      </c>
      <c r="M28" s="24">
        <v>0</v>
      </c>
      <c r="N28" s="24">
        <v>0</v>
      </c>
      <c r="O28" s="24" t="s">
        <v>239</v>
      </c>
      <c r="P28" s="24">
        <v>0</v>
      </c>
      <c r="Q28" s="24">
        <v>0</v>
      </c>
    </row>
    <row r="29" ht="18" customHeight="1" spans="1:17">
      <c r="A29" s="40" t="s">
        <v>154</v>
      </c>
      <c r="B29" s="54">
        <v>0</v>
      </c>
      <c r="C29" s="54">
        <v>0</v>
      </c>
      <c r="D29" s="55" t="s">
        <v>241</v>
      </c>
      <c r="E29" s="45">
        <v>0</v>
      </c>
      <c r="F29" s="17">
        <v>0</v>
      </c>
      <c r="H29" s="47"/>
      <c r="L29" s="24" t="s">
        <v>1641</v>
      </c>
      <c r="M29" s="24">
        <v>32000000</v>
      </c>
      <c r="N29" s="24">
        <v>32000000</v>
      </c>
      <c r="O29" s="24" t="s">
        <v>241</v>
      </c>
      <c r="P29" s="24">
        <v>0</v>
      </c>
      <c r="Q29" s="24">
        <v>0</v>
      </c>
    </row>
    <row r="30" ht="18" customHeight="1" spans="1:17">
      <c r="A30" s="40" t="s">
        <v>156</v>
      </c>
      <c r="B30" s="46">
        <v>0</v>
      </c>
      <c r="C30" s="20"/>
      <c r="D30" s="41" t="s">
        <v>243</v>
      </c>
      <c r="E30" s="45">
        <v>0</v>
      </c>
      <c r="F30" s="17">
        <v>0</v>
      </c>
      <c r="L30" s="24" t="s">
        <v>1642</v>
      </c>
      <c r="M30" s="24">
        <v>0</v>
      </c>
      <c r="N30" s="24">
        <v>0</v>
      </c>
      <c r="O30" s="24" t="s">
        <v>243</v>
      </c>
      <c r="P30" s="24">
        <v>0</v>
      </c>
      <c r="Q30" s="24">
        <v>0</v>
      </c>
    </row>
    <row r="31" ht="18" customHeight="1" spans="1:17">
      <c r="A31" s="40" t="s">
        <v>158</v>
      </c>
      <c r="B31" s="46">
        <v>138735093.27</v>
      </c>
      <c r="C31" s="20">
        <v>140149501.75</v>
      </c>
      <c r="D31" s="41" t="s">
        <v>165</v>
      </c>
      <c r="E31" s="16">
        <f>SUM(E24:E30)</f>
        <v>4778600.36</v>
      </c>
      <c r="F31" s="16">
        <f>SUM(F24:F30)</f>
        <v>70364500.86</v>
      </c>
      <c r="G31" s="47">
        <f>C31-B31</f>
        <v>1414408.47999999</v>
      </c>
      <c r="H31" s="47">
        <f>ROUND(G31/10000,2)</f>
        <v>141.44</v>
      </c>
      <c r="I31" s="24" t="s">
        <v>160</v>
      </c>
      <c r="L31" s="24" t="s">
        <v>1643</v>
      </c>
      <c r="M31" s="24">
        <v>179891049.93</v>
      </c>
      <c r="N31" s="24">
        <v>179891049.93</v>
      </c>
      <c r="O31" s="24" t="s">
        <v>165</v>
      </c>
      <c r="P31" s="24">
        <v>4943830.8</v>
      </c>
      <c r="Q31" s="24">
        <v>2966768.6</v>
      </c>
    </row>
    <row r="32" ht="18" customHeight="1" spans="1:17">
      <c r="A32" s="40" t="s">
        <v>161</v>
      </c>
      <c r="B32" s="46">
        <v>53504432.28</v>
      </c>
      <c r="C32" s="20">
        <v>57774472.3</v>
      </c>
      <c r="D32" s="41" t="s">
        <v>167</v>
      </c>
      <c r="E32" s="16">
        <f>E22+E31</f>
        <v>131457709.64</v>
      </c>
      <c r="F32" s="16">
        <f>F22+F31</f>
        <v>155346593.93</v>
      </c>
      <c r="G32" s="47">
        <f>C32-B32</f>
        <v>4270040.02</v>
      </c>
      <c r="H32" s="47">
        <f>ROUND(G32/10000,2)</f>
        <v>427</v>
      </c>
      <c r="I32" s="24" t="s">
        <v>163</v>
      </c>
      <c r="L32" s="24" t="s">
        <v>1644</v>
      </c>
      <c r="M32" s="24">
        <v>57829637.26</v>
      </c>
      <c r="N32" s="24">
        <v>57829637.26</v>
      </c>
      <c r="O32" s="24" t="s">
        <v>167</v>
      </c>
      <c r="P32" s="24">
        <v>150053906.74</v>
      </c>
      <c r="Q32" s="24">
        <v>149578346.36</v>
      </c>
    </row>
    <row r="33" ht="18" customHeight="1" spans="1:17">
      <c r="A33" s="40" t="s">
        <v>164</v>
      </c>
      <c r="B33" s="54">
        <f>B31-B32</f>
        <v>85230660.99</v>
      </c>
      <c r="C33" s="54">
        <f>C31-C32</f>
        <v>82375029.45</v>
      </c>
      <c r="D33" s="41" t="s">
        <v>169</v>
      </c>
      <c r="E33" s="51">
        <v>0</v>
      </c>
      <c r="F33" s="52">
        <v>0</v>
      </c>
      <c r="L33" s="47" t="s">
        <v>1645</v>
      </c>
      <c r="M33" s="24">
        <v>122142394.34</v>
      </c>
      <c r="N33" s="24">
        <v>122061412.67</v>
      </c>
      <c r="O33" s="24" t="s">
        <v>169</v>
      </c>
      <c r="P33" s="24">
        <v>0</v>
      </c>
      <c r="Q33" s="24">
        <v>0</v>
      </c>
    </row>
    <row r="34" ht="18" customHeight="1" spans="1:17">
      <c r="A34" s="40" t="s">
        <v>166</v>
      </c>
      <c r="B34" s="46">
        <v>75667300.17</v>
      </c>
      <c r="C34" s="56">
        <v>88404461.94</v>
      </c>
      <c r="D34" s="41" t="s">
        <v>252</v>
      </c>
      <c r="E34" s="43">
        <v>236560000</v>
      </c>
      <c r="F34" s="44">
        <v>236560000</v>
      </c>
      <c r="G34" s="47"/>
      <c r="K34" s="47"/>
      <c r="L34" s="24" t="s">
        <v>1646</v>
      </c>
      <c r="M34" s="24">
        <v>42102982.01</v>
      </c>
      <c r="N34" s="24">
        <v>42102982.01</v>
      </c>
      <c r="O34" s="24" t="s">
        <v>252</v>
      </c>
    </row>
    <row r="35" ht="18" customHeight="1" spans="1:17">
      <c r="A35" s="40" t="s">
        <v>168</v>
      </c>
      <c r="B35" s="46">
        <v>0</v>
      </c>
      <c r="C35" s="20">
        <v>0</v>
      </c>
      <c r="D35" s="41" t="s">
        <v>254</v>
      </c>
      <c r="E35" s="43">
        <v>18901344.33</v>
      </c>
      <c r="F35" s="44">
        <v>18901344.33</v>
      </c>
      <c r="H35" s="47"/>
      <c r="L35" s="24" t="s">
        <v>1647</v>
      </c>
      <c r="M35" s="24">
        <v>0</v>
      </c>
      <c r="N35" s="24">
        <v>0</v>
      </c>
      <c r="O35" s="24" t="s">
        <v>254</v>
      </c>
    </row>
    <row r="36" ht="18" customHeight="1" spans="1:17">
      <c r="A36" s="40" t="s">
        <v>170</v>
      </c>
      <c r="B36" s="46">
        <v>0</v>
      </c>
      <c r="C36" s="20">
        <v>0</v>
      </c>
      <c r="D36" s="41" t="s">
        <v>256</v>
      </c>
      <c r="E36" s="45">
        <v>0</v>
      </c>
      <c r="F36" s="57">
        <v>0</v>
      </c>
      <c r="L36" s="24" t="s">
        <v>1648</v>
      </c>
      <c r="M36" s="24">
        <v>0</v>
      </c>
      <c r="N36" s="24">
        <v>0</v>
      </c>
      <c r="O36" s="24" t="s">
        <v>256</v>
      </c>
      <c r="P36" s="24">
        <v>0</v>
      </c>
      <c r="Q36" s="24">
        <v>0</v>
      </c>
    </row>
    <row r="37" ht="18" customHeight="1" spans="1:17">
      <c r="A37" s="40" t="s">
        <v>172</v>
      </c>
      <c r="B37" s="46">
        <v>0</v>
      </c>
      <c r="C37" s="20">
        <v>0</v>
      </c>
      <c r="D37" s="41" t="s">
        <v>258</v>
      </c>
      <c r="E37" s="45">
        <v>0</v>
      </c>
      <c r="F37" s="57">
        <v>0</v>
      </c>
      <c r="K37" s="47"/>
      <c r="L37" s="24" t="s">
        <v>1649</v>
      </c>
      <c r="M37" s="24">
        <v>0</v>
      </c>
      <c r="N37" s="24">
        <v>0</v>
      </c>
      <c r="O37" s="24" t="s">
        <v>258</v>
      </c>
      <c r="P37" s="24">
        <v>0</v>
      </c>
      <c r="Q37" s="24">
        <v>0</v>
      </c>
    </row>
    <row r="38" ht="18" customHeight="1" spans="1:17">
      <c r="A38" s="40" t="s">
        <v>174</v>
      </c>
      <c r="B38" s="46">
        <v>0</v>
      </c>
      <c r="C38" s="20">
        <v>0</v>
      </c>
      <c r="D38" s="41" t="s">
        <v>260</v>
      </c>
      <c r="E38" s="45">
        <v>-48320830.34</v>
      </c>
      <c r="F38" s="58">
        <f>E38+合并利润表!C28</f>
        <v>-54358908.55349</v>
      </c>
      <c r="G38" s="47">
        <f>F38-E38-合并利润表!C28</f>
        <v>0</v>
      </c>
      <c r="H38" s="47"/>
      <c r="I38" s="47"/>
      <c r="L38" s="24" t="s">
        <v>1650</v>
      </c>
      <c r="M38" s="24">
        <v>0</v>
      </c>
      <c r="N38" s="24">
        <v>0</v>
      </c>
      <c r="O38" s="24" t="s">
        <v>260</v>
      </c>
      <c r="P38" s="24">
        <v>-62282298.83</v>
      </c>
      <c r="Q38" s="24">
        <v>-55976615.48</v>
      </c>
    </row>
    <row r="39" ht="18" customHeight="1" spans="1:17">
      <c r="A39" s="40" t="s">
        <v>176</v>
      </c>
      <c r="B39" s="46">
        <v>13333090.6</v>
      </c>
      <c r="C39" s="20">
        <v>13198671.24</v>
      </c>
      <c r="D39" s="41" t="s">
        <v>262</v>
      </c>
      <c r="E39" s="45">
        <v>207140513.99</v>
      </c>
      <c r="F39" s="58">
        <f>E39+合并利润表!C28</f>
        <v>201102435.77651</v>
      </c>
      <c r="G39" s="47"/>
      <c r="H39" s="47"/>
      <c r="K39" s="47"/>
      <c r="L39" s="24" t="s">
        <v>1651</v>
      </c>
      <c r="M39" s="24">
        <v>13232276.08</v>
      </c>
      <c r="N39" s="24">
        <v>13232276.08</v>
      </c>
      <c r="O39" s="24" t="s">
        <v>1456</v>
      </c>
      <c r="P39" s="24">
        <v>229189949.17</v>
      </c>
      <c r="Q39" s="24">
        <v>199484728.85</v>
      </c>
    </row>
    <row r="40" ht="18" customHeight="1" spans="1:17">
      <c r="A40" s="40" t="s">
        <v>178</v>
      </c>
      <c r="B40" s="46">
        <v>0</v>
      </c>
      <c r="C40" s="20">
        <v>0</v>
      </c>
      <c r="D40" s="49" t="s">
        <v>183</v>
      </c>
      <c r="E40" s="45">
        <v>3006884.16</v>
      </c>
      <c r="F40" s="58">
        <f>E40+合并利润表!C27</f>
        <v>2819345.79349</v>
      </c>
      <c r="H40" s="47"/>
      <c r="L40" s="24" t="s">
        <v>1652</v>
      </c>
      <c r="M40" s="24">
        <v>0</v>
      </c>
      <c r="N40" s="24">
        <v>0</v>
      </c>
      <c r="P40" s="24">
        <v>0</v>
      </c>
      <c r="Q40" s="24">
        <v>0</v>
      </c>
    </row>
    <row r="41" ht="18" customHeight="1" spans="1:17">
      <c r="A41" s="40" t="s">
        <v>180</v>
      </c>
      <c r="B41" s="54">
        <v>6070777.76</v>
      </c>
      <c r="C41" s="54">
        <v>6070777.76</v>
      </c>
      <c r="D41" s="41" t="s">
        <v>1456</v>
      </c>
      <c r="E41" s="16">
        <f>E39+E40</f>
        <v>210147398.15</v>
      </c>
      <c r="F41" s="58">
        <f>F39+F40</f>
        <v>203921781.57</v>
      </c>
      <c r="G41" s="59">
        <f>F41-E41-合并利润表!C26</f>
        <v>-1.30385160446167e-8</v>
      </c>
      <c r="L41" s="24" t="s">
        <v>1653</v>
      </c>
      <c r="M41" s="24">
        <v>0</v>
      </c>
      <c r="N41" s="24">
        <v>0</v>
      </c>
      <c r="P41" s="24">
        <v>0</v>
      </c>
      <c r="Q41" s="24">
        <v>0</v>
      </c>
    </row>
    <row r="42" ht="18" customHeight="1" spans="1:17">
      <c r="A42" s="40" t="s">
        <v>182</v>
      </c>
      <c r="B42" s="46">
        <v>308214.2</v>
      </c>
      <c r="C42" s="20">
        <v>211469.55</v>
      </c>
      <c r="D42" s="41" t="s">
        <v>1654</v>
      </c>
      <c r="E42" s="45">
        <v>0</v>
      </c>
      <c r="F42" s="60">
        <v>0</v>
      </c>
      <c r="L42" s="24" t="s">
        <v>1655</v>
      </c>
      <c r="M42" s="24">
        <v>235655.71</v>
      </c>
      <c r="N42" s="24">
        <v>235655.71</v>
      </c>
      <c r="O42" s="24" t="s">
        <v>1654</v>
      </c>
      <c r="P42" s="24">
        <v>0</v>
      </c>
      <c r="Q42" s="24">
        <v>0</v>
      </c>
    </row>
    <row r="43" ht="18" customHeight="1" spans="1:17">
      <c r="A43" s="40" t="s">
        <v>184</v>
      </c>
      <c r="B43" s="46">
        <v>85808.95</v>
      </c>
      <c r="C43" s="20">
        <v>85808.95</v>
      </c>
      <c r="D43" s="49"/>
      <c r="E43" s="45">
        <v>0</v>
      </c>
      <c r="F43" s="23">
        <v>0</v>
      </c>
      <c r="L43" s="24" t="s">
        <v>1656</v>
      </c>
      <c r="M43" s="24">
        <v>85808.95</v>
      </c>
      <c r="N43" s="24">
        <v>85808.95</v>
      </c>
      <c r="P43" s="24">
        <v>0</v>
      </c>
      <c r="Q43" s="24">
        <v>0</v>
      </c>
    </row>
    <row r="44" ht="18" customHeight="1" spans="1:17">
      <c r="A44" s="40" t="s">
        <v>186</v>
      </c>
      <c r="B44" s="46">
        <v>1491068.68</v>
      </c>
      <c r="C44" s="20">
        <v>309667.73</v>
      </c>
      <c r="D44" s="41" t="s">
        <v>1654</v>
      </c>
      <c r="E44" s="45">
        <v>0</v>
      </c>
      <c r="F44" s="23">
        <v>0</v>
      </c>
      <c r="L44" s="24" t="s">
        <v>1657</v>
      </c>
      <c r="M44" s="24">
        <v>0</v>
      </c>
      <c r="N44" s="24">
        <v>0</v>
      </c>
      <c r="O44" s="24" t="s">
        <v>1654</v>
      </c>
      <c r="P44" s="24">
        <v>0</v>
      </c>
      <c r="Q44" s="24">
        <v>0</v>
      </c>
    </row>
    <row r="45" ht="18" customHeight="1" spans="1:17">
      <c r="A45" s="40" t="s">
        <v>187</v>
      </c>
      <c r="B45" s="54">
        <f>B33+B34+B39+B41+B42+B43+B44</f>
        <v>182186921.35</v>
      </c>
      <c r="C45" s="54">
        <f>C33+C34+C39+C41+C42+C43+C44</f>
        <v>190655886.62</v>
      </c>
      <c r="D45" s="41" t="s">
        <v>1658</v>
      </c>
      <c r="E45" s="51">
        <v>0</v>
      </c>
      <c r="F45" s="23">
        <v>0</v>
      </c>
      <c r="L45" s="24" t="s">
        <v>187</v>
      </c>
      <c r="M45" s="24">
        <v>209799117.09</v>
      </c>
      <c r="N45" s="24">
        <v>209718135.42</v>
      </c>
      <c r="O45" s="24" t="s">
        <v>1658</v>
      </c>
      <c r="P45" s="24">
        <v>0</v>
      </c>
      <c r="Q45" s="24">
        <v>0</v>
      </c>
    </row>
    <row r="46" ht="24" spans="1:17">
      <c r="A46" s="40" t="s">
        <v>188</v>
      </c>
      <c r="B46" s="53">
        <f>B45+B24</f>
        <v>341605107.79</v>
      </c>
      <c r="C46" s="53">
        <f>C45+C24</f>
        <v>359268375.5</v>
      </c>
      <c r="D46" s="41" t="s">
        <v>189</v>
      </c>
      <c r="E46" s="16">
        <f>E41+E32</f>
        <v>341605107.79</v>
      </c>
      <c r="F46" s="16">
        <f>F41+F32</f>
        <v>359268375.5</v>
      </c>
      <c r="G46" s="61">
        <f>E32/B46</f>
        <v>0.38482360667983</v>
      </c>
      <c r="H46" s="61">
        <f>F32/C46</f>
        <v>0.432397072839493</v>
      </c>
      <c r="I46" s="61">
        <f>H46-G46</f>
        <v>0.0475734661596631</v>
      </c>
      <c r="L46" s="24" t="s">
        <v>188</v>
      </c>
      <c r="M46" s="24">
        <v>381360975.36</v>
      </c>
      <c r="N46" s="24">
        <v>385073978.88</v>
      </c>
      <c r="O46" s="24" t="s">
        <v>189</v>
      </c>
      <c r="P46" s="24">
        <v>352230572.74</v>
      </c>
      <c r="Q46" s="24">
        <v>349063075.21</v>
      </c>
    </row>
    <row r="47" ht="15" customHeight="1" spans="1:17">
      <c r="A47" s="62" t="s">
        <v>103</v>
      </c>
      <c r="B47" s="22" t="s">
        <v>101</v>
      </c>
      <c r="C47" s="22" t="s">
        <v>102</v>
      </c>
      <c r="D47" s="63"/>
      <c r="E47" s="22"/>
      <c r="F47" s="23"/>
    </row>
    <row r="48" spans="1:17">
      <c r="A48" s="24" t="s">
        <v>105</v>
      </c>
    </row>
    <row r="49" spans="1:6">
      <c r="A49" s="24" t="s">
        <v>107</v>
      </c>
      <c r="B49" s="44">
        <v>40000000</v>
      </c>
      <c r="C49" s="44">
        <v>37000000</v>
      </c>
      <c r="E49" s="59">
        <f>B46-E46</f>
        <v>0</v>
      </c>
      <c r="F49" s="59">
        <f>F46-C46</f>
        <v>0</v>
      </c>
    </row>
    <row r="50" spans="1:6">
      <c r="A50" s="24" t="s">
        <v>109</v>
      </c>
      <c r="B50" s="2">
        <v>0</v>
      </c>
      <c r="C50" s="2">
        <v>0</v>
      </c>
    </row>
    <row r="51" spans="1:6">
      <c r="A51" s="24" t="s">
        <v>111</v>
      </c>
      <c r="B51" s="2">
        <v>0</v>
      </c>
      <c r="C51" s="2">
        <v>0</v>
      </c>
    </row>
    <row r="52" spans="1:6">
      <c r="A52" s="24" t="s">
        <v>113</v>
      </c>
      <c r="B52" s="2">
        <v>44598131.71</v>
      </c>
      <c r="C52" s="2">
        <v>39998021.04</v>
      </c>
      <c r="D52" s="47"/>
    </row>
    <row r="53" spans="1:6">
      <c r="A53" s="24" t="s">
        <v>115</v>
      </c>
      <c r="B53" s="2">
        <v>592785.84</v>
      </c>
      <c r="C53" s="2">
        <v>2413545.07</v>
      </c>
    </row>
    <row r="54" spans="1:6">
      <c r="A54" s="24" t="s">
        <v>118</v>
      </c>
      <c r="B54" s="2">
        <v>2639525.61</v>
      </c>
      <c r="C54" s="2">
        <v>2264681.52</v>
      </c>
    </row>
    <row r="55" spans="1:6">
      <c r="A55" s="24" t="s">
        <v>120</v>
      </c>
      <c r="B55" s="2">
        <v>425671.389999999</v>
      </c>
      <c r="C55" s="2">
        <v>-5005642.5</v>
      </c>
    </row>
    <row r="56" spans="1:6">
      <c r="A56" s="24" t="s">
        <v>122</v>
      </c>
    </row>
    <row r="57" spans="1:6">
      <c r="A57" s="24" t="s">
        <v>124</v>
      </c>
      <c r="B57" s="2">
        <v>0</v>
      </c>
      <c r="C57" s="2">
        <v>0</v>
      </c>
    </row>
    <row r="58" spans="1:6">
      <c r="A58" s="24" t="s">
        <v>126</v>
      </c>
      <c r="B58" s="2">
        <v>32037389.83</v>
      </c>
      <c r="C58" s="2">
        <v>1865839.14</v>
      </c>
    </row>
    <row r="59" spans="1:6">
      <c r="A59" s="24" t="s">
        <v>128</v>
      </c>
      <c r="B59" s="2">
        <v>4439663.74</v>
      </c>
      <c r="C59" s="2">
        <v>4499707.64</v>
      </c>
    </row>
    <row r="60" spans="1:6">
      <c r="A60" s="24" t="s">
        <v>157</v>
      </c>
      <c r="B60" s="2">
        <v>1945941.16</v>
      </c>
      <c r="C60" s="2">
        <v>1945941.16</v>
      </c>
    </row>
    <row r="61" spans="1:6">
      <c r="B61" s="2">
        <v>0</v>
      </c>
      <c r="C61" s="2">
        <v>0</v>
      </c>
    </row>
    <row r="62" spans="1:6">
      <c r="B62" s="2">
        <v>0</v>
      </c>
      <c r="C62" s="2">
        <v>0</v>
      </c>
    </row>
    <row r="63" spans="1:6">
      <c r="B63" s="2">
        <v>0</v>
      </c>
      <c r="C63" s="2">
        <v>0</v>
      </c>
    </row>
    <row r="64" spans="1:6">
      <c r="B64" s="2">
        <v>0</v>
      </c>
      <c r="C64" s="2">
        <v>0</v>
      </c>
    </row>
    <row r="65" spans="1:3">
      <c r="A65" s="24" t="s">
        <v>142</v>
      </c>
      <c r="B65" s="2">
        <v>126679109.28</v>
      </c>
      <c r="C65" s="2">
        <v>84982093.07</v>
      </c>
    </row>
    <row r="66" spans="1:3">
      <c r="A66" s="24" t="s">
        <v>144</v>
      </c>
      <c r="B66" s="2">
        <v>0</v>
      </c>
      <c r="C66" s="2">
        <v>0</v>
      </c>
    </row>
    <row r="67" spans="1:3">
      <c r="A67" s="24" t="s">
        <v>147</v>
      </c>
      <c r="B67" s="2">
        <v>0</v>
      </c>
      <c r="C67" s="2">
        <v>66440000</v>
      </c>
    </row>
    <row r="68" spans="1:3">
      <c r="A68" s="24" t="s">
        <v>149</v>
      </c>
      <c r="B68" s="2">
        <v>0</v>
      </c>
      <c r="C68" s="2">
        <v>0</v>
      </c>
    </row>
    <row r="69" spans="1:3">
      <c r="A69" s="24" t="s">
        <v>151</v>
      </c>
      <c r="B69" s="2">
        <v>4778600.36</v>
      </c>
      <c r="C69" s="2">
        <v>3924500.86</v>
      </c>
    </row>
    <row r="70" spans="1:3">
      <c r="A70" s="24" t="s">
        <v>153</v>
      </c>
      <c r="B70" s="2">
        <v>0</v>
      </c>
      <c r="C70" s="2">
        <v>0</v>
      </c>
    </row>
    <row r="71" spans="1:3">
      <c r="A71" s="24" t="s">
        <v>155</v>
      </c>
      <c r="B71" s="2">
        <v>0</v>
      </c>
      <c r="C71" s="2">
        <v>0</v>
      </c>
    </row>
    <row r="72" spans="1:3">
      <c r="A72" s="24" t="s">
        <v>159</v>
      </c>
      <c r="B72" s="2">
        <v>0</v>
      </c>
      <c r="C72" s="2">
        <v>0</v>
      </c>
    </row>
    <row r="73" spans="1:3">
      <c r="A73" s="24" t="s">
        <v>162</v>
      </c>
      <c r="B73" s="2">
        <v>0</v>
      </c>
      <c r="C73" s="2">
        <v>0</v>
      </c>
    </row>
    <row r="74" spans="1:3">
      <c r="A74" s="24" t="s">
        <v>165</v>
      </c>
      <c r="B74" s="2">
        <v>4778600.36</v>
      </c>
      <c r="C74" s="2">
        <v>70364500.86</v>
      </c>
    </row>
    <row r="75" spans="1:3">
      <c r="A75" s="24" t="s">
        <v>167</v>
      </c>
      <c r="B75" s="2">
        <v>131457709.64</v>
      </c>
      <c r="C75" s="2">
        <v>155346593.93</v>
      </c>
    </row>
    <row r="76" spans="1:3">
      <c r="A76" s="24" t="s">
        <v>169</v>
      </c>
      <c r="B76" s="2">
        <v>0</v>
      </c>
      <c r="C76" s="2">
        <v>0</v>
      </c>
    </row>
    <row r="77" spans="1:3">
      <c r="A77" s="24" t="s">
        <v>171</v>
      </c>
      <c r="B77" s="2">
        <v>236560000</v>
      </c>
      <c r="C77" s="2">
        <v>236560000</v>
      </c>
    </row>
    <row r="78" spans="1:3">
      <c r="A78" s="24" t="s">
        <v>173</v>
      </c>
      <c r="B78" s="2">
        <v>18901344.33</v>
      </c>
      <c r="C78" s="2">
        <v>18901344.33</v>
      </c>
    </row>
    <row r="79" spans="1:3">
      <c r="A79" s="24" t="s">
        <v>175</v>
      </c>
      <c r="B79" s="2">
        <v>0</v>
      </c>
      <c r="C79" s="2">
        <v>0</v>
      </c>
    </row>
    <row r="80" spans="1:3">
      <c r="A80" s="24" t="s">
        <v>177</v>
      </c>
      <c r="B80" s="2">
        <v>0</v>
      </c>
      <c r="C80" s="2">
        <v>0</v>
      </c>
    </row>
    <row r="81" spans="1:3">
      <c r="A81" s="24" t="s">
        <v>179</v>
      </c>
      <c r="B81" s="2">
        <v>-48320830.34</v>
      </c>
      <c r="C81" s="2">
        <v>-54358908.55349</v>
      </c>
    </row>
    <row r="82" spans="1:3">
      <c r="A82" s="24" t="s">
        <v>181</v>
      </c>
      <c r="B82" s="2">
        <v>207140513.99</v>
      </c>
      <c r="C82" s="2">
        <v>201102435.77651</v>
      </c>
    </row>
    <row r="83" spans="1:3">
      <c r="A83" s="24" t="s">
        <v>183</v>
      </c>
      <c r="B83" s="2">
        <v>3006884.16</v>
      </c>
      <c r="C83" s="2">
        <v>2819345.79349</v>
      </c>
    </row>
    <row r="84" spans="1:3">
      <c r="A84" s="24" t="s">
        <v>185</v>
      </c>
      <c r="B84" s="2">
        <v>210147398.15</v>
      </c>
      <c r="C84" s="2">
        <v>203921781.57</v>
      </c>
    </row>
    <row r="85" spans="1:3">
      <c r="B85" s="2">
        <v>0</v>
      </c>
      <c r="C85" s="2">
        <v>0</v>
      </c>
    </row>
    <row r="86" spans="1:3">
      <c r="B86" s="2">
        <v>0</v>
      </c>
      <c r="C86" s="2">
        <v>0</v>
      </c>
    </row>
    <row r="87" spans="1:3">
      <c r="B87" s="2">
        <v>0</v>
      </c>
      <c r="C87" s="2">
        <v>0</v>
      </c>
    </row>
    <row r="88" spans="1:3">
      <c r="B88" s="2">
        <v>0</v>
      </c>
      <c r="C88" s="2">
        <v>0</v>
      </c>
    </row>
    <row r="89" spans="1:3">
      <c r="A89" s="24" t="s">
        <v>189</v>
      </c>
      <c r="B89" s="2">
        <v>341605107.79</v>
      </c>
      <c r="C89" s="2">
        <v>359268375.5</v>
      </c>
    </row>
  </sheetData>
  <mergeCells count="2">
    <mergeCell ref="A1:F1"/>
    <mergeCell ref="A3:B3"/>
  </mergeCells>
  <pageMargins left="0.25" right="0.25" top="0.75" bottom="0.75" header="0.3" footer="0.3"/>
  <pageSetup paperSize="9" scale="89" orientation="portrait"/>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J32"/>
  <sheetViews>
    <sheetView view="pageBreakPreview" zoomScaleNormal="100" workbookViewId="0">
      <pane xSplit="1" ySplit="4" topLeftCell="B8" activePane="bottomRight" state="frozen"/>
      <selection/>
      <selection pane="topRight"/>
      <selection pane="bottomLeft"/>
      <selection pane="bottomRight" activeCell="Y20" sqref="Y20"/>
    </sheetView>
  </sheetViews>
  <sheetFormatPr defaultColWidth="8.25" defaultRowHeight="14.25"/>
  <cols>
    <col min="1" max="1" width="37.375" style="1" customWidth="1"/>
    <col min="2" max="2" width="41.125" style="2" customWidth="1"/>
    <col min="3" max="3" width="21.625" style="2" customWidth="1"/>
    <col min="4" max="4" width="9.625" style="3" customWidth="1"/>
    <col min="5" max="5" width="15.75" style="3" customWidth="1"/>
    <col min="6" max="7" width="14.75" style="1" customWidth="1"/>
    <col min="8" max="8" width="11.75" style="1" customWidth="1"/>
    <col min="9" max="9" width="14.125" style="1" customWidth="1"/>
    <col min="10" max="10" width="9.625" style="1" customWidth="1"/>
    <col min="11" max="11" width="11.625" style="1" customWidth="1"/>
    <col min="12" max="235" width="8.25" style="1"/>
    <col min="236" max="236" width="45.375" style="1" customWidth="1"/>
    <col min="237" max="238" width="21.625" style="1" customWidth="1"/>
    <col min="239" max="491" width="8.25" style="1"/>
    <col min="492" max="492" width="45.375" style="1" customWidth="1"/>
    <col min="493" max="494" width="21.625" style="1" customWidth="1"/>
    <col min="495" max="747" width="8.25" style="1"/>
    <col min="748" max="748" width="45.375" style="1" customWidth="1"/>
    <col min="749" max="750" width="21.625" style="1" customWidth="1"/>
    <col min="751" max="1003" width="8.25" style="1"/>
    <col min="1004" max="1004" width="45.375" style="1" customWidth="1"/>
    <col min="1005" max="1006" width="21.625" style="1" customWidth="1"/>
    <col min="1007" max="1259" width="8.25" style="1"/>
    <col min="1260" max="1260" width="45.375" style="1" customWidth="1"/>
    <col min="1261" max="1262" width="21.625" style="1" customWidth="1"/>
    <col min="1263" max="1515" width="8.25" style="1"/>
    <col min="1516" max="1516" width="45.375" style="1" customWidth="1"/>
    <col min="1517" max="1518" width="21.625" style="1" customWidth="1"/>
    <col min="1519" max="1771" width="8.25" style="1"/>
    <col min="1772" max="1772" width="45.375" style="1" customWidth="1"/>
    <col min="1773" max="1774" width="21.625" style="1" customWidth="1"/>
    <col min="1775" max="2027" width="8.25" style="1"/>
    <col min="2028" max="2028" width="45.375" style="1" customWidth="1"/>
    <col min="2029" max="2030" width="21.625" style="1" customWidth="1"/>
    <col min="2031" max="2283" width="8.25" style="1"/>
    <col min="2284" max="2284" width="45.375" style="1" customWidth="1"/>
    <col min="2285" max="2286" width="21.625" style="1" customWidth="1"/>
    <col min="2287" max="2539" width="8.25" style="1"/>
    <col min="2540" max="2540" width="45.375" style="1" customWidth="1"/>
    <col min="2541" max="2542" width="21.625" style="1" customWidth="1"/>
    <col min="2543" max="2795" width="8.25" style="1"/>
    <col min="2796" max="2796" width="45.375" style="1" customWidth="1"/>
    <col min="2797" max="2798" width="21.625" style="1" customWidth="1"/>
    <col min="2799" max="3051" width="8.25" style="1"/>
    <col min="3052" max="3052" width="45.375" style="1" customWidth="1"/>
    <col min="3053" max="3054" width="21.625" style="1" customWidth="1"/>
    <col min="3055" max="3307" width="8.25" style="1"/>
    <col min="3308" max="3308" width="45.375" style="1" customWidth="1"/>
    <col min="3309" max="3310" width="21.625" style="1" customWidth="1"/>
    <col min="3311" max="3563" width="8.25" style="1"/>
    <col min="3564" max="3564" width="45.375" style="1" customWidth="1"/>
    <col min="3565" max="3566" width="21.625" style="1" customWidth="1"/>
    <col min="3567" max="3819" width="8.25" style="1"/>
    <col min="3820" max="3820" width="45.375" style="1" customWidth="1"/>
    <col min="3821" max="3822" width="21.625" style="1" customWidth="1"/>
    <col min="3823" max="4075" width="8.25" style="1"/>
    <col min="4076" max="4076" width="45.375" style="1" customWidth="1"/>
    <col min="4077" max="4078" width="21.625" style="1" customWidth="1"/>
    <col min="4079" max="4331" width="8.25" style="1"/>
    <col min="4332" max="4332" width="45.375" style="1" customWidth="1"/>
    <col min="4333" max="4334" width="21.625" style="1" customWidth="1"/>
    <col min="4335" max="4587" width="8.25" style="1"/>
    <col min="4588" max="4588" width="45.375" style="1" customWidth="1"/>
    <col min="4589" max="4590" width="21.625" style="1" customWidth="1"/>
    <col min="4591" max="4843" width="8.25" style="1"/>
    <col min="4844" max="4844" width="45.375" style="1" customWidth="1"/>
    <col min="4845" max="4846" width="21.625" style="1" customWidth="1"/>
    <col min="4847" max="5099" width="8.25" style="1"/>
    <col min="5100" max="5100" width="45.375" style="1" customWidth="1"/>
    <col min="5101" max="5102" width="21.625" style="1" customWidth="1"/>
    <col min="5103" max="5355" width="8.25" style="1"/>
    <col min="5356" max="5356" width="45.375" style="1" customWidth="1"/>
    <col min="5357" max="5358" width="21.625" style="1" customWidth="1"/>
    <col min="5359" max="5611" width="8.25" style="1"/>
    <col min="5612" max="5612" width="45.375" style="1" customWidth="1"/>
    <col min="5613" max="5614" width="21.625" style="1" customWidth="1"/>
    <col min="5615" max="5867" width="8.25" style="1"/>
    <col min="5868" max="5868" width="45.375" style="1" customWidth="1"/>
    <col min="5869" max="5870" width="21.625" style="1" customWidth="1"/>
    <col min="5871" max="6123" width="8.25" style="1"/>
    <col min="6124" max="6124" width="45.375" style="1" customWidth="1"/>
    <col min="6125" max="6126" width="21.625" style="1" customWidth="1"/>
    <col min="6127" max="6379" width="8.25" style="1"/>
    <col min="6380" max="6380" width="45.375" style="1" customWidth="1"/>
    <col min="6381" max="6382" width="21.625" style="1" customWidth="1"/>
    <col min="6383" max="6635" width="8.25" style="1"/>
    <col min="6636" max="6636" width="45.375" style="1" customWidth="1"/>
    <col min="6637" max="6638" width="21.625" style="1" customWidth="1"/>
    <col min="6639" max="6891" width="8.25" style="1"/>
    <col min="6892" max="6892" width="45.375" style="1" customWidth="1"/>
    <col min="6893" max="6894" width="21.625" style="1" customWidth="1"/>
    <col min="6895" max="7147" width="8.25" style="1"/>
    <col min="7148" max="7148" width="45.375" style="1" customWidth="1"/>
    <col min="7149" max="7150" width="21.625" style="1" customWidth="1"/>
    <col min="7151" max="7403" width="8.25" style="1"/>
    <col min="7404" max="7404" width="45.375" style="1" customWidth="1"/>
    <col min="7405" max="7406" width="21.625" style="1" customWidth="1"/>
    <col min="7407" max="7659" width="8.25" style="1"/>
    <col min="7660" max="7660" width="45.375" style="1" customWidth="1"/>
    <col min="7661" max="7662" width="21.625" style="1" customWidth="1"/>
    <col min="7663" max="7915" width="8.25" style="1"/>
    <col min="7916" max="7916" width="45.375" style="1" customWidth="1"/>
    <col min="7917" max="7918" width="21.625" style="1" customWidth="1"/>
    <col min="7919" max="8171" width="8.25" style="1"/>
    <col min="8172" max="8172" width="45.375" style="1" customWidth="1"/>
    <col min="8173" max="8174" width="21.625" style="1" customWidth="1"/>
    <col min="8175" max="8427" width="8.25" style="1"/>
    <col min="8428" max="8428" width="45.375" style="1" customWidth="1"/>
    <col min="8429" max="8430" width="21.625" style="1" customWidth="1"/>
    <col min="8431" max="8683" width="8.25" style="1"/>
    <col min="8684" max="8684" width="45.375" style="1" customWidth="1"/>
    <col min="8685" max="8686" width="21.625" style="1" customWidth="1"/>
    <col min="8687" max="8939" width="8.25" style="1"/>
    <col min="8940" max="8940" width="45.375" style="1" customWidth="1"/>
    <col min="8941" max="8942" width="21.625" style="1" customWidth="1"/>
    <col min="8943" max="9195" width="8.25" style="1"/>
    <col min="9196" max="9196" width="45.375" style="1" customWidth="1"/>
    <col min="9197" max="9198" width="21.625" style="1" customWidth="1"/>
    <col min="9199" max="9451" width="8.25" style="1"/>
    <col min="9452" max="9452" width="45.375" style="1" customWidth="1"/>
    <col min="9453" max="9454" width="21.625" style="1" customWidth="1"/>
    <col min="9455" max="9707" width="8.25" style="1"/>
    <col min="9708" max="9708" width="45.375" style="1" customWidth="1"/>
    <col min="9709" max="9710" width="21.625" style="1" customWidth="1"/>
    <col min="9711" max="9963" width="8.25" style="1"/>
    <col min="9964" max="9964" width="45.375" style="1" customWidth="1"/>
    <col min="9965" max="9966" width="21.625" style="1" customWidth="1"/>
    <col min="9967" max="10219" width="8.25" style="1"/>
    <col min="10220" max="10220" width="45.375" style="1" customWidth="1"/>
    <col min="10221" max="10222" width="21.625" style="1" customWidth="1"/>
    <col min="10223" max="10475" width="8.25" style="1"/>
    <col min="10476" max="10476" width="45.375" style="1" customWidth="1"/>
    <col min="10477" max="10478" width="21.625" style="1" customWidth="1"/>
    <col min="10479" max="10731" width="8.25" style="1"/>
    <col min="10732" max="10732" width="45.375" style="1" customWidth="1"/>
    <col min="10733" max="10734" width="21.625" style="1" customWidth="1"/>
    <col min="10735" max="10987" width="8.25" style="1"/>
    <col min="10988" max="10988" width="45.375" style="1" customWidth="1"/>
    <col min="10989" max="10990" width="21.625" style="1" customWidth="1"/>
    <col min="10991" max="11243" width="8.25" style="1"/>
    <col min="11244" max="11244" width="45.375" style="1" customWidth="1"/>
    <col min="11245" max="11246" width="21.625" style="1" customWidth="1"/>
    <col min="11247" max="11499" width="8.25" style="1"/>
    <col min="11500" max="11500" width="45.375" style="1" customWidth="1"/>
    <col min="11501" max="11502" width="21.625" style="1" customWidth="1"/>
    <col min="11503" max="11755" width="8.25" style="1"/>
    <col min="11756" max="11756" width="45.375" style="1" customWidth="1"/>
    <col min="11757" max="11758" width="21.625" style="1" customWidth="1"/>
    <col min="11759" max="12011" width="8.25" style="1"/>
    <col min="12012" max="12012" width="45.375" style="1" customWidth="1"/>
    <col min="12013" max="12014" width="21.625" style="1" customWidth="1"/>
    <col min="12015" max="12267" width="8.25" style="1"/>
    <col min="12268" max="12268" width="45.375" style="1" customWidth="1"/>
    <col min="12269" max="12270" width="21.625" style="1" customWidth="1"/>
    <col min="12271" max="12523" width="8.25" style="1"/>
    <col min="12524" max="12524" width="45.375" style="1" customWidth="1"/>
    <col min="12525" max="12526" width="21.625" style="1" customWidth="1"/>
    <col min="12527" max="12779" width="8.25" style="1"/>
    <col min="12780" max="12780" width="45.375" style="1" customWidth="1"/>
    <col min="12781" max="12782" width="21.625" style="1" customWidth="1"/>
    <col min="12783" max="13035" width="8.25" style="1"/>
    <col min="13036" max="13036" width="45.375" style="1" customWidth="1"/>
    <col min="13037" max="13038" width="21.625" style="1" customWidth="1"/>
    <col min="13039" max="13291" width="8.25" style="1"/>
    <col min="13292" max="13292" width="45.375" style="1" customWidth="1"/>
    <col min="13293" max="13294" width="21.625" style="1" customWidth="1"/>
    <col min="13295" max="13547" width="8.25" style="1"/>
    <col min="13548" max="13548" width="45.375" style="1" customWidth="1"/>
    <col min="13549" max="13550" width="21.625" style="1" customWidth="1"/>
    <col min="13551" max="13803" width="8.25" style="1"/>
    <col min="13804" max="13804" width="45.375" style="1" customWidth="1"/>
    <col min="13805" max="13806" width="21.625" style="1" customWidth="1"/>
    <col min="13807" max="14059" width="8.25" style="1"/>
    <col min="14060" max="14060" width="45.375" style="1" customWidth="1"/>
    <col min="14061" max="14062" width="21.625" style="1" customWidth="1"/>
    <col min="14063" max="14315" width="8.25" style="1"/>
    <col min="14316" max="14316" width="45.375" style="1" customWidth="1"/>
    <col min="14317" max="14318" width="21.625" style="1" customWidth="1"/>
    <col min="14319" max="14571" width="8.25" style="1"/>
    <col min="14572" max="14572" width="45.375" style="1" customWidth="1"/>
    <col min="14573" max="14574" width="21.625" style="1" customWidth="1"/>
    <col min="14575" max="14827" width="8.25" style="1"/>
    <col min="14828" max="14828" width="45.375" style="1" customWidth="1"/>
    <col min="14829" max="14830" width="21.625" style="1" customWidth="1"/>
    <col min="14831" max="15083" width="8.25" style="1"/>
    <col min="15084" max="15084" width="45.375" style="1" customWidth="1"/>
    <col min="15085" max="15086" width="21.625" style="1" customWidth="1"/>
    <col min="15087" max="15339" width="8.25" style="1"/>
    <col min="15340" max="15340" width="45.375" style="1" customWidth="1"/>
    <col min="15341" max="15342" width="21.625" style="1" customWidth="1"/>
    <col min="15343" max="15595" width="8.25" style="1"/>
    <col min="15596" max="15596" width="45.375" style="1" customWidth="1"/>
    <col min="15597" max="15598" width="21.625" style="1" customWidth="1"/>
    <col min="15599" max="15851" width="8.25" style="1"/>
    <col min="15852" max="15852" width="45.375" style="1" customWidth="1"/>
    <col min="15853" max="15854" width="21.625" style="1" customWidth="1"/>
    <col min="15855" max="16107" width="8.25" style="1"/>
    <col min="16108" max="16108" width="45.375" style="1" customWidth="1"/>
    <col min="16109" max="16110" width="21.625" style="1" customWidth="1"/>
    <col min="16111" max="16384" width="8.25" style="1"/>
  </cols>
  <sheetData>
    <row r="1" ht="45" customHeight="1" spans="1:10">
      <c r="A1" s="4" t="s">
        <v>1659</v>
      </c>
      <c r="B1" s="5"/>
      <c r="C1" s="6"/>
    </row>
    <row r="2" ht="36.95" customHeight="1" spans="1:10">
      <c r="A2" s="7"/>
      <c r="B2" s="8"/>
      <c r="C2" s="9" t="s">
        <v>1660</v>
      </c>
    </row>
    <row r="3" ht="33" customHeight="1" spans="1:10">
      <c r="A3" s="10" t="s">
        <v>98</v>
      </c>
      <c r="B3" s="11">
        <v>44316</v>
      </c>
      <c r="C3" s="12" t="s">
        <v>1661</v>
      </c>
    </row>
    <row r="4" ht="39.95" customHeight="1" spans="1:10">
      <c r="A4" s="13" t="s">
        <v>284</v>
      </c>
      <c r="B4" s="14" t="s">
        <v>286</v>
      </c>
      <c r="C4" s="14" t="s">
        <v>287</v>
      </c>
    </row>
    <row r="5" ht="26.1" customHeight="1" spans="1:10">
      <c r="A5" s="15" t="s">
        <v>612</v>
      </c>
      <c r="B5" s="16">
        <f>SUM(B6:B7)</f>
        <v>2845661.06</v>
      </c>
      <c r="C5" s="16">
        <f>SUM(C6:C7)</f>
        <v>16062838.88</v>
      </c>
    </row>
    <row r="6" ht="26.1" customHeight="1" spans="1:10">
      <c r="A6" s="15" t="s">
        <v>1233</v>
      </c>
      <c r="B6" s="17">
        <v>2831749.06</v>
      </c>
      <c r="C6" s="17">
        <v>15713513.78</v>
      </c>
    </row>
    <row r="7" ht="26.1" customHeight="1" spans="1:10">
      <c r="A7" s="15" t="s">
        <v>823</v>
      </c>
      <c r="B7" s="17">
        <v>13912</v>
      </c>
      <c r="C7" s="17">
        <v>349325.1</v>
      </c>
    </row>
    <row r="8" ht="26.1" customHeight="1" spans="1:10">
      <c r="A8" s="15" t="s">
        <v>613</v>
      </c>
      <c r="B8" s="16">
        <f>SUM(B9:B10)</f>
        <v>2577127.86</v>
      </c>
      <c r="C8" s="16">
        <f>SUM(C9:C10)</f>
        <v>11001977.01</v>
      </c>
      <c r="D8" s="3">
        <f>(B5-B8)/B5</f>
        <v>0.0943658413064837</v>
      </c>
      <c r="E8" s="3">
        <f>(C5-C8)/C5</f>
        <v>0.315066465386846</v>
      </c>
      <c r="J8" s="18">
        <f>(C6-C9)/C6</f>
        <v>0.309924599817928</v>
      </c>
    </row>
    <row r="9" ht="26.1" customHeight="1" spans="1:10">
      <c r="A9" s="15" t="s">
        <v>1234</v>
      </c>
      <c r="B9" s="19">
        <f>2698871.04-168160</f>
        <v>2530711.04</v>
      </c>
      <c r="C9" s="19">
        <f>11011669.31-168160</f>
        <v>10843509.31</v>
      </c>
    </row>
    <row r="10" ht="26.1" customHeight="1" spans="1:10">
      <c r="A10" s="15" t="s">
        <v>824</v>
      </c>
      <c r="B10" s="17">
        <v>46416.82</v>
      </c>
      <c r="C10" s="17">
        <v>158467.7</v>
      </c>
    </row>
    <row r="11" ht="26.1" customHeight="1" spans="1:10">
      <c r="A11" s="15" t="s">
        <v>1662</v>
      </c>
      <c r="B11" s="17">
        <v>40527.12</v>
      </c>
      <c r="C11" s="17">
        <v>185417.71</v>
      </c>
    </row>
    <row r="12" ht="26.1" customHeight="1" spans="1:10">
      <c r="A12" s="15" t="s">
        <v>826</v>
      </c>
      <c r="B12" s="17">
        <v>680561.09</v>
      </c>
      <c r="C12" s="17">
        <v>2047018.63</v>
      </c>
    </row>
    <row r="13" ht="26.1" customHeight="1" spans="1:10">
      <c r="A13" s="15" t="s">
        <v>825</v>
      </c>
      <c r="B13" s="17">
        <v>854138.14</v>
      </c>
      <c r="C13" s="17">
        <v>2989418.21</v>
      </c>
    </row>
    <row r="14" ht="26.1" customHeight="1" spans="1:10">
      <c r="A14" s="15" t="s">
        <v>827</v>
      </c>
      <c r="B14" s="17">
        <v>1245358.85</v>
      </c>
      <c r="C14" s="17">
        <v>4699514.06</v>
      </c>
    </row>
    <row r="15" ht="26.1" customHeight="1" spans="1:10">
      <c r="A15" s="15" t="s">
        <v>828</v>
      </c>
      <c r="B15" s="17">
        <v>143700.81</v>
      </c>
      <c r="C15" s="17">
        <v>1344525.28</v>
      </c>
    </row>
    <row r="16" ht="26.1" customHeight="1" spans="1:10">
      <c r="A16" s="15" t="s">
        <v>788</v>
      </c>
      <c r="B16" s="17">
        <v>0</v>
      </c>
      <c r="C16" s="17">
        <v>0</v>
      </c>
    </row>
    <row r="17" ht="26.1" customHeight="1" spans="1:9">
      <c r="A17" s="15" t="s">
        <v>1663</v>
      </c>
      <c r="B17" s="17">
        <v>0</v>
      </c>
      <c r="C17" s="17">
        <v>0</v>
      </c>
    </row>
    <row r="18" ht="26.1" customHeight="1" spans="1:9">
      <c r="A18" s="15" t="s">
        <v>1664</v>
      </c>
      <c r="B18" s="17">
        <v>15780.82</v>
      </c>
      <c r="C18" s="17">
        <v>15780.82</v>
      </c>
    </row>
    <row r="19" ht="26.1" customHeight="1" spans="1:9">
      <c r="A19" s="15" t="s">
        <v>1239</v>
      </c>
      <c r="B19" s="17">
        <v>0</v>
      </c>
      <c r="C19" s="17">
        <v>0</v>
      </c>
    </row>
    <row r="20" ht="26.1" customHeight="1" spans="1:9">
      <c r="A20" s="15" t="s">
        <v>1665</v>
      </c>
      <c r="B20" s="16">
        <f>B5-B8-B11-B12-B13-B14-B15-B16+B17+B18</f>
        <v>-2679971.99</v>
      </c>
      <c r="C20" s="16">
        <f>C5-C8-C11-C12-C13-C14-C15-C16+C17+C18</f>
        <v>-6189251.2</v>
      </c>
      <c r="E20" s="18">
        <f>C5-C8-C11-C12-C13-C15-C16</f>
        <v>-1505517.96</v>
      </c>
      <c r="F20" s="18">
        <f>B5-B8-B11-B12-B13-B15-B16</f>
        <v>-1450393.96</v>
      </c>
      <c r="G20" s="18">
        <f>B20-F20</f>
        <v>-1229578.03</v>
      </c>
      <c r="H20" s="1">
        <v>-2863912.81</v>
      </c>
    </row>
    <row r="21" ht="26.1" customHeight="1" spans="1:9">
      <c r="A21" s="15" t="s">
        <v>632</v>
      </c>
      <c r="B21" s="17">
        <v>28888</v>
      </c>
      <c r="C21" s="17">
        <v>65759.05</v>
      </c>
    </row>
    <row r="22" ht="26.1" customHeight="1" spans="1:9">
      <c r="A22" s="15" t="s">
        <v>633</v>
      </c>
      <c r="B22" s="17">
        <v>0</v>
      </c>
      <c r="C22" s="17">
        <v>350.52</v>
      </c>
    </row>
    <row r="23" ht="26.1" customHeight="1" spans="1:9">
      <c r="A23" s="15" t="s">
        <v>1241</v>
      </c>
      <c r="B23" s="17">
        <v>0</v>
      </c>
      <c r="C23" s="17">
        <v>0</v>
      </c>
    </row>
    <row r="24" ht="26.1" customHeight="1" spans="1:9">
      <c r="A24" s="15" t="s">
        <v>1666</v>
      </c>
      <c r="B24" s="16">
        <f>B20+B21-B22</f>
        <v>-2651083.99</v>
      </c>
      <c r="C24" s="16">
        <f>C20+C21-C22</f>
        <v>-6123842.67</v>
      </c>
      <c r="E24" s="18">
        <f>E20+C21-C22</f>
        <v>-1440109.43</v>
      </c>
    </row>
    <row r="25" ht="26.1" customHeight="1" spans="1:9">
      <c r="A25" s="15" t="s">
        <v>635</v>
      </c>
      <c r="B25" s="17"/>
      <c r="C25" s="17">
        <v>101773.91</v>
      </c>
    </row>
    <row r="26" ht="26.1" customHeight="1" spans="1:9">
      <c r="A26" s="15" t="s">
        <v>1667</v>
      </c>
      <c r="B26" s="16">
        <f>B24-B25</f>
        <v>-2651083.99</v>
      </c>
      <c r="C26" s="16">
        <f>C24-C25</f>
        <v>-6225616.58</v>
      </c>
      <c r="D26" s="3">
        <f>B26/B5</f>
        <v>-0.931623244688178</v>
      </c>
      <c r="E26" s="3">
        <f>C26/C5</f>
        <v>-0.387578847457131</v>
      </c>
      <c r="H26" s="1">
        <v>-8971145.33</v>
      </c>
      <c r="I26" s="18">
        <f>H26-C26</f>
        <v>-2745528.75</v>
      </c>
    </row>
    <row r="27" ht="26.1" customHeight="1" spans="1:9">
      <c r="A27" s="15" t="s">
        <v>183</v>
      </c>
      <c r="B27" s="17">
        <v>-43675.440908</v>
      </c>
      <c r="C27" s="20">
        <v>-187538.36651</v>
      </c>
    </row>
    <row r="28" ht="26.1" customHeight="1" spans="1:9">
      <c r="A28" s="15" t="s">
        <v>1668</v>
      </c>
      <c r="B28" s="17">
        <v>-2607408.549092</v>
      </c>
      <c r="C28" s="17">
        <v>-6038078.21349</v>
      </c>
    </row>
    <row r="29" ht="26.1" customHeight="1" spans="1:9">
      <c r="A29" s="15" t="s">
        <v>1244</v>
      </c>
      <c r="B29" s="17">
        <v>0</v>
      </c>
      <c r="C29" s="17">
        <v>0</v>
      </c>
    </row>
    <row r="30" ht="26.1" customHeight="1" spans="1:9">
      <c r="A30" s="15" t="s">
        <v>1245</v>
      </c>
      <c r="B30" s="17"/>
      <c r="C30" s="17"/>
    </row>
    <row r="31" ht="26.1" customHeight="1" spans="1:9">
      <c r="A31" s="15" t="s">
        <v>1246</v>
      </c>
      <c r="B31" s="17"/>
      <c r="C31" s="17"/>
    </row>
    <row r="32" ht="2.1" customHeight="1" spans="1:9">
      <c r="A32" s="21"/>
      <c r="B32" s="22"/>
      <c r="C32" s="23"/>
    </row>
  </sheetData>
  <mergeCells count="1">
    <mergeCell ref="A1:C1"/>
  </mergeCells>
  <pageMargins left="0.25" right="0.25" top="0.75" bottom="0.75" header="0.3" footer="0.3"/>
  <pageSetup paperSize="9" scale="77"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39</vt:i4>
      </vt:variant>
    </vt:vector>
  </HeadingPairs>
  <TitlesOfParts>
    <vt:vector size="39" baseType="lpstr">
      <vt:lpstr>基本信息</vt:lpstr>
      <vt:lpstr>利润表-新材料+快速</vt:lpstr>
      <vt:lpstr>资产负债表-合并(原）</vt:lpstr>
      <vt:lpstr>BS-合并</vt:lpstr>
      <vt:lpstr>利润表-合并</vt:lpstr>
      <vt:lpstr>PL-合并</vt:lpstr>
      <vt:lpstr>资产负债表-合并 (2)</vt:lpstr>
      <vt:lpstr>CF-合并</vt:lpstr>
      <vt:lpstr>PL-3D板块</vt:lpstr>
      <vt:lpstr>资产负债表-M</vt:lpstr>
      <vt:lpstr>利润表-M</vt:lpstr>
      <vt:lpstr>现流表-M</vt:lpstr>
      <vt:lpstr>合并试算平衡表</vt:lpstr>
      <vt:lpstr>合并调整抵消分录</vt:lpstr>
      <vt:lpstr>抵消分析</vt:lpstr>
      <vt:lpstr>长期投资</vt:lpstr>
      <vt:lpstr>转让新材料固定资产</vt:lpstr>
      <vt:lpstr>资产转移</vt:lpstr>
      <vt:lpstr>关联交易-利润表-25.11月</vt:lpstr>
      <vt:lpstr>内部交易和往来</vt:lpstr>
      <vt:lpstr>少数股权验算</vt:lpstr>
      <vt:lpstr>精铸BS新</vt:lpstr>
      <vt:lpstr>精铸PL新</vt:lpstr>
      <vt:lpstr>精铸BS</vt:lpstr>
      <vt:lpstr>精铸PL</vt:lpstr>
      <vt:lpstr>新材料BS新</vt:lpstr>
      <vt:lpstr>新材料PL新</vt:lpstr>
      <vt:lpstr>新材料BS</vt:lpstr>
      <vt:lpstr>新材料PL</vt:lpstr>
      <vt:lpstr>快速BS新</vt:lpstr>
      <vt:lpstr>快速PL新</vt:lpstr>
      <vt:lpstr>快速BS</vt:lpstr>
      <vt:lpstr>快速PL</vt:lpstr>
      <vt:lpstr>热等静压BS</vt:lpstr>
      <vt:lpstr>热等静压PL</vt:lpstr>
      <vt:lpstr>热等静压BS新</vt:lpstr>
      <vt:lpstr>热等静压PL新</vt:lpstr>
      <vt:lpstr>合并资产负债表</vt:lpstr>
      <vt:lpstr>合并利润表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黄逸婧</dc:creator>
  <cp:lastModifiedBy>雨色秋来寒</cp:lastModifiedBy>
  <dcterms:created xsi:type="dcterms:W3CDTF">2021-06-03T05:47:00Z</dcterms:created>
  <cp:lastPrinted>2022-09-29T06:00:00Z</cp:lastPrinted>
  <dcterms:modified xsi:type="dcterms:W3CDTF">2026-01-01T12:32:27Z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396A03F2435640A29C55C54C696A6413_13</vt:lpwstr>
  </property>
  <property fmtid="{D5CDD505-2E9C-101B-9397-08002B2CF9AE}" pid="3" name="KSOProductBuildVer">
    <vt:lpwstr>2052-12.1.0.24034</vt:lpwstr>
  </property>
  <property fmtid="{D5CDD505-2E9C-101B-9397-08002B2CF9AE}" pid="4" name="KSOReadingLayout">
    <vt:bool>true</vt:bool>
  </property>
  <property fmtid="{D5CDD505-2E9C-101B-9397-08002B2CF9AE}" pid="5" name="CalculationRule">
    <vt:i4>0</vt:i4>
  </property>
</Properties>
</file>